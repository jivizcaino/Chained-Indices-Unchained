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ol53/Dropbox/Measuring_Trade_in_NA/Baqaee_Burstein/Note on Structural Change/Mathematica code/"/>
    </mc:Choice>
  </mc:AlternateContent>
  <xr:revisionPtr revIDLastSave="0" documentId="13_ncr:1_{C262D2D1-09D1-114F-B543-664B394F2758}" xr6:coauthVersionLast="47" xr6:coauthVersionMax="47" xr10:uidLastSave="{00000000-0000-0000-0000-000000000000}"/>
  <bookViews>
    <workbookView xWindow="28320" yWindow="560" windowWidth="15940" windowHeight="18600" xr2:uid="{73DC2AEC-8994-4B6E-82DA-982A91689B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1" i="1" l="1"/>
  <c r="M41" i="1"/>
  <c r="L41" i="1"/>
  <c r="K41" i="1"/>
  <c r="J41" i="1"/>
  <c r="I41" i="1"/>
  <c r="H41" i="1"/>
  <c r="G41" i="1"/>
  <c r="C30" i="1"/>
  <c r="F3" i="1"/>
  <c r="F4" i="1" s="1"/>
  <c r="F5" i="1" s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C8" i="1"/>
</calcChain>
</file>

<file path=xl/sharedStrings.xml><?xml version="1.0" encoding="utf-8"?>
<sst xmlns="http://schemas.openxmlformats.org/spreadsheetml/2006/main" count="19" uniqueCount="19">
  <si>
    <t>ωx</t>
  </si>
  <si>
    <t>ωc</t>
  </si>
  <si>
    <t>εx</t>
  </si>
  <si>
    <t>εc</t>
  </si>
  <si>
    <t>θ</t>
  </si>
  <si>
    <t>ρ</t>
  </si>
  <si>
    <t>δ</t>
  </si>
  <si>
    <t>ν</t>
  </si>
  <si>
    <t>χ</t>
  </si>
  <si>
    <t>γ</t>
  </si>
  <si>
    <t>Parameters</t>
  </si>
  <si>
    <t>Pg</t>
  </si>
  <si>
    <t>Ps</t>
  </si>
  <si>
    <t>E</t>
  </si>
  <si>
    <t>X</t>
  </si>
  <si>
    <t>nu</t>
  </si>
  <si>
    <t>K</t>
  </si>
  <si>
    <t>Y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</si>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</sst>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Aptos Narrow"/>
      <family val="2"/>
      <scheme val="minor"/>
    </font>
    <font>
      <sz val="10"/>
      <name val="Courier New"/>
      <family val="3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164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FBE03-8B5E-4CB0-B26E-31A4182D5B61}">
  <dimension ref="B1:N41"/>
  <sheetViews>
    <sheetView tabSelected="1" workbookViewId="0">
      <selection activeCell="G41" sqref="G41:N41"/>
    </sheetView>
  </sheetViews>
  <sheetFormatPr baseColWidth="10" defaultColWidth="8.83203125" defaultRowHeight="15" x14ac:dyDescent="0.2"/>
  <cols>
    <col min="7" max="7" width="10.5" style="4" bestFit="1" customWidth="1"/>
    <col min="8" max="14" width="8.83203125" style="4"/>
  </cols>
  <sheetData>
    <row r="1" spans="2:14" x14ac:dyDescent="0.2">
      <c r="B1" t="s">
        <v>10</v>
      </c>
      <c r="G1" s="4" t="s">
        <v>11</v>
      </c>
      <c r="H1" s="4" t="s">
        <v>12</v>
      </c>
      <c r="I1" s="4" t="s">
        <v>17</v>
      </c>
      <c r="J1" s="4" t="s">
        <v>13</v>
      </c>
      <c r="K1" s="4" t="s">
        <v>14</v>
      </c>
      <c r="L1" s="4" t="s">
        <v>16</v>
      </c>
      <c r="M1" s="4" t="s">
        <v>18</v>
      </c>
      <c r="N1" s="4" t="s">
        <v>15</v>
      </c>
    </row>
    <row r="2" spans="2:14" x14ac:dyDescent="0.2">
      <c r="B2" s="1" t="s">
        <v>0</v>
      </c>
      <c r="C2" s="3">
        <v>0.65</v>
      </c>
      <c r="F2">
        <v>1980</v>
      </c>
      <c r="G2" s="5">
        <v>1</v>
      </c>
      <c r="H2" s="5">
        <v>1</v>
      </c>
      <c r="I2" s="5">
        <v>1.5693991661089504</v>
      </c>
      <c r="J2" s="5">
        <v>1.1867970216506114</v>
      </c>
      <c r="K2" s="5">
        <v>0.38260214445833896</v>
      </c>
      <c r="L2" s="5">
        <v>3.8654517137253803</v>
      </c>
      <c r="M2" s="5">
        <v>0.13533555561232807</v>
      </c>
      <c r="N2" s="5">
        <v>0.92582861270238526</v>
      </c>
    </row>
    <row r="3" spans="2:14" x14ac:dyDescent="0.2">
      <c r="B3" s="1" t="s">
        <v>1</v>
      </c>
      <c r="C3" s="3">
        <v>0.28999999999999998</v>
      </c>
      <c r="F3">
        <f>+F2+1</f>
        <v>1981</v>
      </c>
      <c r="G3" s="5">
        <v>1.0017724956306138</v>
      </c>
      <c r="H3" s="5">
        <v>1.0123537938150975</v>
      </c>
      <c r="I3" s="5">
        <v>1.5994707295810986</v>
      </c>
      <c r="J3" s="5">
        <v>1.2095374708211091</v>
      </c>
      <c r="K3" s="5">
        <v>0.38993325875998952</v>
      </c>
      <c r="L3" s="5">
        <v>3.9395183878182567</v>
      </c>
      <c r="M3" s="5">
        <v>0.13533555561232793</v>
      </c>
      <c r="N3" s="5">
        <v>0.91177678370407256</v>
      </c>
    </row>
    <row r="4" spans="2:14" x14ac:dyDescent="0.2">
      <c r="B4" s="2"/>
      <c r="C4" s="3"/>
      <c r="F4">
        <f t="shared" ref="F4:F39" si="0">+F3+1</f>
        <v>1982</v>
      </c>
      <c r="G4" s="5">
        <v>1.0035481330019878</v>
      </c>
      <c r="H4" s="5">
        <v>1.0248602038518211</v>
      </c>
      <c r="I4" s="5">
        <v>1.6301185001452267</v>
      </c>
      <c r="J4" s="5">
        <v>1.232713654172803</v>
      </c>
      <c r="K4" s="5">
        <v>0.39740484597242376</v>
      </c>
      <c r="L4" s="5">
        <v>4.015004267897254</v>
      </c>
      <c r="M4" s="5">
        <v>0.1353355556123278</v>
      </c>
      <c r="N4" s="5">
        <v>0.89793822733039996</v>
      </c>
    </row>
    <row r="5" spans="2:14" x14ac:dyDescent="0.2">
      <c r="B5" s="1" t="s">
        <v>2</v>
      </c>
      <c r="C5" s="3">
        <v>0</v>
      </c>
      <c r="F5">
        <f t="shared" si="0"/>
        <v>1983</v>
      </c>
      <c r="G5" s="5">
        <v>1.0053269176828443</v>
      </c>
      <c r="H5" s="5">
        <v>1.0375211154995054</v>
      </c>
      <c r="I5" s="5">
        <v>1.6613535186177917</v>
      </c>
      <c r="J5" s="5">
        <v>1.2563339208933124</v>
      </c>
      <c r="K5" s="5">
        <v>0.40501959772447926</v>
      </c>
      <c r="L5" s="5">
        <v>4.0919365476450338</v>
      </c>
      <c r="M5" s="5">
        <v>0.13533555561232763</v>
      </c>
      <c r="N5" s="5">
        <v>0.8843097066210811</v>
      </c>
    </row>
    <row r="6" spans="2:14" x14ac:dyDescent="0.2">
      <c r="B6" s="1" t="s">
        <v>3</v>
      </c>
      <c r="C6" s="3">
        <v>0</v>
      </c>
      <c r="F6">
        <f t="shared" si="0"/>
        <v>1984</v>
      </c>
      <c r="G6" s="5">
        <v>1.0071088552517755</v>
      </c>
      <c r="H6" s="5">
        <v>1.0503384374391966</v>
      </c>
      <c r="I6" s="5">
        <v>1.6931870373704863</v>
      </c>
      <c r="J6" s="5">
        <v>1.280406780150668</v>
      </c>
      <c r="K6" s="5">
        <v>0.41278025721981826</v>
      </c>
      <c r="L6" s="5">
        <v>4.1703429418077151</v>
      </c>
      <c r="M6" s="5">
        <v>0.13533555561232746</v>
      </c>
      <c r="N6" s="5">
        <v>0.87088803374502188</v>
      </c>
    </row>
    <row r="7" spans="2:14" x14ac:dyDescent="0.2">
      <c r="B7" s="2"/>
      <c r="C7" s="3"/>
      <c r="F7">
        <f t="shared" si="0"/>
        <v>1985</v>
      </c>
      <c r="G7" s="5">
        <v>1.0088939512972619</v>
      </c>
      <c r="H7" s="5">
        <v>1.0633141019313923</v>
      </c>
      <c r="I7" s="5">
        <v>1.7256305243838927</v>
      </c>
      <c r="J7" s="5">
        <v>1.3049409041587297</v>
      </c>
      <c r="K7" s="5">
        <v>0.4206896202251631</v>
      </c>
      <c r="L7" s="5">
        <v>4.2502516961790713</v>
      </c>
      <c r="M7" s="5">
        <v>0.13533555561232724</v>
      </c>
      <c r="N7" s="5">
        <v>0.85767006925465983</v>
      </c>
    </row>
    <row r="8" spans="2:14" x14ac:dyDescent="0.2">
      <c r="B8" s="1" t="s">
        <v>4</v>
      </c>
      <c r="C8" s="3">
        <f>1/3</f>
        <v>0.33333333333333331</v>
      </c>
      <c r="F8">
        <f t="shared" si="0"/>
        <v>1986</v>
      </c>
      <c r="G8" s="5">
        <v>1.0106822114176885</v>
      </c>
      <c r="H8" s="5">
        <v>1.0764500651073383</v>
      </c>
      <c r="I8" s="5">
        <v>1.7586956673788048</v>
      </c>
      <c r="J8" s="5">
        <v>1.3299451313013371</v>
      </c>
      <c r="K8" s="5">
        <v>0.42875053607746771</v>
      </c>
      <c r="L8" s="5">
        <v>4.3316915977760377</v>
      </c>
      <c r="M8" s="5">
        <v>0.13533555561232691</v>
      </c>
      <c r="N8" s="5">
        <v>0.84465272135161895</v>
      </c>
    </row>
    <row r="9" spans="2:14" x14ac:dyDescent="0.2">
      <c r="B9" s="1" t="s">
        <v>5</v>
      </c>
      <c r="C9" s="3">
        <v>0.04</v>
      </c>
      <c r="F9">
        <f t="shared" si="0"/>
        <v>1987</v>
      </c>
      <c r="G9" s="5">
        <v>1.0124736412213655</v>
      </c>
      <c r="H9" s="5">
        <v>1.0897483072639229</v>
      </c>
      <c r="I9" s="5">
        <v>1.7923943780267149</v>
      </c>
      <c r="J9" s="5">
        <v>1.3554284693163254</v>
      </c>
      <c r="K9" s="5">
        <v>0.43696590871038943</v>
      </c>
      <c r="L9" s="5">
        <v>4.4146919852091955</v>
      </c>
      <c r="M9" s="5">
        <v>0.13533555561232657</v>
      </c>
      <c r="N9" s="5">
        <v>0.83183294516351058</v>
      </c>
    </row>
    <row r="10" spans="2:14" x14ac:dyDescent="0.2">
      <c r="B10" s="1" t="s">
        <v>6</v>
      </c>
      <c r="C10" s="3">
        <v>0.08</v>
      </c>
      <c r="F10">
        <f t="shared" si="0"/>
        <v>1988</v>
      </c>
      <c r="G10" s="5">
        <v>1.0142682463265418</v>
      </c>
      <c r="H10" s="5">
        <v>1.103210833162213</v>
      </c>
      <c r="I10" s="5">
        <v>1.8267387962409742</v>
      </c>
      <c r="J10" s="5">
        <v>1.3814000985405532</v>
      </c>
      <c r="K10" s="5">
        <v>0.445338697700421</v>
      </c>
      <c r="L10" s="5">
        <v>4.4992827592519671</v>
      </c>
      <c r="M10" s="5">
        <v>0.1353355556123261</v>
      </c>
      <c r="N10" s="5">
        <v>0.81920774203171143</v>
      </c>
    </row>
    <row r="11" spans="2:14" x14ac:dyDescent="0.2">
      <c r="B11" s="2"/>
      <c r="C11" s="3"/>
      <c r="F11">
        <f t="shared" si="0"/>
        <v>1989</v>
      </c>
      <c r="G11" s="5">
        <v>1.0160660323614257</v>
      </c>
      <c r="H11" s="5">
        <v>1.1168396723296812</v>
      </c>
      <c r="I11" s="5">
        <v>1.8617412945501821</v>
      </c>
      <c r="J11" s="5">
        <v>1.4078693752171019</v>
      </c>
      <c r="K11" s="5">
        <v>0.45387191933308024</v>
      </c>
      <c r="L11" s="5">
        <v>4.5854943936123229</v>
      </c>
      <c r="M11" s="5">
        <v>0.13533555561232549</v>
      </c>
      <c r="N11" s="5">
        <v>0.80677415880995118</v>
      </c>
    </row>
    <row r="12" spans="2:14" x14ac:dyDescent="0.2">
      <c r="B12" s="1" t="s">
        <v>7</v>
      </c>
      <c r="C12" s="3">
        <v>0.44</v>
      </c>
      <c r="F12">
        <f t="shared" si="0"/>
        <v>1990</v>
      </c>
      <c r="G12" s="5">
        <v>1.0178670049642013</v>
      </c>
      <c r="H12" s="5">
        <v>1.130636879366163</v>
      </c>
      <c r="I12" s="5">
        <v>1.8974144825553714</v>
      </c>
      <c r="J12" s="5">
        <v>1.4348458348658526</v>
      </c>
      <c r="K12" s="5">
        <v>0.46256864768951877</v>
      </c>
      <c r="L12" s="5">
        <v>4.6733579459108947</v>
      </c>
      <c r="M12" s="5">
        <v>0.13533555561232477</v>
      </c>
      <c r="N12" s="5">
        <v>0.79452928717354454</v>
      </c>
    </row>
    <row r="13" spans="2:14" x14ac:dyDescent="0.2">
      <c r="B13" s="1" t="s">
        <v>8</v>
      </c>
      <c r="C13" s="3">
        <v>0.55000000000000004</v>
      </c>
      <c r="F13">
        <f t="shared" si="0"/>
        <v>1991</v>
      </c>
      <c r="G13" s="5">
        <v>1.0196711697830461</v>
      </c>
      <c r="H13" s="5">
        <v>1.1446045342535982</v>
      </c>
      <c r="I13" s="5">
        <v>1.9337712114725989</v>
      </c>
      <c r="J13" s="5">
        <v>1.46233919571864</v>
      </c>
      <c r="K13" s="5">
        <v>0.47143201575395888</v>
      </c>
      <c r="L13" s="5">
        <v>4.7629050688694416</v>
      </c>
      <c r="M13" s="5">
        <v>0.13533555561232385</v>
      </c>
      <c r="N13" s="5">
        <v>0.7824702629391096</v>
      </c>
    </row>
    <row r="14" spans="2:14" x14ac:dyDescent="0.2">
      <c r="B14" s="1" t="s">
        <v>9</v>
      </c>
      <c r="C14" s="3">
        <v>0.69</v>
      </c>
      <c r="F14">
        <f t="shared" si="0"/>
        <v>1992</v>
      </c>
      <c r="G14" s="5">
        <v>1.0214785324761495</v>
      </c>
      <c r="H14" s="5">
        <v>1.1587447426695932</v>
      </c>
      <c r="I14" s="5">
        <v>1.9708245787625789</v>
      </c>
      <c r="J14" s="5">
        <v>1.4903593622202365</v>
      </c>
      <c r="K14" s="5">
        <v>0.48046521654234242</v>
      </c>
      <c r="L14" s="5">
        <v>4.8541680217136989</v>
      </c>
      <c r="M14" s="5">
        <v>0.13533555561232272</v>
      </c>
      <c r="N14" s="5">
        <v>0.77059426539460874</v>
      </c>
    </row>
    <row r="15" spans="2:14" x14ac:dyDescent="0.2">
      <c r="F15">
        <f t="shared" si="0"/>
        <v>1993</v>
      </c>
      <c r="G15" s="5">
        <v>1.0232890987117289</v>
      </c>
      <c r="H15" s="5">
        <v>1.1730596363048613</v>
      </c>
      <c r="I15" s="5">
        <v>2.0085879328490241</v>
      </c>
      <c r="J15" s="5">
        <v>1.5189164285964114</v>
      </c>
      <c r="K15" s="5">
        <v>0.48967150425261274</v>
      </c>
      <c r="L15" s="5">
        <v>4.9471796817947169</v>
      </c>
      <c r="M15" s="5">
        <v>0.13533555561232125</v>
      </c>
      <c r="N15" s="5">
        <v>0.75889851663956098</v>
      </c>
    </row>
    <row r="16" spans="2:14" x14ac:dyDescent="0.2">
      <c r="F16">
        <f t="shared" si="0"/>
        <v>1994</v>
      </c>
      <c r="G16" s="5">
        <v>1.0251028741680503</v>
      </c>
      <c r="H16" s="5">
        <v>1.1875513731845853</v>
      </c>
      <c r="I16" s="5">
        <v>2.0470748779273986</v>
      </c>
      <c r="J16" s="5">
        <v>1.5480206824903602</v>
      </c>
      <c r="K16" s="5">
        <v>0.49905419543703844</v>
      </c>
      <c r="L16" s="5">
        <v>5.0419735564328807</v>
      </c>
      <c r="M16" s="5">
        <v>0.13533555561231944</v>
      </c>
      <c r="N16" s="5">
        <v>0.74738028093526498</v>
      </c>
    </row>
    <row r="17" spans="3:14" x14ac:dyDescent="0.2">
      <c r="F17">
        <f t="shared" si="0"/>
        <v>1995</v>
      </c>
      <c r="G17" s="5">
        <v>1.0269198645334425</v>
      </c>
      <c r="H17" s="5">
        <v>1.2022221379937439</v>
      </c>
      <c r="I17" s="5">
        <v>2.0862992788658068</v>
      </c>
      <c r="J17" s="5">
        <v>1.5776826086688183</v>
      </c>
      <c r="K17" s="5">
        <v>0.50861667019698853</v>
      </c>
      <c r="L17" s="5">
        <v>5.1385837949888806</v>
      </c>
      <c r="M17" s="5">
        <v>0.13533555561231705</v>
      </c>
      <c r="N17" s="5">
        <v>0.73603686406488655</v>
      </c>
    </row>
    <row r="18" spans="3:14" x14ac:dyDescent="0.2">
      <c r="F18">
        <f t="shared" si="0"/>
        <v>1996</v>
      </c>
      <c r="G18" s="5">
        <v>1.0287400755063185</v>
      </c>
      <c r="H18" s="5">
        <v>1.2170741424064644</v>
      </c>
      <c r="I18" s="5">
        <v>2.126275266199797</v>
      </c>
      <c r="J18" s="5">
        <v>1.6079128927991795</v>
      </c>
      <c r="K18" s="5">
        <v>0.51836237340061753</v>
      </c>
      <c r="L18" s="5">
        <v>5.2370452011659649</v>
      </c>
      <c r="M18" s="5">
        <v>0.13533555561231406</v>
      </c>
      <c r="N18" s="5">
        <v>0.72486561270325733</v>
      </c>
    </row>
    <row r="19" spans="3:14" x14ac:dyDescent="0.2">
      <c r="F19">
        <f t="shared" si="0"/>
        <v>1997</v>
      </c>
      <c r="G19" s="5">
        <v>1.0305635127951907</v>
      </c>
      <c r="H19" s="5">
        <v>1.2321096254194408</v>
      </c>
      <c r="I19" s="5">
        <v>2.1670172412228634</v>
      </c>
      <c r="J19" s="5">
        <v>1.6387224252989927</v>
      </c>
      <c r="K19" s="5">
        <v>0.52829481592387073</v>
      </c>
      <c r="L19" s="5">
        <v>5.33739324554793</v>
      </c>
      <c r="M19" s="5">
        <v>0.13533555561231025</v>
      </c>
      <c r="N19" s="5">
        <v>0.71386391379623904</v>
      </c>
    </row>
    <row r="20" spans="3:14" x14ac:dyDescent="0.2">
      <c r="F20">
        <f t="shared" si="0"/>
        <v>1998</v>
      </c>
      <c r="G20" s="5">
        <v>1.0323901821186898</v>
      </c>
      <c r="H20" s="5">
        <v>1.2473308536894696</v>
      </c>
      <c r="I20" s="5">
        <v>2.2085398811744952</v>
      </c>
      <c r="J20" s="5">
        <v>1.6701223052592227</v>
      </c>
      <c r="K20" s="5">
        <v>0.53841757591527251</v>
      </c>
      <c r="L20" s="5">
        <v>5.4396640783773513</v>
      </c>
      <c r="M20" s="5">
        <v>0.13533555561230542</v>
      </c>
      <c r="N20" s="5">
        <v>0.70302919394950669</v>
      </c>
    </row>
    <row r="21" spans="3:14" x14ac:dyDescent="0.2">
      <c r="F21">
        <f t="shared" si="0"/>
        <v>1999</v>
      </c>
      <c r="G21" s="5">
        <v>1.0342200892055837</v>
      </c>
      <c r="H21" s="5">
        <v>1.262740121875159</v>
      </c>
      <c r="I21" s="5">
        <v>2.250858144527629</v>
      </c>
      <c r="J21" s="5">
        <v>1.7021238444426776</v>
      </c>
      <c r="K21" s="5">
        <v>0.54873430008495139</v>
      </c>
      <c r="L21" s="5">
        <v>5.543894542578653</v>
      </c>
      <c r="M21" s="5">
        <v>0.13533555561229937</v>
      </c>
      <c r="N21" s="5">
        <v>0.69235891882660849</v>
      </c>
    </row>
    <row r="22" spans="3:14" x14ac:dyDescent="0.2">
      <c r="F22">
        <f>+F21+1</f>
        <v>2000</v>
      </c>
      <c r="G22" s="5">
        <v>1.0360532397947935</v>
      </c>
      <c r="H22" s="5">
        <v>1.278339752982856</v>
      </c>
      <c r="I22" s="5">
        <v>2.2939872763774201</v>
      </c>
      <c r="J22" s="5">
        <v>1.7347385713590586</v>
      </c>
      <c r="K22" s="5">
        <v>0.55924870501836144</v>
      </c>
      <c r="L22" s="5">
        <v>5.6501221870307274</v>
      </c>
      <c r="M22" s="5">
        <v>0.13533555561229166</v>
      </c>
      <c r="N22" s="5">
        <v>0.68185059255616376</v>
      </c>
    </row>
    <row r="23" spans="3:14" x14ac:dyDescent="0.2">
      <c r="F23">
        <f t="shared" si="0"/>
        <v>2001</v>
      </c>
      <c r="G23" s="5">
        <v>1.0378896396354129</v>
      </c>
      <c r="H23" s="5">
        <v>1.294132098716849</v>
      </c>
      <c r="I23" s="5">
        <v>2.3379428139332656</v>
      </c>
      <c r="J23" s="5">
        <v>1.7679782354180875</v>
      </c>
      <c r="K23" s="5">
        <v>0.56996457851517812</v>
      </c>
      <c r="L23" s="5">
        <v>5.7583852800938624</v>
      </c>
      <c r="M23" s="5">
        <v>0.13533555561228192</v>
      </c>
      <c r="N23" s="5">
        <v>0.67150175714805482</v>
      </c>
    </row>
    <row r="24" spans="3:14" x14ac:dyDescent="0.2">
      <c r="F24">
        <f t="shared" si="0"/>
        <v>2002</v>
      </c>
      <c r="G24" s="5">
        <v>1.0397292944867258</v>
      </c>
      <c r="H24" s="5">
        <v>1.3101195398338965</v>
      </c>
      <c r="I24" s="5">
        <v>2.3827405921160634</v>
      </c>
      <c r="J24" s="5">
        <v>1.8018548111622146</v>
      </c>
      <c r="K24" s="5">
        <v>0.5808857809538488</v>
      </c>
      <c r="L24" s="5">
        <v>5.8687228233958715</v>
      </c>
      <c r="M24" s="5">
        <v>0.13533555561226956</v>
      </c>
      <c r="N24" s="5">
        <v>0.66130999191848316</v>
      </c>
    </row>
    <row r="25" spans="3:14" x14ac:dyDescent="0.2">
      <c r="F25">
        <f t="shared" si="0"/>
        <v>2003</v>
      </c>
      <c r="G25" s="5">
        <v>1.0415722101182245</v>
      </c>
      <c r="H25" s="5">
        <v>1.3263044865021352</v>
      </c>
      <c r="I25" s="5">
        <v>2.4283967492627192</v>
      </c>
      <c r="J25" s="5">
        <v>1.8363805025804307</v>
      </c>
      <c r="K25" s="5">
        <v>0.59201624668228847</v>
      </c>
      <c r="L25" s="5">
        <v>5.9811745658823749</v>
      </c>
      <c r="M25" s="5">
        <v>0.13533555561225394</v>
      </c>
      <c r="N25" s="5">
        <v>0.65127291292374923</v>
      </c>
    </row>
    <row r="26" spans="3:14" x14ac:dyDescent="0.2">
      <c r="F26">
        <f t="shared" si="0"/>
        <v>2004</v>
      </c>
      <c r="G26" s="5">
        <v>1.0434183923096276</v>
      </c>
      <c r="H26" s="5">
        <v>1.3426893786644214</v>
      </c>
      <c r="I26" s="5">
        <v>2.4749277329399626</v>
      </c>
      <c r="J26" s="5">
        <v>1.8715677475047368</v>
      </c>
      <c r="K26" s="5">
        <v>0.60335998543522584</v>
      </c>
      <c r="L26" s="5">
        <v>6.095781018136309</v>
      </c>
      <c r="M26" s="5">
        <v>0.13533555561223409</v>
      </c>
      <c r="N26" s="5">
        <v>0.64138817240262724</v>
      </c>
    </row>
    <row r="27" spans="3:14" x14ac:dyDescent="0.2">
      <c r="F27">
        <f>+F26+1</f>
        <v>2005</v>
      </c>
      <c r="G27" s="5">
        <v>1.0452678468508987</v>
      </c>
      <c r="H27" s="5">
        <v>1.3592766864061632</v>
      </c>
      <c r="I27" s="5">
        <v>2.5223503058695593</v>
      </c>
      <c r="J27" s="5">
        <v>1.9074292220908524</v>
      </c>
      <c r="K27" s="5">
        <v>0.61492108377870691</v>
      </c>
      <c r="L27" s="5">
        <v>6.2125834669718065</v>
      </c>
      <c r="M27" s="5">
        <v>0.13533555561220897</v>
      </c>
      <c r="N27" s="5">
        <v>0.63165345822720331</v>
      </c>
    </row>
    <row r="28" spans="3:14" x14ac:dyDescent="0.2">
      <c r="F28">
        <f t="shared" si="0"/>
        <v>2006</v>
      </c>
      <c r="G28" s="5">
        <v>1.0471205795422627</v>
      </c>
      <c r="H28" s="5">
        <v>1.3760689103276944</v>
      </c>
      <c r="I28" s="5">
        <v>2.5706815519670583</v>
      </c>
      <c r="J28" s="5">
        <v>1.9439778453847831</v>
      </c>
      <c r="K28" s="5">
        <v>0.62670370658227514</v>
      </c>
      <c r="L28" s="5">
        <v>6.3316239903077243</v>
      </c>
      <c r="M28" s="5">
        <v>0.13533555561217717</v>
      </c>
      <c r="N28" s="5">
        <v>0.62206649336204844</v>
      </c>
    </row>
    <row r="29" spans="3:14" x14ac:dyDescent="0.2">
      <c r="F29">
        <f t="shared" si="0"/>
        <v>2007</v>
      </c>
      <c r="G29" s="5">
        <v>1.048976596194227</v>
      </c>
      <c r="H29" s="5">
        <v>1.3930685819212487</v>
      </c>
      <c r="I29" s="5">
        <v>2.619938882496252</v>
      </c>
      <c r="J29" s="5">
        <v>1.9812267839768887</v>
      </c>
      <c r="K29" s="5">
        <v>0.63871209851936328</v>
      </c>
      <c r="L29" s="5">
        <v>6.452945472326161</v>
      </c>
      <c r="M29" s="5">
        <v>0.13533555561213687</v>
      </c>
      <c r="N29" s="5">
        <v>0.61262503533159984</v>
      </c>
    </row>
    <row r="30" spans="3:14" x14ac:dyDescent="0.2">
      <c r="C30">
        <f>LOG(10)</f>
        <v>1</v>
      </c>
      <c r="F30">
        <f t="shared" si="0"/>
        <v>2008</v>
      </c>
      <c r="G30" s="5">
        <v>1.0508359026275973</v>
      </c>
      <c r="H30" s="5">
        <v>1.4102782639525941</v>
      </c>
      <c r="I30" s="5">
        <v>2.6701400423415569</v>
      </c>
      <c r="J30" s="5">
        <v>2.0191894567451221</v>
      </c>
      <c r="K30" s="5">
        <v>0.65095058559643482</v>
      </c>
      <c r="L30" s="5">
        <v>6.5765916189214346</v>
      </c>
      <c r="M30" s="5">
        <v>0.13533555561208577</v>
      </c>
      <c r="N30" s="5">
        <v>0.60332687569562704</v>
      </c>
    </row>
    <row r="31" spans="3:14" x14ac:dyDescent="0.2">
      <c r="F31">
        <f t="shared" si="0"/>
        <v>2009</v>
      </c>
      <c r="G31" s="5">
        <v>1.0526985046734967</v>
      </c>
      <c r="H31" s="5">
        <v>1.4277005508473783</v>
      </c>
      <c r="I31" s="5">
        <v>2.7213031164005907</v>
      </c>
      <c r="J31" s="5">
        <v>2.0578795396891616</v>
      </c>
      <c r="K31" s="5">
        <v>0.66342357671142915</v>
      </c>
      <c r="L31" s="5">
        <v>6.7026069734450822</v>
      </c>
      <c r="M31" s="5">
        <v>0.13533555561202101</v>
      </c>
      <c r="N31" s="5">
        <v>0.59416983953265734</v>
      </c>
    </row>
    <row r="32" spans="3:14" x14ac:dyDescent="0.2">
      <c r="F32">
        <f t="shared" si="0"/>
        <v>2010</v>
      </c>
      <c r="G32" s="5">
        <v>1.054564408173384</v>
      </c>
      <c r="H32" s="5">
        <v>1.4453380690822482</v>
      </c>
      <c r="I32" s="5">
        <v>2.7734465360992293</v>
      </c>
      <c r="J32" s="5">
        <v>2.0973109708571664</v>
      </c>
      <c r="K32" s="5">
        <v>0.67613556524206286</v>
      </c>
      <c r="L32" s="5">
        <v>6.8310369327525562</v>
      </c>
      <c r="M32" s="5">
        <v>0.13533555561193902</v>
      </c>
      <c r="N32" s="5">
        <v>0.58515178493124342</v>
      </c>
    </row>
    <row r="33" spans="6:14" x14ac:dyDescent="0.2">
      <c r="F33">
        <f t="shared" si="0"/>
        <v>2011</v>
      </c>
      <c r="G33" s="5">
        <v>1.056433618979072</v>
      </c>
      <c r="H33" s="5">
        <v>1.4631934775808015</v>
      </c>
      <c r="I33" s="5">
        <v>2.8265890860315062</v>
      </c>
      <c r="J33" s="5">
        <v>2.1374979553669338</v>
      </c>
      <c r="K33" s="5">
        <v>0.68909113066457239</v>
      </c>
      <c r="L33" s="5">
        <v>6.9619277635574033</v>
      </c>
      <c r="M33" s="5">
        <v>0.13533555561183513</v>
      </c>
      <c r="N33" s="5">
        <v>0.57627060248895168</v>
      </c>
    </row>
    <row r="34" spans="6:14" x14ac:dyDescent="0.2">
      <c r="F34">
        <f t="shared" si="0"/>
        <v>2012</v>
      </c>
      <c r="G34" s="5">
        <v>1.0583061429527458</v>
      </c>
      <c r="H34" s="5">
        <v>1.4812694681144307</v>
      </c>
      <c r="I34" s="5">
        <v>2.8807499107267409</v>
      </c>
      <c r="J34" s="5">
        <v>2.1784549705232634</v>
      </c>
      <c r="K34" s="5">
        <v>0.70229494020347749</v>
      </c>
      <c r="L34" s="5">
        <v>7.0953266190988069</v>
      </c>
      <c r="M34" s="5">
        <v>0.13533555561170355</v>
      </c>
      <c r="N34" s="5">
        <v>0.5675242148189551</v>
      </c>
    </row>
    <row r="35" spans="6:14" x14ac:dyDescent="0.2">
      <c r="F35">
        <f t="shared" si="0"/>
        <v>2013</v>
      </c>
      <c r="G35" s="5">
        <v>1.0601819859669812</v>
      </c>
      <c r="H35" s="5">
        <v>1.4995687657081158</v>
      </c>
      <c r="I35" s="5">
        <v>2.9359485215463339</v>
      </c>
      <c r="J35" s="5">
        <v>2.2201967710333839</v>
      </c>
      <c r="K35" s="5">
        <v>0.71575175051295004</v>
      </c>
      <c r="L35" s="5">
        <v>7.2312815561285184</v>
      </c>
      <c r="M35" s="5">
        <v>0.13533555561153676</v>
      </c>
      <c r="N35" s="5">
        <v>0.55891057606411354</v>
      </c>
    </row>
    <row r="36" spans="6:14" x14ac:dyDescent="0.2">
      <c r="F36">
        <f>+F35+1</f>
        <v>2014</v>
      </c>
      <c r="G36" s="5">
        <v>1.0620611539047629</v>
      </c>
      <c r="H36" s="5">
        <v>1.5180941290512342</v>
      </c>
      <c r="I36" s="5">
        <v>2.9922048037127125</v>
      </c>
      <c r="J36" s="5">
        <v>2.2627383943222976</v>
      </c>
      <c r="K36" s="5">
        <v>0.72946640939041485</v>
      </c>
      <c r="L36" s="5">
        <v>7.3698415522232779</v>
      </c>
      <c r="M36" s="5">
        <v>0.13533555561132546</v>
      </c>
      <c r="N36" s="5">
        <v>0.55042767141843174</v>
      </c>
    </row>
    <row r="37" spans="6:14" x14ac:dyDescent="0.2">
      <c r="F37">
        <f t="shared" si="0"/>
        <v>2015</v>
      </c>
      <c r="G37" s="5">
        <v>1.0639436526595039</v>
      </c>
      <c r="H37" s="5">
        <v>1.5368483509134432</v>
      </c>
      <c r="I37" s="5">
        <v>3.0495390234729634</v>
      </c>
      <c r="J37" s="5">
        <v>2.3060951659499818</v>
      </c>
      <c r="K37" s="5">
        <v>0.74344385752298159</v>
      </c>
      <c r="L37" s="5">
        <v>7.5110565234289783</v>
      </c>
      <c r="M37" s="5">
        <v>0.13533555561105778</v>
      </c>
      <c r="N37" s="5">
        <v>0.54207351665577874</v>
      </c>
    </row>
    <row r="38" spans="6:14" x14ac:dyDescent="0.2">
      <c r="F38">
        <f t="shared" si="0"/>
        <v>2016</v>
      </c>
      <c r="G38" s="5">
        <v>1.0658294881350618</v>
      </c>
      <c r="H38" s="5">
        <v>1.5558342585657008</v>
      </c>
      <c r="I38" s="5">
        <v>3.1079718353997299</v>
      </c>
      <c r="J38" s="5">
        <v>2.3502827051323809</v>
      </c>
      <c r="K38" s="5">
        <v>0.75768913026734896</v>
      </c>
      <c r="L38" s="5">
        <v>7.654977342242935</v>
      </c>
      <c r="M38" s="5">
        <v>0.13533555561071864</v>
      </c>
      <c r="N38" s="5">
        <v>0.53384615766576049</v>
      </c>
    </row>
    <row r="39" spans="6:14" x14ac:dyDescent="0.2">
      <c r="F39">
        <f t="shared" si="0"/>
        <v>2017</v>
      </c>
      <c r="G39" s="5">
        <v>1.0677186662457603</v>
      </c>
      <c r="H39" s="5">
        <v>1.5750547142064868</v>
      </c>
      <c r="I39" s="5">
        <v>3.1675242898320102</v>
      </c>
      <c r="J39" s="5">
        <v>2.3953169303681845</v>
      </c>
      <c r="K39" s="5">
        <v>0.77220735946382568</v>
      </c>
      <c r="L39" s="5">
        <v>7.8016558559407301</v>
      </c>
      <c r="M39" s="5">
        <v>0.13533555561028895</v>
      </c>
      <c r="N39" s="5">
        <v>0.5257436699966378</v>
      </c>
    </row>
    <row r="41" spans="6:14" x14ac:dyDescent="0.2">
      <c r="G41" s="4">
        <f>(LN(G39)-LN(G2))/37</f>
        <v>1.7709266140098422E-3</v>
      </c>
      <c r="H41" s="4">
        <f t="shared" ref="H41:N41" si="1">(LN(H39)-LN(H2))/37</f>
        <v>1.2278108401430456E-2</v>
      </c>
      <c r="I41" s="4">
        <f t="shared" si="1"/>
        <v>1.8979931142480245E-2</v>
      </c>
      <c r="J41" s="4">
        <f t="shared" si="1"/>
        <v>1.8979931141817959E-2</v>
      </c>
      <c r="K41" s="4">
        <f t="shared" si="1"/>
        <v>1.8979931144534608E-2</v>
      </c>
      <c r="L41" s="4">
        <f t="shared" si="1"/>
        <v>1.8979931142887464E-2</v>
      </c>
      <c r="M41" s="4">
        <f t="shared" si="1"/>
        <v>-4.0721780302143041E-13</v>
      </c>
      <c r="N41" s="4">
        <f t="shared" si="1"/>
        <v>-1.5293928634604832E-2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Vizcaino (staff)</dc:creator>
  <cp:lastModifiedBy>Licandro, Omar (Prof.)</cp:lastModifiedBy>
  <dcterms:created xsi:type="dcterms:W3CDTF">2025-03-10T16:28:47Z</dcterms:created>
  <dcterms:modified xsi:type="dcterms:W3CDTF">2025-03-12T16:17:15Z</dcterms:modified>
</cp:coreProperties>
</file>