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Nacho\Dropbox\Omar&amp;Nacho\Baqaee_Burstein\Note on Structural Change\"/>
    </mc:Choice>
  </mc:AlternateContent>
  <xr:revisionPtr revIDLastSave="0" documentId="13_ncr:1_{347EFFF2-A68D-4B7A-AE19-BA5553EB23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TFP_NoL_Good" sheetId="4" r:id="rId2"/>
    <sheet name="TFP_NoL_Serv" sheetId="5" r:id="rId3"/>
    <sheet name="TFP_NoL_To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5" i="6" l="1"/>
  <c r="H76" i="6" s="1"/>
  <c r="F74" i="6"/>
  <c r="F75" i="6" s="1"/>
  <c r="E74" i="6"/>
  <c r="E75" i="6" s="1"/>
  <c r="D74" i="6"/>
  <c r="D75" i="6" s="1"/>
  <c r="F76" i="5"/>
  <c r="F76" i="4"/>
  <c r="F75" i="5"/>
  <c r="F75" i="4"/>
  <c r="D74" i="5"/>
  <c r="D75" i="5" s="1"/>
  <c r="C74" i="5"/>
  <c r="C75" i="5" s="1"/>
  <c r="B74" i="5"/>
  <c r="B75" i="5" s="1"/>
  <c r="D74" i="4"/>
  <c r="DI3" i="1"/>
  <c r="K3" i="6"/>
  <c r="J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J55" i="6"/>
  <c r="L55" i="6" s="1"/>
  <c r="K54" i="6"/>
  <c r="K53" i="6"/>
  <c r="K52" i="6"/>
  <c r="K51" i="6"/>
  <c r="K50" i="6"/>
  <c r="K49" i="6"/>
  <c r="J49" i="6"/>
  <c r="L49" i="6" s="1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J23" i="6"/>
  <c r="L23" i="6" s="1"/>
  <c r="K22" i="6"/>
  <c r="K21" i="6"/>
  <c r="K20" i="6"/>
  <c r="K19" i="6"/>
  <c r="K18" i="6"/>
  <c r="K17" i="6"/>
  <c r="K16" i="6"/>
  <c r="K15" i="6"/>
  <c r="J15" i="6"/>
  <c r="L15" i="6" s="1"/>
  <c r="K14" i="6"/>
  <c r="K13" i="6"/>
  <c r="K12" i="6"/>
  <c r="K11" i="6"/>
  <c r="K10" i="6"/>
  <c r="K9" i="6"/>
  <c r="K8" i="6"/>
  <c r="J8" i="6"/>
  <c r="L8" i="6" s="1"/>
  <c r="K7" i="6"/>
  <c r="K6" i="6"/>
  <c r="K5" i="6"/>
  <c r="K4" i="6"/>
  <c r="O2" i="6"/>
  <c r="N72" i="5"/>
  <c r="M72" i="5"/>
  <c r="L72" i="5"/>
  <c r="O72" i="5" s="1"/>
  <c r="N71" i="5"/>
  <c r="M71" i="5"/>
  <c r="L71" i="5"/>
  <c r="O71" i="5" s="1"/>
  <c r="N70" i="5"/>
  <c r="M70" i="5"/>
  <c r="L70" i="5"/>
  <c r="O70" i="5" s="1"/>
  <c r="N69" i="5"/>
  <c r="O69" i="5" s="1"/>
  <c r="M69" i="5"/>
  <c r="L69" i="5"/>
  <c r="N68" i="5"/>
  <c r="M68" i="5"/>
  <c r="L68" i="5"/>
  <c r="O68" i="5" s="1"/>
  <c r="N67" i="5"/>
  <c r="M67" i="5"/>
  <c r="L67" i="5"/>
  <c r="O67" i="5" s="1"/>
  <c r="N66" i="5"/>
  <c r="M66" i="5"/>
  <c r="L66" i="5"/>
  <c r="O66" i="5" s="1"/>
  <c r="N65" i="5"/>
  <c r="O65" i="5" s="1"/>
  <c r="M65" i="5"/>
  <c r="L65" i="5"/>
  <c r="N64" i="5"/>
  <c r="M64" i="5"/>
  <c r="L64" i="5"/>
  <c r="O64" i="5" s="1"/>
  <c r="N63" i="5"/>
  <c r="M63" i="5"/>
  <c r="L63" i="5"/>
  <c r="O63" i="5" s="1"/>
  <c r="N62" i="5"/>
  <c r="M62" i="5"/>
  <c r="L62" i="5"/>
  <c r="O62" i="5" s="1"/>
  <c r="N61" i="5"/>
  <c r="O61" i="5" s="1"/>
  <c r="M61" i="5"/>
  <c r="L61" i="5"/>
  <c r="N60" i="5"/>
  <c r="M60" i="5"/>
  <c r="L60" i="5"/>
  <c r="O60" i="5" s="1"/>
  <c r="N59" i="5"/>
  <c r="M59" i="5"/>
  <c r="L59" i="5"/>
  <c r="O59" i="5" s="1"/>
  <c r="N58" i="5"/>
  <c r="M58" i="5"/>
  <c r="L58" i="5"/>
  <c r="O58" i="5" s="1"/>
  <c r="N57" i="5"/>
  <c r="O57" i="5" s="1"/>
  <c r="M57" i="5"/>
  <c r="L57" i="5"/>
  <c r="N56" i="5"/>
  <c r="M56" i="5"/>
  <c r="L56" i="5"/>
  <c r="O56" i="5" s="1"/>
  <c r="N55" i="5"/>
  <c r="M55" i="5"/>
  <c r="L55" i="5"/>
  <c r="O55" i="5" s="1"/>
  <c r="N54" i="5"/>
  <c r="M54" i="5"/>
  <c r="L54" i="5"/>
  <c r="O54" i="5" s="1"/>
  <c r="N53" i="5"/>
  <c r="O53" i="5" s="1"/>
  <c r="M53" i="5"/>
  <c r="L53" i="5"/>
  <c r="N52" i="5"/>
  <c r="M52" i="5"/>
  <c r="L52" i="5"/>
  <c r="O52" i="5" s="1"/>
  <c r="N51" i="5"/>
  <c r="M51" i="5"/>
  <c r="L51" i="5"/>
  <c r="O51" i="5" s="1"/>
  <c r="N50" i="5"/>
  <c r="M50" i="5"/>
  <c r="L50" i="5"/>
  <c r="O50" i="5" s="1"/>
  <c r="N49" i="5"/>
  <c r="O49" i="5" s="1"/>
  <c r="M49" i="5"/>
  <c r="L49" i="5"/>
  <c r="N48" i="5"/>
  <c r="M48" i="5"/>
  <c r="L48" i="5"/>
  <c r="O48" i="5" s="1"/>
  <c r="N47" i="5"/>
  <c r="M47" i="5"/>
  <c r="L47" i="5"/>
  <c r="O47" i="5" s="1"/>
  <c r="N46" i="5"/>
  <c r="M46" i="5"/>
  <c r="L46" i="5"/>
  <c r="O46" i="5" s="1"/>
  <c r="N45" i="5"/>
  <c r="O45" i="5" s="1"/>
  <c r="M45" i="5"/>
  <c r="L45" i="5"/>
  <c r="N44" i="5"/>
  <c r="M44" i="5"/>
  <c r="L44" i="5"/>
  <c r="O44" i="5" s="1"/>
  <c r="N43" i="5"/>
  <c r="M43" i="5"/>
  <c r="L43" i="5"/>
  <c r="O43" i="5" s="1"/>
  <c r="N42" i="5"/>
  <c r="M42" i="5"/>
  <c r="L42" i="5"/>
  <c r="O42" i="5" s="1"/>
  <c r="N41" i="5"/>
  <c r="O41" i="5" s="1"/>
  <c r="M41" i="5"/>
  <c r="L41" i="5"/>
  <c r="N40" i="5"/>
  <c r="M40" i="5"/>
  <c r="L40" i="5"/>
  <c r="O40" i="5" s="1"/>
  <c r="N39" i="5"/>
  <c r="M39" i="5"/>
  <c r="L39" i="5"/>
  <c r="O39" i="5" s="1"/>
  <c r="N38" i="5"/>
  <c r="M38" i="5"/>
  <c r="L38" i="5"/>
  <c r="O38" i="5" s="1"/>
  <c r="N37" i="5"/>
  <c r="O37" i="5" s="1"/>
  <c r="M37" i="5"/>
  <c r="L37" i="5"/>
  <c r="N36" i="5"/>
  <c r="M36" i="5"/>
  <c r="L36" i="5"/>
  <c r="O36" i="5" s="1"/>
  <c r="N35" i="5"/>
  <c r="M35" i="5"/>
  <c r="L35" i="5"/>
  <c r="O35" i="5" s="1"/>
  <c r="N34" i="5"/>
  <c r="M34" i="5"/>
  <c r="L34" i="5"/>
  <c r="O34" i="5" s="1"/>
  <c r="N33" i="5"/>
  <c r="O33" i="5" s="1"/>
  <c r="M33" i="5"/>
  <c r="L33" i="5"/>
  <c r="N32" i="5"/>
  <c r="M32" i="5"/>
  <c r="L32" i="5"/>
  <c r="O32" i="5" s="1"/>
  <c r="N31" i="5"/>
  <c r="M31" i="5"/>
  <c r="L31" i="5"/>
  <c r="O31" i="5" s="1"/>
  <c r="N30" i="5"/>
  <c r="M30" i="5"/>
  <c r="L30" i="5"/>
  <c r="O30" i="5" s="1"/>
  <c r="N29" i="5"/>
  <c r="O29" i="5" s="1"/>
  <c r="M29" i="5"/>
  <c r="L29" i="5"/>
  <c r="N28" i="5"/>
  <c r="M28" i="5"/>
  <c r="L28" i="5"/>
  <c r="O28" i="5" s="1"/>
  <c r="N27" i="5"/>
  <c r="M27" i="5"/>
  <c r="L27" i="5"/>
  <c r="O27" i="5" s="1"/>
  <c r="N26" i="5"/>
  <c r="M26" i="5"/>
  <c r="L26" i="5"/>
  <c r="O26" i="5" s="1"/>
  <c r="N25" i="5"/>
  <c r="O25" i="5" s="1"/>
  <c r="M25" i="5"/>
  <c r="L25" i="5"/>
  <c r="N24" i="5"/>
  <c r="M24" i="5"/>
  <c r="L24" i="5"/>
  <c r="O24" i="5" s="1"/>
  <c r="N23" i="5"/>
  <c r="M23" i="5"/>
  <c r="L23" i="5"/>
  <c r="O23" i="5" s="1"/>
  <c r="N22" i="5"/>
  <c r="M22" i="5"/>
  <c r="L22" i="5"/>
  <c r="O22" i="5" s="1"/>
  <c r="N21" i="5"/>
  <c r="O21" i="5" s="1"/>
  <c r="M21" i="5"/>
  <c r="L21" i="5"/>
  <c r="N20" i="5"/>
  <c r="M20" i="5"/>
  <c r="L20" i="5"/>
  <c r="O20" i="5" s="1"/>
  <c r="N19" i="5"/>
  <c r="M19" i="5"/>
  <c r="L19" i="5"/>
  <c r="O19" i="5" s="1"/>
  <c r="N18" i="5"/>
  <c r="M18" i="5"/>
  <c r="L18" i="5"/>
  <c r="O18" i="5" s="1"/>
  <c r="N17" i="5"/>
  <c r="O17" i="5" s="1"/>
  <c r="M17" i="5"/>
  <c r="L17" i="5"/>
  <c r="N16" i="5"/>
  <c r="M16" i="5"/>
  <c r="L16" i="5"/>
  <c r="O16" i="5" s="1"/>
  <c r="N15" i="5"/>
  <c r="M15" i="5"/>
  <c r="L15" i="5"/>
  <c r="O15" i="5" s="1"/>
  <c r="N14" i="5"/>
  <c r="M14" i="5"/>
  <c r="L14" i="5"/>
  <c r="O14" i="5" s="1"/>
  <c r="N13" i="5"/>
  <c r="O13" i="5" s="1"/>
  <c r="M13" i="5"/>
  <c r="L13" i="5"/>
  <c r="N12" i="5"/>
  <c r="M12" i="5"/>
  <c r="L12" i="5"/>
  <c r="O12" i="5" s="1"/>
  <c r="N11" i="5"/>
  <c r="M11" i="5"/>
  <c r="L11" i="5"/>
  <c r="O11" i="5" s="1"/>
  <c r="N10" i="5"/>
  <c r="M10" i="5"/>
  <c r="L10" i="5"/>
  <c r="O10" i="5" s="1"/>
  <c r="N9" i="5"/>
  <c r="O9" i="5" s="1"/>
  <c r="M9" i="5"/>
  <c r="L9" i="5"/>
  <c r="N8" i="5"/>
  <c r="M8" i="5"/>
  <c r="L8" i="5"/>
  <c r="O8" i="5" s="1"/>
  <c r="N7" i="5"/>
  <c r="M7" i="5"/>
  <c r="L7" i="5"/>
  <c r="O7" i="5" s="1"/>
  <c r="N6" i="5"/>
  <c r="M6" i="5"/>
  <c r="L6" i="5"/>
  <c r="O6" i="5" s="1"/>
  <c r="N5" i="5"/>
  <c r="O5" i="5" s="1"/>
  <c r="M5" i="5"/>
  <c r="L5" i="5"/>
  <c r="N4" i="5"/>
  <c r="M4" i="5"/>
  <c r="L4" i="5"/>
  <c r="O4" i="5" s="1"/>
  <c r="N3" i="5"/>
  <c r="M3" i="5"/>
  <c r="L3" i="5"/>
  <c r="O3" i="5" s="1"/>
  <c r="Q3" i="5" s="1"/>
  <c r="R2" i="5"/>
  <c r="R74" i="4"/>
  <c r="C74" i="4"/>
  <c r="B74" i="4"/>
  <c r="B75" i="4" s="1"/>
  <c r="Q72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3" i="4"/>
  <c r="N3" i="4"/>
  <c r="M3" i="4"/>
  <c r="L3" i="4"/>
  <c r="C75" i="4"/>
  <c r="D75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DI72" i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2" i="5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D3" i="6"/>
  <c r="D4" i="6"/>
  <c r="J4" i="6" s="1"/>
  <c r="L4" i="6" s="1"/>
  <c r="D5" i="6"/>
  <c r="D6" i="6"/>
  <c r="J6" i="6" s="1"/>
  <c r="L6" i="6" s="1"/>
  <c r="D7" i="6"/>
  <c r="J7" i="6" s="1"/>
  <c r="L7" i="6" s="1"/>
  <c r="D8" i="6"/>
  <c r="D9" i="6"/>
  <c r="J9" i="6" s="1"/>
  <c r="D10" i="6"/>
  <c r="J10" i="6" s="1"/>
  <c r="L10" i="6" s="1"/>
  <c r="D11" i="6"/>
  <c r="J11" i="6" s="1"/>
  <c r="L11" i="6" s="1"/>
  <c r="D12" i="6"/>
  <c r="J12" i="6" s="1"/>
  <c r="L12" i="6" s="1"/>
  <c r="D13" i="6"/>
  <c r="D14" i="6"/>
  <c r="D15" i="6"/>
  <c r="D16" i="6"/>
  <c r="D17" i="6"/>
  <c r="J17" i="6" s="1"/>
  <c r="L17" i="6" s="1"/>
  <c r="D18" i="6"/>
  <c r="J18" i="6" s="1"/>
  <c r="L18" i="6" s="1"/>
  <c r="D19" i="6"/>
  <c r="D20" i="6"/>
  <c r="D21" i="6"/>
  <c r="D22" i="6"/>
  <c r="J22" i="6" s="1"/>
  <c r="D23" i="6"/>
  <c r="J24" i="6" s="1"/>
  <c r="L24" i="6" s="1"/>
  <c r="D24" i="6"/>
  <c r="D25" i="6"/>
  <c r="J25" i="6" s="1"/>
  <c r="L25" i="6" s="1"/>
  <c r="D26" i="6"/>
  <c r="J26" i="6" s="1"/>
  <c r="L26" i="6" s="1"/>
  <c r="D27" i="6"/>
  <c r="J27" i="6" s="1"/>
  <c r="L27" i="6" s="1"/>
  <c r="D28" i="6"/>
  <c r="J28" i="6" s="1"/>
  <c r="L28" i="6" s="1"/>
  <c r="D29" i="6"/>
  <c r="D30" i="6"/>
  <c r="J30" i="6" s="1"/>
  <c r="L30" i="6" s="1"/>
  <c r="D31" i="6"/>
  <c r="J31" i="6" s="1"/>
  <c r="L31" i="6" s="1"/>
  <c r="D32" i="6"/>
  <c r="J32" i="6" s="1"/>
  <c r="L32" i="6" s="1"/>
  <c r="D33" i="6"/>
  <c r="J33" i="6" s="1"/>
  <c r="L33" i="6" s="1"/>
  <c r="D34" i="6"/>
  <c r="J34" i="6" s="1"/>
  <c r="D35" i="6"/>
  <c r="J35" i="6" s="1"/>
  <c r="L35" i="6" s="1"/>
  <c r="D36" i="6"/>
  <c r="J36" i="6" s="1"/>
  <c r="L36" i="6" s="1"/>
  <c r="D37" i="6"/>
  <c r="D38" i="6"/>
  <c r="J38" i="6" s="1"/>
  <c r="L38" i="6" s="1"/>
  <c r="D39" i="6"/>
  <c r="J39" i="6" s="1"/>
  <c r="L39" i="6" s="1"/>
  <c r="D40" i="6"/>
  <c r="J40" i="6" s="1"/>
  <c r="L40" i="6" s="1"/>
  <c r="D41" i="6"/>
  <c r="J41" i="6" s="1"/>
  <c r="D42" i="6"/>
  <c r="J42" i="6" s="1"/>
  <c r="L42" i="6" s="1"/>
  <c r="D43" i="6"/>
  <c r="J43" i="6" s="1"/>
  <c r="L43" i="6" s="1"/>
  <c r="D44" i="6"/>
  <c r="J44" i="6" s="1"/>
  <c r="L44" i="6" s="1"/>
  <c r="D45" i="6"/>
  <c r="D46" i="6"/>
  <c r="J46" i="6" s="1"/>
  <c r="L46" i="6" s="1"/>
  <c r="D47" i="6"/>
  <c r="J47" i="6" s="1"/>
  <c r="L47" i="6" s="1"/>
  <c r="D48" i="6"/>
  <c r="D49" i="6"/>
  <c r="D50" i="6"/>
  <c r="J50" i="6" s="1"/>
  <c r="L50" i="6" s="1"/>
  <c r="D51" i="6"/>
  <c r="D52" i="6"/>
  <c r="D53" i="6"/>
  <c r="D54" i="6"/>
  <c r="J54" i="6" s="1"/>
  <c r="D55" i="6"/>
  <c r="J56" i="6" s="1"/>
  <c r="L56" i="6" s="1"/>
  <c r="D56" i="6"/>
  <c r="D57" i="6"/>
  <c r="J57" i="6" s="1"/>
  <c r="L57" i="6" s="1"/>
  <c r="D58" i="6"/>
  <c r="J58" i="6" s="1"/>
  <c r="L58" i="6" s="1"/>
  <c r="D59" i="6"/>
  <c r="J59" i="6" s="1"/>
  <c r="L59" i="6" s="1"/>
  <c r="D60" i="6"/>
  <c r="J60" i="6" s="1"/>
  <c r="L60" i="6" s="1"/>
  <c r="D61" i="6"/>
  <c r="D62" i="6"/>
  <c r="J62" i="6" s="1"/>
  <c r="D63" i="6"/>
  <c r="J63" i="6" s="1"/>
  <c r="L63" i="6" s="1"/>
  <c r="D64" i="6"/>
  <c r="J64" i="6" s="1"/>
  <c r="L64" i="6" s="1"/>
  <c r="D65" i="6"/>
  <c r="J65" i="6" s="1"/>
  <c r="L65" i="6" s="1"/>
  <c r="D66" i="6"/>
  <c r="J66" i="6" s="1"/>
  <c r="L66" i="6" s="1"/>
  <c r="D67" i="6"/>
  <c r="J67" i="6" s="1"/>
  <c r="D68" i="6"/>
  <c r="J68" i="6" s="1"/>
  <c r="L68" i="6" s="1"/>
  <c r="D69" i="6"/>
  <c r="D70" i="6"/>
  <c r="J70" i="6" s="1"/>
  <c r="L70" i="6" s="1"/>
  <c r="D71" i="6"/>
  <c r="J71" i="6" s="1"/>
  <c r="L71" i="6" s="1"/>
  <c r="D72" i="6"/>
  <c r="J72" i="6" s="1"/>
  <c r="L72" i="6" s="1"/>
  <c r="D2" i="6"/>
  <c r="R2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DB2" i="1"/>
  <c r="DK3" i="1"/>
  <c r="DD2" i="1"/>
  <c r="DJ2" i="1" s="1"/>
  <c r="DC2" i="1"/>
  <c r="DH2" i="1" s="1"/>
  <c r="CZ3" i="1"/>
  <c r="DE3" i="1" s="1"/>
  <c r="CY3" i="1"/>
  <c r="DK2" i="1"/>
  <c r="CY72" i="1"/>
  <c r="DI2" i="1"/>
  <c r="CZ4" i="1"/>
  <c r="CZ5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Y4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W3" i="1"/>
  <c r="CW4" i="1"/>
  <c r="CW5" i="1"/>
  <c r="CW6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2" i="1"/>
  <c r="L3" i="6" l="1"/>
  <c r="N3" i="6" s="1"/>
  <c r="L67" i="6"/>
  <c r="J52" i="6"/>
  <c r="L52" i="6" s="1"/>
  <c r="J20" i="6"/>
  <c r="L20" i="6" s="1"/>
  <c r="L41" i="6"/>
  <c r="L9" i="6"/>
  <c r="J48" i="6"/>
  <c r="L48" i="6" s="1"/>
  <c r="J16" i="6"/>
  <c r="L16" i="6" s="1"/>
  <c r="J61" i="6"/>
  <c r="L61" i="6" s="1"/>
  <c r="L34" i="6"/>
  <c r="L62" i="6"/>
  <c r="L54" i="6"/>
  <c r="L22" i="6"/>
  <c r="J14" i="6"/>
  <c r="L14" i="6" s="1"/>
  <c r="J29" i="6"/>
  <c r="L29" i="6" s="1"/>
  <c r="J69" i="6"/>
  <c r="L69" i="6" s="1"/>
  <c r="J53" i="6"/>
  <c r="L53" i="6" s="1"/>
  <c r="J45" i="6"/>
  <c r="L45" i="6" s="1"/>
  <c r="J37" i="6"/>
  <c r="L37" i="6" s="1"/>
  <c r="J21" i="6"/>
  <c r="L21" i="6" s="1"/>
  <c r="J13" i="6"/>
  <c r="L13" i="6" s="1"/>
  <c r="J5" i="6"/>
  <c r="L5" i="6" s="1"/>
  <c r="J19" i="6"/>
  <c r="L19" i="6" s="1"/>
  <c r="J51" i="6"/>
  <c r="L51" i="6" s="1"/>
  <c r="R3" i="5"/>
  <c r="Q4" i="5"/>
  <c r="Q3" i="4"/>
  <c r="R3" i="4" s="1"/>
  <c r="CX69" i="1"/>
  <c r="CX61" i="1"/>
  <c r="CX53" i="1"/>
  <c r="CX45" i="1"/>
  <c r="CX37" i="1"/>
  <c r="CX29" i="1"/>
  <c r="CX3" i="1"/>
  <c r="DC3" i="1" s="1"/>
  <c r="DH3" i="1" s="1"/>
  <c r="DD3" i="1"/>
  <c r="CX21" i="1"/>
  <c r="CX13" i="1"/>
  <c r="CX5" i="1"/>
  <c r="DA5" i="1" s="1"/>
  <c r="DB5" i="1" s="1"/>
  <c r="DE4" i="1"/>
  <c r="DA3" i="1"/>
  <c r="CX65" i="1"/>
  <c r="DA65" i="1" s="1"/>
  <c r="DB65" i="1" s="1"/>
  <c r="CX57" i="1"/>
  <c r="DA57" i="1" s="1"/>
  <c r="DB57" i="1" s="1"/>
  <c r="CX49" i="1"/>
  <c r="DA49" i="1" s="1"/>
  <c r="DB49" i="1" s="1"/>
  <c r="CX41" i="1"/>
  <c r="DA41" i="1" s="1"/>
  <c r="DB41" i="1" s="1"/>
  <c r="CX9" i="1"/>
  <c r="DA9" i="1" s="1"/>
  <c r="DB9" i="1" s="1"/>
  <c r="CX33" i="1"/>
  <c r="DA33" i="1" s="1"/>
  <c r="DB33" i="1" s="1"/>
  <c r="CX25" i="1"/>
  <c r="DA25" i="1" s="1"/>
  <c r="DB25" i="1" s="1"/>
  <c r="CX17" i="1"/>
  <c r="DA17" i="1" s="1"/>
  <c r="DB17" i="1" s="1"/>
  <c r="CX24" i="1"/>
  <c r="DA24" i="1" s="1"/>
  <c r="DB24" i="1" s="1"/>
  <c r="CX16" i="1"/>
  <c r="CX8" i="1"/>
  <c r="DA8" i="1" s="1"/>
  <c r="DB8" i="1" s="1"/>
  <c r="CX66" i="1"/>
  <c r="DA66" i="1" s="1"/>
  <c r="DB66" i="1" s="1"/>
  <c r="CX58" i="1"/>
  <c r="DA58" i="1" s="1"/>
  <c r="DB58" i="1" s="1"/>
  <c r="CX50" i="1"/>
  <c r="DA50" i="1" s="1"/>
  <c r="DB50" i="1" s="1"/>
  <c r="CX42" i="1"/>
  <c r="DA42" i="1" s="1"/>
  <c r="DB42" i="1" s="1"/>
  <c r="CX34" i="1"/>
  <c r="DA34" i="1" s="1"/>
  <c r="DB34" i="1" s="1"/>
  <c r="CX26" i="1"/>
  <c r="DA26" i="1" s="1"/>
  <c r="DB26" i="1" s="1"/>
  <c r="CX18" i="1"/>
  <c r="DA18" i="1" s="1"/>
  <c r="DB18" i="1" s="1"/>
  <c r="CX10" i="1"/>
  <c r="DA10" i="1" s="1"/>
  <c r="DB10" i="1" s="1"/>
  <c r="CX71" i="1"/>
  <c r="DA71" i="1" s="1"/>
  <c r="DB71" i="1" s="1"/>
  <c r="CX63" i="1"/>
  <c r="DA63" i="1" s="1"/>
  <c r="DB63" i="1" s="1"/>
  <c r="CX55" i="1"/>
  <c r="DA55" i="1" s="1"/>
  <c r="DB55" i="1" s="1"/>
  <c r="CX47" i="1"/>
  <c r="DA47" i="1" s="1"/>
  <c r="DB47" i="1" s="1"/>
  <c r="CX39" i="1"/>
  <c r="DA39" i="1" s="1"/>
  <c r="DB39" i="1" s="1"/>
  <c r="CX31" i="1"/>
  <c r="DA31" i="1" s="1"/>
  <c r="DB31" i="1" s="1"/>
  <c r="CX23" i="1"/>
  <c r="DA23" i="1" s="1"/>
  <c r="DB23" i="1" s="1"/>
  <c r="CX15" i="1"/>
  <c r="DA15" i="1" s="1"/>
  <c r="DB15" i="1" s="1"/>
  <c r="CX7" i="1"/>
  <c r="DA7" i="1" s="1"/>
  <c r="DB7" i="1" s="1"/>
  <c r="CX67" i="1"/>
  <c r="DA67" i="1" s="1"/>
  <c r="DB67" i="1" s="1"/>
  <c r="CX59" i="1"/>
  <c r="DA59" i="1" s="1"/>
  <c r="DB59" i="1" s="1"/>
  <c r="CX51" i="1"/>
  <c r="DA51" i="1" s="1"/>
  <c r="DB51" i="1" s="1"/>
  <c r="CX43" i="1"/>
  <c r="DA43" i="1" s="1"/>
  <c r="DB43" i="1" s="1"/>
  <c r="CX35" i="1"/>
  <c r="DA35" i="1" s="1"/>
  <c r="DB35" i="1" s="1"/>
  <c r="CX27" i="1"/>
  <c r="DA27" i="1" s="1"/>
  <c r="DB27" i="1" s="1"/>
  <c r="CX19" i="1"/>
  <c r="DA19" i="1" s="1"/>
  <c r="DB19" i="1" s="1"/>
  <c r="CX11" i="1"/>
  <c r="DA11" i="1" s="1"/>
  <c r="DB11" i="1" s="1"/>
  <c r="CX72" i="1"/>
  <c r="DA72" i="1" s="1"/>
  <c r="DB72" i="1" s="1"/>
  <c r="CX64" i="1"/>
  <c r="DA64" i="1" s="1"/>
  <c r="DB64" i="1" s="1"/>
  <c r="CX56" i="1"/>
  <c r="DA56" i="1" s="1"/>
  <c r="DB56" i="1" s="1"/>
  <c r="CX48" i="1"/>
  <c r="DA48" i="1" s="1"/>
  <c r="DB48" i="1" s="1"/>
  <c r="CX40" i="1"/>
  <c r="DA40" i="1" s="1"/>
  <c r="DB40" i="1" s="1"/>
  <c r="CX32" i="1"/>
  <c r="DA32" i="1" s="1"/>
  <c r="DB32" i="1" s="1"/>
  <c r="DA16" i="1"/>
  <c r="DB16" i="1" s="1"/>
  <c r="DA61" i="1"/>
  <c r="DB61" i="1" s="1"/>
  <c r="DA45" i="1"/>
  <c r="DB45" i="1" s="1"/>
  <c r="DA37" i="1"/>
  <c r="DB37" i="1" s="1"/>
  <c r="DA21" i="1"/>
  <c r="DB21" i="1" s="1"/>
  <c r="DA13" i="1"/>
  <c r="DB13" i="1" s="1"/>
  <c r="DA69" i="1"/>
  <c r="DB69" i="1" s="1"/>
  <c r="DA53" i="1"/>
  <c r="DB53" i="1" s="1"/>
  <c r="DA29" i="1"/>
  <c r="DB29" i="1" s="1"/>
  <c r="CX68" i="1"/>
  <c r="DA68" i="1" s="1"/>
  <c r="DB68" i="1" s="1"/>
  <c r="CX60" i="1"/>
  <c r="DA60" i="1" s="1"/>
  <c r="DB60" i="1" s="1"/>
  <c r="CX52" i="1"/>
  <c r="DA52" i="1" s="1"/>
  <c r="DB52" i="1" s="1"/>
  <c r="CX44" i="1"/>
  <c r="DA44" i="1" s="1"/>
  <c r="DB44" i="1" s="1"/>
  <c r="CX36" i="1"/>
  <c r="DA36" i="1" s="1"/>
  <c r="DB36" i="1" s="1"/>
  <c r="CX28" i="1"/>
  <c r="DA28" i="1" s="1"/>
  <c r="DB28" i="1" s="1"/>
  <c r="CX20" i="1"/>
  <c r="DA20" i="1" s="1"/>
  <c r="DB20" i="1" s="1"/>
  <c r="CX12" i="1"/>
  <c r="DA12" i="1" s="1"/>
  <c r="DB12" i="1" s="1"/>
  <c r="CX4" i="1"/>
  <c r="DA4" i="1" s="1"/>
  <c r="DB4" i="1" s="1"/>
  <c r="CX70" i="1"/>
  <c r="DA70" i="1" s="1"/>
  <c r="DB70" i="1" s="1"/>
  <c r="CX62" i="1"/>
  <c r="DA62" i="1" s="1"/>
  <c r="DB62" i="1" s="1"/>
  <c r="CX54" i="1"/>
  <c r="DA54" i="1" s="1"/>
  <c r="DB54" i="1" s="1"/>
  <c r="CX46" i="1"/>
  <c r="DA46" i="1" s="1"/>
  <c r="DB46" i="1" s="1"/>
  <c r="CX38" i="1"/>
  <c r="DA38" i="1" s="1"/>
  <c r="DB38" i="1" s="1"/>
  <c r="CX30" i="1"/>
  <c r="DA30" i="1" s="1"/>
  <c r="DB30" i="1" s="1"/>
  <c r="CX22" i="1"/>
  <c r="DA22" i="1" s="1"/>
  <c r="DB22" i="1" s="1"/>
  <c r="CX14" i="1"/>
  <c r="DA14" i="1" s="1"/>
  <c r="DB14" i="1" s="1"/>
  <c r="CX6" i="1"/>
  <c r="DA6" i="1" s="1"/>
  <c r="DB6" i="1" s="1"/>
  <c r="O3" i="6" l="1"/>
  <c r="N4" i="6"/>
  <c r="N5" i="6"/>
  <c r="O4" i="6"/>
  <c r="R4" i="5"/>
  <c r="Q5" i="5"/>
  <c r="Q4" i="4"/>
  <c r="R4" i="4" s="1"/>
  <c r="DF3" i="1"/>
  <c r="DB3" i="1"/>
  <c r="DG3" i="1" s="1"/>
  <c r="DG4" i="1" s="1"/>
  <c r="DG5" i="1" s="1"/>
  <c r="DG6" i="1" s="1"/>
  <c r="DG7" i="1" s="1"/>
  <c r="DG8" i="1" s="1"/>
  <c r="DG9" i="1" s="1"/>
  <c r="DG10" i="1" s="1"/>
  <c r="DG11" i="1" s="1"/>
  <c r="DG12" i="1" s="1"/>
  <c r="DG13" i="1" s="1"/>
  <c r="DG14" i="1" s="1"/>
  <c r="DG15" i="1" s="1"/>
  <c r="DG16" i="1" s="1"/>
  <c r="DG17" i="1" s="1"/>
  <c r="DG18" i="1" s="1"/>
  <c r="DG19" i="1" s="1"/>
  <c r="DG20" i="1" s="1"/>
  <c r="DG21" i="1" s="1"/>
  <c r="DG22" i="1" s="1"/>
  <c r="DG23" i="1" s="1"/>
  <c r="DG24" i="1" s="1"/>
  <c r="DG25" i="1" s="1"/>
  <c r="DG26" i="1" s="1"/>
  <c r="DG27" i="1" s="1"/>
  <c r="DG28" i="1" s="1"/>
  <c r="DG29" i="1" s="1"/>
  <c r="DG30" i="1" s="1"/>
  <c r="DG31" i="1" s="1"/>
  <c r="DG32" i="1" s="1"/>
  <c r="DG33" i="1" s="1"/>
  <c r="DG34" i="1" s="1"/>
  <c r="DG35" i="1" s="1"/>
  <c r="DG36" i="1" s="1"/>
  <c r="DG37" i="1" s="1"/>
  <c r="DG38" i="1" s="1"/>
  <c r="DG39" i="1" s="1"/>
  <c r="DG40" i="1" s="1"/>
  <c r="DG41" i="1" s="1"/>
  <c r="DG42" i="1" s="1"/>
  <c r="DG43" i="1" s="1"/>
  <c r="DG44" i="1" s="1"/>
  <c r="DG45" i="1" s="1"/>
  <c r="DG46" i="1" s="1"/>
  <c r="DG47" i="1" s="1"/>
  <c r="DG48" i="1" s="1"/>
  <c r="DG49" i="1" s="1"/>
  <c r="DG50" i="1" s="1"/>
  <c r="DG51" i="1" s="1"/>
  <c r="DG52" i="1" s="1"/>
  <c r="DG53" i="1" s="1"/>
  <c r="DG54" i="1" s="1"/>
  <c r="DG55" i="1" s="1"/>
  <c r="DG56" i="1" s="1"/>
  <c r="DG57" i="1" s="1"/>
  <c r="DG58" i="1" s="1"/>
  <c r="DG59" i="1" s="1"/>
  <c r="DG60" i="1" s="1"/>
  <c r="DG61" i="1" s="1"/>
  <c r="DG62" i="1" s="1"/>
  <c r="DG63" i="1" s="1"/>
  <c r="DG64" i="1" s="1"/>
  <c r="DG65" i="1" s="1"/>
  <c r="DG66" i="1" s="1"/>
  <c r="DG67" i="1" s="1"/>
  <c r="DG68" i="1" s="1"/>
  <c r="DG69" i="1" s="1"/>
  <c r="DG70" i="1" s="1"/>
  <c r="DG71" i="1" s="1"/>
  <c r="DG72" i="1" s="1"/>
  <c r="DD4" i="1"/>
  <c r="DD5" i="1" s="1"/>
  <c r="DD6" i="1" s="1"/>
  <c r="DJ3" i="1"/>
  <c r="DC4" i="1"/>
  <c r="DC5" i="1" s="1"/>
  <c r="DH4" i="1"/>
  <c r="DF4" i="1"/>
  <c r="DF5" i="1" s="1"/>
  <c r="DE5" i="1"/>
  <c r="DK4" i="1"/>
  <c r="N6" i="6" l="1"/>
  <c r="O5" i="6"/>
  <c r="Q6" i="5"/>
  <c r="R5" i="5"/>
  <c r="Q5" i="4"/>
  <c r="Q6" i="4" s="1"/>
  <c r="Q7" i="4" s="1"/>
  <c r="DJ4" i="1"/>
  <c r="DI4" i="1"/>
  <c r="DC6" i="1"/>
  <c r="DH5" i="1"/>
  <c r="DE6" i="1"/>
  <c r="DK5" i="1"/>
  <c r="DF6" i="1"/>
  <c r="DI5" i="1"/>
  <c r="DJ5" i="1"/>
  <c r="N7" i="6" l="1"/>
  <c r="O6" i="6"/>
  <c r="Q7" i="5"/>
  <c r="R6" i="5"/>
  <c r="R5" i="4"/>
  <c r="R6" i="4"/>
  <c r="DC7" i="1"/>
  <c r="DH6" i="1"/>
  <c r="DE7" i="1"/>
  <c r="DK6" i="1"/>
  <c r="DD7" i="1"/>
  <c r="DJ6" i="1"/>
  <c r="DF7" i="1"/>
  <c r="DI6" i="1"/>
  <c r="O7" i="6" l="1"/>
  <c r="N8" i="6"/>
  <c r="R7" i="5"/>
  <c r="Q8" i="5"/>
  <c r="Q8" i="4"/>
  <c r="R7" i="4"/>
  <c r="DC8" i="1"/>
  <c r="DH7" i="1"/>
  <c r="DE8" i="1"/>
  <c r="DK7" i="1"/>
  <c r="DF8" i="1"/>
  <c r="DI7" i="1"/>
  <c r="DD8" i="1"/>
  <c r="DJ7" i="1"/>
  <c r="O8" i="6" l="1"/>
  <c r="N9" i="6"/>
  <c r="R8" i="5"/>
  <c r="Q9" i="5"/>
  <c r="Q9" i="4"/>
  <c r="R8" i="4"/>
  <c r="DC9" i="1"/>
  <c r="DH8" i="1"/>
  <c r="DE9" i="1"/>
  <c r="DK8" i="1"/>
  <c r="DD9" i="1"/>
  <c r="DJ8" i="1"/>
  <c r="DF9" i="1"/>
  <c r="DI8" i="1"/>
  <c r="O9" i="6" l="1"/>
  <c r="N10" i="6"/>
  <c r="Q10" i="5"/>
  <c r="R9" i="5"/>
  <c r="Q10" i="4"/>
  <c r="R9" i="4"/>
  <c r="DC10" i="1"/>
  <c r="DH9" i="1"/>
  <c r="DE10" i="1"/>
  <c r="DK9" i="1"/>
  <c r="DF10" i="1"/>
  <c r="DI9" i="1"/>
  <c r="DD10" i="1"/>
  <c r="DJ9" i="1"/>
  <c r="O10" i="6" l="1"/>
  <c r="N11" i="6"/>
  <c r="Q11" i="5"/>
  <c r="R10" i="5"/>
  <c r="Q11" i="4"/>
  <c r="R10" i="4"/>
  <c r="DC11" i="1"/>
  <c r="DH10" i="1"/>
  <c r="DE11" i="1"/>
  <c r="DK10" i="1"/>
  <c r="DD11" i="1"/>
  <c r="DJ10" i="1"/>
  <c r="DF11" i="1"/>
  <c r="DI10" i="1"/>
  <c r="O11" i="6" l="1"/>
  <c r="N12" i="6"/>
  <c r="R11" i="5"/>
  <c r="Q12" i="5"/>
  <c r="Q12" i="4"/>
  <c r="R11" i="4"/>
  <c r="DC12" i="1"/>
  <c r="DH11" i="1"/>
  <c r="DE12" i="1"/>
  <c r="DK11" i="1"/>
  <c r="DF12" i="1"/>
  <c r="DI11" i="1"/>
  <c r="DD12" i="1"/>
  <c r="DJ11" i="1"/>
  <c r="N13" i="6" l="1"/>
  <c r="O12" i="6"/>
  <c r="R12" i="5"/>
  <c r="Q13" i="5"/>
  <c r="Q13" i="4"/>
  <c r="R12" i="4"/>
  <c r="DC13" i="1"/>
  <c r="DH12" i="1"/>
  <c r="DE13" i="1"/>
  <c r="DK12" i="1"/>
  <c r="DD13" i="1"/>
  <c r="DJ12" i="1"/>
  <c r="DF13" i="1"/>
  <c r="DI12" i="1"/>
  <c r="N14" i="6" l="1"/>
  <c r="O13" i="6"/>
  <c r="R13" i="5"/>
  <c r="Q14" i="5"/>
  <c r="Q14" i="4"/>
  <c r="R13" i="4"/>
  <c r="DC14" i="1"/>
  <c r="DH13" i="1"/>
  <c r="DE14" i="1"/>
  <c r="DK13" i="1"/>
  <c r="DF14" i="1"/>
  <c r="DI13" i="1"/>
  <c r="DD14" i="1"/>
  <c r="DJ13" i="1"/>
  <c r="O14" i="6" l="1"/>
  <c r="N15" i="6"/>
  <c r="Q15" i="5"/>
  <c r="R14" i="5"/>
  <c r="Q15" i="4"/>
  <c r="R14" i="4"/>
  <c r="DC15" i="1"/>
  <c r="DH14" i="1"/>
  <c r="DE15" i="1"/>
  <c r="DK14" i="1"/>
  <c r="DD15" i="1"/>
  <c r="DJ14" i="1"/>
  <c r="DF15" i="1"/>
  <c r="DI14" i="1"/>
  <c r="O15" i="6" l="1"/>
  <c r="N16" i="6"/>
  <c r="R15" i="5"/>
  <c r="Q16" i="5"/>
  <c r="Q16" i="4"/>
  <c r="R15" i="4"/>
  <c r="DC16" i="1"/>
  <c r="DH15" i="1"/>
  <c r="DE16" i="1"/>
  <c r="DK15" i="1"/>
  <c r="DF16" i="1"/>
  <c r="DI15" i="1"/>
  <c r="DD16" i="1"/>
  <c r="DJ15" i="1"/>
  <c r="O16" i="6" l="1"/>
  <c r="N17" i="6"/>
  <c r="R16" i="5"/>
  <c r="Q17" i="5"/>
  <c r="Q17" i="4"/>
  <c r="R16" i="4"/>
  <c r="DC17" i="1"/>
  <c r="DH16" i="1"/>
  <c r="DE17" i="1"/>
  <c r="DK16" i="1"/>
  <c r="DD17" i="1"/>
  <c r="DJ16" i="1"/>
  <c r="DF17" i="1"/>
  <c r="DI16" i="1"/>
  <c r="O17" i="6" l="1"/>
  <c r="N18" i="6"/>
  <c r="R17" i="5"/>
  <c r="Q18" i="5"/>
  <c r="Q18" i="4"/>
  <c r="R17" i="4"/>
  <c r="DC18" i="1"/>
  <c r="DH17" i="1"/>
  <c r="DE18" i="1"/>
  <c r="DK17" i="1"/>
  <c r="DF18" i="1"/>
  <c r="DI17" i="1"/>
  <c r="DD18" i="1"/>
  <c r="DJ17" i="1"/>
  <c r="O18" i="6" l="1"/>
  <c r="N19" i="6"/>
  <c r="Q19" i="5"/>
  <c r="R18" i="5"/>
  <c r="Q19" i="4"/>
  <c r="R18" i="4"/>
  <c r="DC19" i="1"/>
  <c r="DH18" i="1"/>
  <c r="DE19" i="1"/>
  <c r="DK18" i="1"/>
  <c r="DD19" i="1"/>
  <c r="DJ18" i="1"/>
  <c r="DF19" i="1"/>
  <c r="DI18" i="1"/>
  <c r="O19" i="6" l="1"/>
  <c r="N20" i="6"/>
  <c r="R19" i="5"/>
  <c r="Q20" i="5"/>
  <c r="Q20" i="4"/>
  <c r="R19" i="4"/>
  <c r="DC20" i="1"/>
  <c r="DH19" i="1"/>
  <c r="DE20" i="1"/>
  <c r="DK19" i="1"/>
  <c r="DF20" i="1"/>
  <c r="DI19" i="1"/>
  <c r="DD20" i="1"/>
  <c r="DJ19" i="1"/>
  <c r="N21" i="6" l="1"/>
  <c r="O20" i="6"/>
  <c r="R20" i="5"/>
  <c r="Q21" i="5"/>
  <c r="Q21" i="4"/>
  <c r="R20" i="4"/>
  <c r="DC21" i="1"/>
  <c r="DH20" i="1"/>
  <c r="DE21" i="1"/>
  <c r="DK20" i="1"/>
  <c r="DD21" i="1"/>
  <c r="DJ20" i="1"/>
  <c r="DF21" i="1"/>
  <c r="DI20" i="1"/>
  <c r="N22" i="6" l="1"/>
  <c r="O21" i="6"/>
  <c r="Q22" i="5"/>
  <c r="R21" i="5"/>
  <c r="Q22" i="4"/>
  <c r="R21" i="4"/>
  <c r="DC22" i="1"/>
  <c r="DH21" i="1"/>
  <c r="DE22" i="1"/>
  <c r="DK21" i="1"/>
  <c r="DF22" i="1"/>
  <c r="DI21" i="1"/>
  <c r="DD22" i="1"/>
  <c r="DJ21" i="1"/>
  <c r="N23" i="6" l="1"/>
  <c r="O22" i="6"/>
  <c r="Q23" i="5"/>
  <c r="R22" i="5"/>
  <c r="Q23" i="4"/>
  <c r="R22" i="4"/>
  <c r="DC23" i="1"/>
  <c r="DH22" i="1"/>
  <c r="DE23" i="1"/>
  <c r="DK22" i="1"/>
  <c r="DD23" i="1"/>
  <c r="DJ22" i="1"/>
  <c r="DF23" i="1"/>
  <c r="DI22" i="1"/>
  <c r="O23" i="6" l="1"/>
  <c r="N24" i="6"/>
  <c r="R23" i="5"/>
  <c r="Q24" i="5"/>
  <c r="Q24" i="4"/>
  <c r="R23" i="4"/>
  <c r="DC24" i="1"/>
  <c r="DH23" i="1"/>
  <c r="DE24" i="1"/>
  <c r="DK23" i="1"/>
  <c r="DF24" i="1"/>
  <c r="DI23" i="1"/>
  <c r="DD24" i="1"/>
  <c r="DJ23" i="1"/>
  <c r="O24" i="6" l="1"/>
  <c r="N25" i="6"/>
  <c r="R24" i="5"/>
  <c r="Q25" i="5"/>
  <c r="Q25" i="4"/>
  <c r="R24" i="4"/>
  <c r="DC25" i="1"/>
  <c r="DH24" i="1"/>
  <c r="DE25" i="1"/>
  <c r="DK24" i="1"/>
  <c r="DD25" i="1"/>
  <c r="DJ24" i="1"/>
  <c r="DF25" i="1"/>
  <c r="DI24" i="1"/>
  <c r="O25" i="6" l="1"/>
  <c r="N26" i="6"/>
  <c r="R25" i="5"/>
  <c r="Q26" i="5"/>
  <c r="Q26" i="4"/>
  <c r="R25" i="4"/>
  <c r="DC26" i="1"/>
  <c r="DH25" i="1"/>
  <c r="DE26" i="1"/>
  <c r="DK25" i="1"/>
  <c r="DI25" i="1"/>
  <c r="DF26" i="1"/>
  <c r="DD26" i="1"/>
  <c r="DJ25" i="1"/>
  <c r="O26" i="6" l="1"/>
  <c r="N27" i="6"/>
  <c r="Q27" i="5"/>
  <c r="R26" i="5"/>
  <c r="Q27" i="4"/>
  <c r="R26" i="4"/>
  <c r="DC27" i="1"/>
  <c r="DH26" i="1"/>
  <c r="DE27" i="1"/>
  <c r="DK26" i="1"/>
  <c r="DD27" i="1"/>
  <c r="DJ26" i="1"/>
  <c r="DI26" i="1"/>
  <c r="DF27" i="1"/>
  <c r="O27" i="6" l="1"/>
  <c r="N28" i="6"/>
  <c r="R27" i="5"/>
  <c r="Q28" i="5"/>
  <c r="Q28" i="4"/>
  <c r="R27" i="4"/>
  <c r="DC28" i="1"/>
  <c r="DH27" i="1"/>
  <c r="DE28" i="1"/>
  <c r="DK27" i="1"/>
  <c r="DF28" i="1"/>
  <c r="DI27" i="1"/>
  <c r="DD28" i="1"/>
  <c r="DJ27" i="1"/>
  <c r="N29" i="6" l="1"/>
  <c r="O28" i="6"/>
  <c r="R28" i="5"/>
  <c r="Q29" i="5"/>
  <c r="Q29" i="4"/>
  <c r="R28" i="4"/>
  <c r="DC29" i="1"/>
  <c r="DH28" i="1"/>
  <c r="DE29" i="1"/>
  <c r="DK28" i="1"/>
  <c r="DD29" i="1"/>
  <c r="DJ28" i="1"/>
  <c r="DF29" i="1"/>
  <c r="DI28" i="1"/>
  <c r="N30" i="6" l="1"/>
  <c r="O29" i="6"/>
  <c r="Q30" i="5"/>
  <c r="R29" i="5"/>
  <c r="Q30" i="4"/>
  <c r="R29" i="4"/>
  <c r="DC30" i="1"/>
  <c r="DH29" i="1"/>
  <c r="DE30" i="1"/>
  <c r="DK29" i="1"/>
  <c r="DF30" i="1"/>
  <c r="DI29" i="1"/>
  <c r="DD30" i="1"/>
  <c r="DJ29" i="1"/>
  <c r="N31" i="6" l="1"/>
  <c r="O30" i="6"/>
  <c r="Q31" i="5"/>
  <c r="R30" i="5"/>
  <c r="Q31" i="4"/>
  <c r="R30" i="4"/>
  <c r="DC31" i="1"/>
  <c r="DH30" i="1"/>
  <c r="DE31" i="1"/>
  <c r="DK30" i="1"/>
  <c r="DD31" i="1"/>
  <c r="DJ30" i="1"/>
  <c r="DF31" i="1"/>
  <c r="DI30" i="1"/>
  <c r="O31" i="6" l="1"/>
  <c r="N32" i="6"/>
  <c r="R31" i="5"/>
  <c r="Q32" i="5"/>
  <c r="Q32" i="4"/>
  <c r="R31" i="4"/>
  <c r="DC32" i="1"/>
  <c r="DH31" i="1"/>
  <c r="DE32" i="1"/>
  <c r="DK31" i="1"/>
  <c r="DF32" i="1"/>
  <c r="DI31" i="1"/>
  <c r="DD32" i="1"/>
  <c r="DJ31" i="1"/>
  <c r="O32" i="6" l="1"/>
  <c r="N33" i="6"/>
  <c r="R32" i="5"/>
  <c r="Q33" i="5"/>
  <c r="Q33" i="4"/>
  <c r="R32" i="4"/>
  <c r="DC33" i="1"/>
  <c r="DH32" i="1"/>
  <c r="DE33" i="1"/>
  <c r="DK32" i="1"/>
  <c r="DD33" i="1"/>
  <c r="DJ32" i="1"/>
  <c r="DF33" i="1"/>
  <c r="DI32" i="1"/>
  <c r="O33" i="6" l="1"/>
  <c r="N34" i="6"/>
  <c r="Q34" i="5"/>
  <c r="R33" i="5"/>
  <c r="Q34" i="4"/>
  <c r="R33" i="4"/>
  <c r="DC34" i="1"/>
  <c r="DH33" i="1"/>
  <c r="DE34" i="1"/>
  <c r="DK33" i="1"/>
  <c r="DD34" i="1"/>
  <c r="DJ33" i="1"/>
  <c r="DF34" i="1"/>
  <c r="DI33" i="1"/>
  <c r="O34" i="6" l="1"/>
  <c r="N35" i="6"/>
  <c r="Q35" i="5"/>
  <c r="R34" i="5"/>
  <c r="Q35" i="4"/>
  <c r="R34" i="4"/>
  <c r="DC35" i="1"/>
  <c r="DH34" i="1"/>
  <c r="DE35" i="1"/>
  <c r="DK34" i="1"/>
  <c r="DF35" i="1"/>
  <c r="DI34" i="1"/>
  <c r="DD35" i="1"/>
  <c r="DJ34" i="1"/>
  <c r="O35" i="6" l="1"/>
  <c r="N36" i="6"/>
  <c r="R35" i="5"/>
  <c r="Q36" i="5"/>
  <c r="Q36" i="4"/>
  <c r="R35" i="4"/>
  <c r="DC36" i="1"/>
  <c r="DH35" i="1"/>
  <c r="DE36" i="1"/>
  <c r="DK35" i="1"/>
  <c r="DD36" i="1"/>
  <c r="DJ35" i="1"/>
  <c r="DF36" i="1"/>
  <c r="DI35" i="1"/>
  <c r="N37" i="6" l="1"/>
  <c r="O36" i="6"/>
  <c r="R36" i="5"/>
  <c r="Q37" i="5"/>
  <c r="Q37" i="4"/>
  <c r="R36" i="4"/>
  <c r="DC37" i="1"/>
  <c r="DH36" i="1"/>
  <c r="DE37" i="1"/>
  <c r="DK36" i="1"/>
  <c r="DF37" i="1"/>
  <c r="DI36" i="1"/>
  <c r="DD37" i="1"/>
  <c r="DJ36" i="1"/>
  <c r="N38" i="6" l="1"/>
  <c r="O37" i="6"/>
  <c r="Q38" i="5"/>
  <c r="R37" i="5"/>
  <c r="Q38" i="4"/>
  <c r="R37" i="4"/>
  <c r="DC38" i="1"/>
  <c r="DH37" i="1"/>
  <c r="DE38" i="1"/>
  <c r="DK37" i="1"/>
  <c r="DD38" i="1"/>
  <c r="DJ37" i="1"/>
  <c r="DF38" i="1"/>
  <c r="DI37" i="1"/>
  <c r="O38" i="6" l="1"/>
  <c r="N39" i="6"/>
  <c r="Q39" i="5"/>
  <c r="R38" i="5"/>
  <c r="Q39" i="4"/>
  <c r="R38" i="4"/>
  <c r="DC39" i="1"/>
  <c r="DH38" i="1"/>
  <c r="DE39" i="1"/>
  <c r="DK38" i="1"/>
  <c r="DF39" i="1"/>
  <c r="DI38" i="1"/>
  <c r="DD39" i="1"/>
  <c r="DJ38" i="1"/>
  <c r="O39" i="6" l="1"/>
  <c r="N40" i="6"/>
  <c r="R39" i="5"/>
  <c r="Q40" i="5"/>
  <c r="Q40" i="4"/>
  <c r="R39" i="4"/>
  <c r="DC40" i="1"/>
  <c r="DH39" i="1"/>
  <c r="DE40" i="1"/>
  <c r="DK39" i="1"/>
  <c r="DD40" i="1"/>
  <c r="DJ39" i="1"/>
  <c r="DF40" i="1"/>
  <c r="DI39" i="1"/>
  <c r="O40" i="6" l="1"/>
  <c r="N41" i="6"/>
  <c r="R40" i="5"/>
  <c r="Q41" i="5"/>
  <c r="Q41" i="4"/>
  <c r="R40" i="4"/>
  <c r="DC41" i="1"/>
  <c r="DH40" i="1"/>
  <c r="DE41" i="1"/>
  <c r="DK40" i="1"/>
  <c r="DF41" i="1"/>
  <c r="DI40" i="1"/>
  <c r="DD41" i="1"/>
  <c r="DJ40" i="1"/>
  <c r="O41" i="6" l="1"/>
  <c r="N42" i="6"/>
  <c r="Q42" i="5"/>
  <c r="R41" i="5"/>
  <c r="Q42" i="4"/>
  <c r="R41" i="4"/>
  <c r="DC42" i="1"/>
  <c r="DH41" i="1"/>
  <c r="DE42" i="1"/>
  <c r="DK41" i="1"/>
  <c r="DD42" i="1"/>
  <c r="DJ41" i="1"/>
  <c r="DF42" i="1"/>
  <c r="DI41" i="1"/>
  <c r="O42" i="6" l="1"/>
  <c r="N43" i="6"/>
  <c r="Q43" i="5"/>
  <c r="R42" i="5"/>
  <c r="Q43" i="4"/>
  <c r="R42" i="4"/>
  <c r="DC43" i="1"/>
  <c r="DH42" i="1"/>
  <c r="DE43" i="1"/>
  <c r="DK42" i="1"/>
  <c r="DF43" i="1"/>
  <c r="DI42" i="1"/>
  <c r="DD43" i="1"/>
  <c r="DJ42" i="1"/>
  <c r="O43" i="6" l="1"/>
  <c r="N44" i="6"/>
  <c r="R43" i="5"/>
  <c r="Q44" i="5"/>
  <c r="Q44" i="4"/>
  <c r="R43" i="4"/>
  <c r="DC44" i="1"/>
  <c r="DH43" i="1"/>
  <c r="DE44" i="1"/>
  <c r="DK43" i="1"/>
  <c r="DD44" i="1"/>
  <c r="DJ43" i="1"/>
  <c r="DF44" i="1"/>
  <c r="DI43" i="1"/>
  <c r="N45" i="6" l="1"/>
  <c r="O44" i="6"/>
  <c r="R44" i="5"/>
  <c r="Q45" i="5"/>
  <c r="Q45" i="4"/>
  <c r="R44" i="4"/>
  <c r="DC45" i="1"/>
  <c r="DH44" i="1"/>
  <c r="DE45" i="1"/>
  <c r="DK44" i="1"/>
  <c r="DF45" i="1"/>
  <c r="DI44" i="1"/>
  <c r="DD45" i="1"/>
  <c r="DJ44" i="1"/>
  <c r="N46" i="6" l="1"/>
  <c r="O45" i="6"/>
  <c r="R45" i="5"/>
  <c r="Q46" i="5"/>
  <c r="Q46" i="4"/>
  <c r="R45" i="4"/>
  <c r="DC46" i="1"/>
  <c r="DH45" i="1"/>
  <c r="DE46" i="1"/>
  <c r="DK45" i="1"/>
  <c r="DD46" i="1"/>
  <c r="DJ45" i="1"/>
  <c r="DF46" i="1"/>
  <c r="DI45" i="1"/>
  <c r="N47" i="6" l="1"/>
  <c r="O46" i="6"/>
  <c r="Q47" i="5"/>
  <c r="R46" i="5"/>
  <c r="Q47" i="4"/>
  <c r="R46" i="4"/>
  <c r="DC47" i="1"/>
  <c r="DH46" i="1"/>
  <c r="DE47" i="1"/>
  <c r="DK46" i="1"/>
  <c r="DF47" i="1"/>
  <c r="DI46" i="1"/>
  <c r="DD47" i="1"/>
  <c r="DJ46" i="1"/>
  <c r="O47" i="6" l="1"/>
  <c r="N48" i="6"/>
  <c r="R47" i="5"/>
  <c r="Q48" i="5"/>
  <c r="Q48" i="4"/>
  <c r="R47" i="4"/>
  <c r="DC48" i="1"/>
  <c r="DH47" i="1"/>
  <c r="DE48" i="1"/>
  <c r="DK47" i="1"/>
  <c r="DD48" i="1"/>
  <c r="DJ47" i="1"/>
  <c r="DF48" i="1"/>
  <c r="DI47" i="1"/>
  <c r="O48" i="6" l="1"/>
  <c r="N49" i="6"/>
  <c r="R48" i="5"/>
  <c r="Q49" i="5"/>
  <c r="Q49" i="4"/>
  <c r="R48" i="4"/>
  <c r="DC49" i="1"/>
  <c r="DH48" i="1"/>
  <c r="DE49" i="1"/>
  <c r="DK48" i="1"/>
  <c r="DF49" i="1"/>
  <c r="DI48" i="1"/>
  <c r="DD49" i="1"/>
  <c r="DJ48" i="1"/>
  <c r="O49" i="6" l="1"/>
  <c r="N50" i="6"/>
  <c r="Q50" i="5"/>
  <c r="R49" i="5"/>
  <c r="Q50" i="4"/>
  <c r="R49" i="4"/>
  <c r="DC50" i="1"/>
  <c r="DH49" i="1"/>
  <c r="DE50" i="1"/>
  <c r="DK49" i="1"/>
  <c r="DD50" i="1"/>
  <c r="DJ49" i="1"/>
  <c r="DF50" i="1"/>
  <c r="DI49" i="1"/>
  <c r="O50" i="6" l="1"/>
  <c r="N51" i="6"/>
  <c r="Q51" i="5"/>
  <c r="R50" i="5"/>
  <c r="Q51" i="4"/>
  <c r="R50" i="4"/>
  <c r="DC51" i="1"/>
  <c r="DH50" i="1"/>
  <c r="DE51" i="1"/>
  <c r="DK50" i="1"/>
  <c r="DF51" i="1"/>
  <c r="DI50" i="1"/>
  <c r="DD51" i="1"/>
  <c r="DJ50" i="1"/>
  <c r="O51" i="6" l="1"/>
  <c r="N52" i="6"/>
  <c r="R51" i="5"/>
  <c r="Q52" i="5"/>
  <c r="Q52" i="4"/>
  <c r="R51" i="4"/>
  <c r="DC52" i="1"/>
  <c r="DH51" i="1"/>
  <c r="DE52" i="1"/>
  <c r="DK51" i="1"/>
  <c r="DD52" i="1"/>
  <c r="DJ51" i="1"/>
  <c r="DF52" i="1"/>
  <c r="DI51" i="1"/>
  <c r="N53" i="6" l="1"/>
  <c r="O52" i="6"/>
  <c r="R52" i="5"/>
  <c r="Q53" i="5"/>
  <c r="Q53" i="4"/>
  <c r="R52" i="4"/>
  <c r="DC53" i="1"/>
  <c r="DH52" i="1"/>
  <c r="DE53" i="1"/>
  <c r="DK52" i="1"/>
  <c r="DF53" i="1"/>
  <c r="DI52" i="1"/>
  <c r="DD53" i="1"/>
  <c r="DJ52" i="1"/>
  <c r="N54" i="6" l="1"/>
  <c r="O53" i="6"/>
  <c r="Q54" i="5"/>
  <c r="R53" i="5"/>
  <c r="Q54" i="4"/>
  <c r="R53" i="4"/>
  <c r="DC54" i="1"/>
  <c r="DH53" i="1"/>
  <c r="DE54" i="1"/>
  <c r="DK53" i="1"/>
  <c r="DD54" i="1"/>
  <c r="DJ53" i="1"/>
  <c r="DF54" i="1"/>
  <c r="DI53" i="1"/>
  <c r="O54" i="6" l="1"/>
  <c r="N55" i="6"/>
  <c r="Q55" i="5"/>
  <c r="R54" i="5"/>
  <c r="Q55" i="4"/>
  <c r="R54" i="4"/>
  <c r="DC55" i="1"/>
  <c r="DH54" i="1"/>
  <c r="DE55" i="1"/>
  <c r="DK54" i="1"/>
  <c r="DF55" i="1"/>
  <c r="DI54" i="1"/>
  <c r="DD55" i="1"/>
  <c r="DJ54" i="1"/>
  <c r="O55" i="6" l="1"/>
  <c r="N56" i="6"/>
  <c r="R55" i="5"/>
  <c r="Q56" i="5"/>
  <c r="Q56" i="4"/>
  <c r="R55" i="4"/>
  <c r="DC56" i="1"/>
  <c r="DH55" i="1"/>
  <c r="DE56" i="1"/>
  <c r="DK55" i="1"/>
  <c r="DD56" i="1"/>
  <c r="DJ55" i="1"/>
  <c r="DF56" i="1"/>
  <c r="DI55" i="1"/>
  <c r="O56" i="6" l="1"/>
  <c r="N57" i="6"/>
  <c r="R56" i="5"/>
  <c r="Q57" i="5"/>
  <c r="Q57" i="4"/>
  <c r="R56" i="4"/>
  <c r="DC57" i="1"/>
  <c r="DH56" i="1"/>
  <c r="DE57" i="1"/>
  <c r="DK56" i="1"/>
  <c r="DF57" i="1"/>
  <c r="DI56" i="1"/>
  <c r="DD57" i="1"/>
  <c r="DJ56" i="1"/>
  <c r="O57" i="6" l="1"/>
  <c r="N58" i="6"/>
  <c r="Q58" i="5"/>
  <c r="R57" i="5"/>
  <c r="Q58" i="4"/>
  <c r="R57" i="4"/>
  <c r="DC58" i="1"/>
  <c r="DH57" i="1"/>
  <c r="DE58" i="1"/>
  <c r="DK57" i="1"/>
  <c r="DD58" i="1"/>
  <c r="DJ57" i="1"/>
  <c r="DF58" i="1"/>
  <c r="DI57" i="1"/>
  <c r="O58" i="6" l="1"/>
  <c r="N59" i="6"/>
  <c r="Q59" i="5"/>
  <c r="R58" i="5"/>
  <c r="Q59" i="4"/>
  <c r="R58" i="4"/>
  <c r="DC59" i="1"/>
  <c r="DH58" i="1"/>
  <c r="DE59" i="1"/>
  <c r="DK58" i="1"/>
  <c r="DF59" i="1"/>
  <c r="DI58" i="1"/>
  <c r="DD59" i="1"/>
  <c r="DJ58" i="1"/>
  <c r="O59" i="6" l="1"/>
  <c r="N60" i="6"/>
  <c r="R59" i="5"/>
  <c r="Q60" i="5"/>
  <c r="Q60" i="4"/>
  <c r="R59" i="4"/>
  <c r="DC60" i="1"/>
  <c r="DH59" i="1"/>
  <c r="DE60" i="1"/>
  <c r="DK59" i="1"/>
  <c r="DD60" i="1"/>
  <c r="DJ59" i="1"/>
  <c r="DF60" i="1"/>
  <c r="DI59" i="1"/>
  <c r="N61" i="6" l="1"/>
  <c r="O60" i="6"/>
  <c r="R60" i="5"/>
  <c r="Q61" i="5"/>
  <c r="Q61" i="4"/>
  <c r="R60" i="4"/>
  <c r="DC61" i="1"/>
  <c r="DH60" i="1"/>
  <c r="DE61" i="1"/>
  <c r="DK60" i="1"/>
  <c r="DF61" i="1"/>
  <c r="DI60" i="1"/>
  <c r="DD61" i="1"/>
  <c r="DJ60" i="1"/>
  <c r="N62" i="6" l="1"/>
  <c r="O61" i="6"/>
  <c r="R61" i="5"/>
  <c r="Q62" i="5"/>
  <c r="Q62" i="4"/>
  <c r="R61" i="4"/>
  <c r="DC62" i="1"/>
  <c r="DH61" i="1"/>
  <c r="DE62" i="1"/>
  <c r="DK61" i="1"/>
  <c r="DD62" i="1"/>
  <c r="DJ61" i="1"/>
  <c r="DF62" i="1"/>
  <c r="DI61" i="1"/>
  <c r="O62" i="6" l="1"/>
  <c r="N63" i="6"/>
  <c r="Q63" i="5"/>
  <c r="R62" i="5"/>
  <c r="Q63" i="4"/>
  <c r="R62" i="4"/>
  <c r="DC63" i="1"/>
  <c r="DH62" i="1"/>
  <c r="DE63" i="1"/>
  <c r="DK62" i="1"/>
  <c r="DF63" i="1"/>
  <c r="DI62" i="1"/>
  <c r="DD63" i="1"/>
  <c r="DJ62" i="1"/>
  <c r="O63" i="6" l="1"/>
  <c r="N64" i="6"/>
  <c r="R63" i="5"/>
  <c r="Q64" i="5"/>
  <c r="Q64" i="4"/>
  <c r="R63" i="4"/>
  <c r="DC64" i="1"/>
  <c r="DH63" i="1"/>
  <c r="DE64" i="1"/>
  <c r="DK63" i="1"/>
  <c r="DD64" i="1"/>
  <c r="DJ63" i="1"/>
  <c r="DF64" i="1"/>
  <c r="DI63" i="1"/>
  <c r="O64" i="6" l="1"/>
  <c r="N65" i="6"/>
  <c r="R64" i="5"/>
  <c r="Q65" i="5"/>
  <c r="Q65" i="4"/>
  <c r="R64" i="4"/>
  <c r="DC65" i="1"/>
  <c r="DH64" i="1"/>
  <c r="DE65" i="1"/>
  <c r="DK64" i="1"/>
  <c r="DF65" i="1"/>
  <c r="DI64" i="1"/>
  <c r="DD65" i="1"/>
  <c r="DJ64" i="1"/>
  <c r="O65" i="6" l="1"/>
  <c r="N66" i="6"/>
  <c r="Q66" i="5"/>
  <c r="R65" i="5"/>
  <c r="Q66" i="4"/>
  <c r="R65" i="4"/>
  <c r="DC66" i="1"/>
  <c r="DH65" i="1"/>
  <c r="DE66" i="1"/>
  <c r="DK65" i="1"/>
  <c r="DD66" i="1"/>
  <c r="DJ65" i="1"/>
  <c r="DF66" i="1"/>
  <c r="DI65" i="1"/>
  <c r="O66" i="6" l="1"/>
  <c r="N67" i="6"/>
  <c r="Q67" i="5"/>
  <c r="R66" i="5"/>
  <c r="Q67" i="4"/>
  <c r="R66" i="4"/>
  <c r="DC67" i="1"/>
  <c r="DH66" i="1"/>
  <c r="DE67" i="1"/>
  <c r="DK66" i="1"/>
  <c r="DF67" i="1"/>
  <c r="DI66" i="1"/>
  <c r="DD67" i="1"/>
  <c r="DJ66" i="1"/>
  <c r="O67" i="6" l="1"/>
  <c r="N68" i="6"/>
  <c r="R67" i="5"/>
  <c r="Q68" i="5"/>
  <c r="Q68" i="4"/>
  <c r="R67" i="4"/>
  <c r="DC68" i="1"/>
  <c r="DH67" i="1"/>
  <c r="DE68" i="1"/>
  <c r="DK67" i="1"/>
  <c r="DD68" i="1"/>
  <c r="DJ67" i="1"/>
  <c r="DF68" i="1"/>
  <c r="DI67" i="1"/>
  <c r="N69" i="6" l="1"/>
  <c r="O68" i="6"/>
  <c r="R68" i="5"/>
  <c r="Q69" i="5"/>
  <c r="Q69" i="4"/>
  <c r="R68" i="4"/>
  <c r="DC69" i="1"/>
  <c r="DH68" i="1"/>
  <c r="DE69" i="1"/>
  <c r="DK68" i="1"/>
  <c r="DF69" i="1"/>
  <c r="DI68" i="1"/>
  <c r="DD69" i="1"/>
  <c r="DJ68" i="1"/>
  <c r="N70" i="6" l="1"/>
  <c r="O69" i="6"/>
  <c r="R69" i="5"/>
  <c r="Q70" i="5"/>
  <c r="Q70" i="4"/>
  <c r="R69" i="4"/>
  <c r="DC70" i="1"/>
  <c r="DH69" i="1"/>
  <c r="DE70" i="1"/>
  <c r="DK69" i="1"/>
  <c r="DD70" i="1"/>
  <c r="DJ69" i="1"/>
  <c r="DF70" i="1"/>
  <c r="DI69" i="1"/>
  <c r="O70" i="6" l="1"/>
  <c r="N71" i="6"/>
  <c r="Q71" i="5"/>
  <c r="R70" i="5"/>
  <c r="Q71" i="4"/>
  <c r="R70" i="4"/>
  <c r="DC71" i="1"/>
  <c r="DH70" i="1"/>
  <c r="DE71" i="1"/>
  <c r="DK70" i="1"/>
  <c r="DF71" i="1"/>
  <c r="DI70" i="1"/>
  <c r="DD71" i="1"/>
  <c r="DJ70" i="1"/>
  <c r="O71" i="6" l="1"/>
  <c r="N72" i="6"/>
  <c r="O72" i="6" s="1"/>
  <c r="O74" i="6" s="1"/>
  <c r="O75" i="6" s="1"/>
  <c r="R71" i="5"/>
  <c r="Q72" i="5"/>
  <c r="R72" i="5" s="1"/>
  <c r="R74" i="5" s="1"/>
  <c r="R75" i="5" s="1"/>
  <c r="R72" i="4"/>
  <c r="R75" i="4" s="1"/>
  <c r="R71" i="4"/>
  <c r="DH71" i="1"/>
  <c r="DC72" i="1"/>
  <c r="DH72" i="1" s="1"/>
  <c r="DE72" i="1"/>
  <c r="DK72" i="1" s="1"/>
  <c r="DK71" i="1"/>
  <c r="DJ71" i="1"/>
  <c r="DD72" i="1"/>
  <c r="DJ72" i="1" s="1"/>
  <c r="DI71" i="1"/>
  <c r="DF72" i="1"/>
</calcChain>
</file>

<file path=xl/sharedStrings.xml><?xml version="1.0" encoding="utf-8"?>
<sst xmlns="http://schemas.openxmlformats.org/spreadsheetml/2006/main" count="165" uniqueCount="126">
  <si>
    <t>year</t>
  </si>
  <si>
    <t>POP</t>
  </si>
  <si>
    <t>GDP</t>
  </si>
  <si>
    <t>GDP_QI</t>
  </si>
  <si>
    <t>GDP_P</t>
  </si>
  <si>
    <t>PCE</t>
  </si>
  <si>
    <t>PIE</t>
  </si>
  <si>
    <t>GCE</t>
  </si>
  <si>
    <t>GIE</t>
  </si>
  <si>
    <t>NX</t>
  </si>
  <si>
    <t>VA_TOT</t>
  </si>
  <si>
    <t>VA_GOOD</t>
  </si>
  <si>
    <t>VA_SERV</t>
  </si>
  <si>
    <t>VA_TOT_P</t>
  </si>
  <si>
    <t>VA_GOOD_P</t>
  </si>
  <si>
    <t>VA_SERV_P</t>
  </si>
  <si>
    <t>VAX_GOOD</t>
  </si>
  <si>
    <t>VAC_GOOD</t>
  </si>
  <si>
    <t>VAX_SERV</t>
  </si>
  <si>
    <t>VAC_SERV</t>
  </si>
  <si>
    <t>LAB_TOT</t>
  </si>
  <si>
    <t>LAB_GOOD</t>
  </si>
  <si>
    <t>LAB_SERV</t>
  </si>
  <si>
    <t>LAB_S_TOT</t>
  </si>
  <si>
    <t>VA_TOT_QI</t>
  </si>
  <si>
    <t>VA_GOOD_QI</t>
  </si>
  <si>
    <t>VA_SERV_QI</t>
  </si>
  <si>
    <t>CAP_TOT_QI</t>
  </si>
  <si>
    <t>CAP_GOOD_QI</t>
  </si>
  <si>
    <t>CAP_SERV_QI</t>
  </si>
  <si>
    <t>LAB_TOT_QI</t>
  </si>
  <si>
    <t>LAB_GOOD_QI</t>
  </si>
  <si>
    <t>LAB_SERV_QI</t>
  </si>
  <si>
    <t>LAB_S_GOOD</t>
  </si>
  <si>
    <t>LAB_S_SERV</t>
  </si>
  <si>
    <t>C_TOT</t>
  </si>
  <si>
    <t>C_GOOD</t>
  </si>
  <si>
    <t>C_SERV</t>
  </si>
  <si>
    <t>C_TOT_QI</t>
  </si>
  <si>
    <t>C_TOT_P</t>
  </si>
  <si>
    <t>C_GOOD_QI</t>
  </si>
  <si>
    <t>C_GOOD_P</t>
  </si>
  <si>
    <t>C_SERV_QI</t>
  </si>
  <si>
    <t>C_SERV_P</t>
  </si>
  <si>
    <t>X_TOT</t>
  </si>
  <si>
    <t>X_TOT_QI</t>
  </si>
  <si>
    <t>X_TOT_P</t>
  </si>
  <si>
    <t>VAX_GOOD_S</t>
  </si>
  <si>
    <t>VAX_SERV_S</t>
  </si>
  <si>
    <t>VAC_GOOD_S</t>
  </si>
  <si>
    <t>VAC_SERV_S</t>
  </si>
  <si>
    <t>C_PC</t>
  </si>
  <si>
    <t>VAX_GOOD_S_hat</t>
  </si>
  <si>
    <t>VAX_SERV_S_hat</t>
  </si>
  <si>
    <t>omega_x</t>
  </si>
  <si>
    <t>epsilon_x</t>
  </si>
  <si>
    <t>VAX_GOOD_QI_hat</t>
  </si>
  <si>
    <t>VAX_SERV_QI_hat</t>
  </si>
  <si>
    <t>VAX_SERV_GOOD_hat</t>
  </si>
  <si>
    <t>dVAX_SERV_S_hat_2017</t>
  </si>
  <si>
    <t>VAC_GOOD_S_CES_hat</t>
  </si>
  <si>
    <t>VAC_SERV_S_CES_hat</t>
  </si>
  <si>
    <t>omega_c</t>
  </si>
  <si>
    <t>epsilon_c</t>
  </si>
  <si>
    <t>VAC_GOOD_CES_QI_hat</t>
  </si>
  <si>
    <t>VAC_SERV_CES_QI_hat</t>
  </si>
  <si>
    <t>VAC_SERV_GOOD_CES_hat</t>
  </si>
  <si>
    <t>dVAC_SERV_S_CES_hat_2017</t>
  </si>
  <si>
    <t>VAC_GOOD_S_PIGL_hat</t>
  </si>
  <si>
    <t>VAC_SERV_S_PIGL_hat</t>
  </si>
  <si>
    <t>chi</t>
  </si>
  <si>
    <t>gamma</t>
  </si>
  <si>
    <t>nu</t>
  </si>
  <si>
    <t>VAC_GOOD_PIGL_QI_hat</t>
  </si>
  <si>
    <t>VAC_SERV_PIGL_QI_hat</t>
  </si>
  <si>
    <t>VAC_SERV_GOOD_PIGL_hat</t>
  </si>
  <si>
    <t>dVAC_SERV_S_PIGL_hat_2017</t>
  </si>
  <si>
    <t>VAX_S_GOOD</t>
  </si>
  <si>
    <t>VAX_S_SERV</t>
  </si>
  <si>
    <t>VAC_S_GOOD</t>
  </si>
  <si>
    <t>VAC_S_SERV</t>
  </si>
  <si>
    <t>VAX_GOOD_QI</t>
  </si>
  <si>
    <t>VAX_SERV_QI</t>
  </si>
  <si>
    <t>VAC_GOOD_QI</t>
  </si>
  <si>
    <t>VAC_SERV_QI</t>
  </si>
  <si>
    <t>VA_SERV_GOOD_P</t>
  </si>
  <si>
    <t>VA_SERV_X_P</t>
  </si>
  <si>
    <t>VA_GOOD_X_P</t>
  </si>
  <si>
    <t>C_X_P</t>
  </si>
  <si>
    <t>mLAB_S_TOT</t>
  </si>
  <si>
    <t>mLAB_S_GOOD</t>
  </si>
  <si>
    <t>mLAB_S_SERV</t>
  </si>
  <si>
    <t>TFPVA_TOT_I</t>
  </si>
  <si>
    <t>TFPVA_GOOD_I</t>
  </si>
  <si>
    <t>TFPVA_SERV_I</t>
  </si>
  <si>
    <t>A_X_I</t>
  </si>
  <si>
    <t>calA_X_I_BU</t>
  </si>
  <si>
    <t>calA_C_I</t>
  </si>
  <si>
    <t>calA_X_I_TD</t>
  </si>
  <si>
    <t>.</t>
  </si>
  <si>
    <t>VA/P_I</t>
  </si>
  <si>
    <t>Chg_ln_vapi</t>
  </si>
  <si>
    <t>Chg_ln_cap</t>
  </si>
  <si>
    <t>Chg_ln_lab</t>
  </si>
  <si>
    <t>dln_chg_calAx</t>
  </si>
  <si>
    <t>cumsum_chg_ln_cap</t>
  </si>
  <si>
    <t>cumsum_chg_ln_clab</t>
  </si>
  <si>
    <t>cumsum_chg_ln_calAx</t>
  </si>
  <si>
    <t>cumsum_ln_chg_lnvapi</t>
  </si>
  <si>
    <t>VA_Index</t>
  </si>
  <si>
    <t>calAx_Index</t>
  </si>
  <si>
    <t>K_Index</t>
  </si>
  <si>
    <t>L_Index</t>
  </si>
  <si>
    <t>dln_chg_calAx_pop_growth</t>
  </si>
  <si>
    <t>cumsum_chg_ln_calAx_pop_growth</t>
  </si>
  <si>
    <t>VA_TOT_PI</t>
  </si>
  <si>
    <t>EMP_SHARE_GOOD</t>
  </si>
  <si>
    <t>EMP_SHARE_SERV</t>
  </si>
  <si>
    <t>dl_chg_VA</t>
  </si>
  <si>
    <t>dl_chg_CAP</t>
  </si>
  <si>
    <t>dl_chg_LAB</t>
  </si>
  <si>
    <t>dl_chg_TFP</t>
  </si>
  <si>
    <t>TFP_INDEX</t>
  </si>
  <si>
    <t>Growth 2017-1980</t>
  </si>
  <si>
    <t>Exponential Growth Rate</t>
  </si>
  <si>
    <t>Cum_Sum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</si>
</sst>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0.000"/>
    <numFmt numFmtId="166" formatCode="_-* #,##0.000_-;\-* #,##0.000_-;_-* &quot;-&quot;??_-;_-@_-"/>
    <numFmt numFmtId="167" formatCode="_-* #,##0.0000_-;\-* #,##0.0000_-;_-* &quot;-&quot;??_-;_-@_-"/>
    <numFmt numFmtId="168" formatCode="0.0000000"/>
    <numFmt numFmtId="169" formatCode="0.000000"/>
    <numFmt numFmtId="170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1" applyNumberFormat="1" applyFont="1"/>
    <xf numFmtId="167" fontId="0" fillId="0" borderId="0" xfId="1" applyNumberFormat="1" applyFont="1"/>
    <xf numFmtId="166" fontId="0" fillId="0" borderId="0" xfId="0" applyNumberFormat="1"/>
    <xf numFmtId="0" fontId="0" fillId="2" borderId="0" xfId="0" applyFill="1"/>
    <xf numFmtId="166" fontId="0" fillId="2" borderId="0" xfId="1" applyNumberFormat="1" applyFont="1" applyFill="1"/>
    <xf numFmtId="0" fontId="0" fillId="0" borderId="1" xfId="0" applyBorder="1"/>
    <xf numFmtId="164" fontId="0" fillId="0" borderId="1" xfId="0" applyNumberFormat="1" applyBorder="1" applyAlignment="1">
      <alignment horizontal="right"/>
    </xf>
    <xf numFmtId="16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7" fontId="0" fillId="0" borderId="0" xfId="0" applyNumberFormat="1"/>
    <xf numFmtId="165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8" fontId="0" fillId="0" borderId="0" xfId="0" applyNumberFormat="1"/>
    <xf numFmtId="165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70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79"/>
  <sheetViews>
    <sheetView tabSelected="1" workbookViewId="0">
      <pane xSplit="12" ySplit="14" topLeftCell="CO67" activePane="bottomRight" state="frozen"/>
      <selection pane="topRight" activeCell="M1" sqref="M1"/>
      <selection pane="bottomLeft" activeCell="A15" sqref="A15"/>
      <selection pane="bottomRight" activeCell="CP72" sqref="CP72"/>
    </sheetView>
  </sheetViews>
  <sheetFormatPr defaultColWidth="8.77734375" defaultRowHeight="14.4" x14ac:dyDescent="0.3"/>
  <cols>
    <col min="1" max="1" width="5" bestFit="1" customWidth="1"/>
    <col min="2" max="2" width="7" bestFit="1" customWidth="1"/>
    <col min="3" max="3" width="8.44140625" bestFit="1" customWidth="1"/>
    <col min="4" max="5" width="9" bestFit="1" customWidth="1"/>
    <col min="6" max="6" width="8.44140625" bestFit="1" customWidth="1"/>
    <col min="7" max="8" width="8" bestFit="1" customWidth="1"/>
    <col min="9" max="9" width="7" bestFit="1" customWidth="1"/>
    <col min="10" max="10" width="7.6640625" bestFit="1" customWidth="1"/>
    <col min="11" max="11" width="9.6640625" customWidth="1"/>
    <col min="12" max="12" width="9.33203125" bestFit="1" customWidth="1"/>
    <col min="13" max="13" width="9" bestFit="1" customWidth="1"/>
    <col min="14" max="14" width="9.44140625" bestFit="1" customWidth="1"/>
    <col min="15" max="15" width="11.33203125" bestFit="1" customWidth="1"/>
    <col min="16" max="17" width="10.33203125" bestFit="1" customWidth="1"/>
    <col min="18" max="18" width="10.44140625" bestFit="1" customWidth="1"/>
    <col min="19" max="19" width="9.33203125" bestFit="1" customWidth="1"/>
    <col min="20" max="20" width="9.44140625" bestFit="1" customWidth="1"/>
    <col min="21" max="21" width="10" bestFit="1" customWidth="1"/>
    <col min="22" max="22" width="10.109375" bestFit="1" customWidth="1"/>
    <col min="23" max="23" width="10" bestFit="1" customWidth="1"/>
    <col min="24" max="24" width="10.33203125" bestFit="1" customWidth="1"/>
    <col min="25" max="25" width="10.44140625" bestFit="1" customWidth="1"/>
    <col min="26" max="26" width="12.109375" bestFit="1" customWidth="1"/>
    <col min="27" max="27" width="11.109375" bestFit="1" customWidth="1"/>
    <col min="28" max="28" width="11.44140625" bestFit="1" customWidth="1"/>
    <col min="29" max="29" width="13.33203125" bestFit="1" customWidth="1"/>
    <col min="30" max="30" width="12.109375" bestFit="1" customWidth="1"/>
    <col min="31" max="31" width="12" bestFit="1" customWidth="1"/>
    <col min="32" max="32" width="13.109375" bestFit="1" customWidth="1"/>
    <col min="33" max="34" width="12.109375" bestFit="1" customWidth="1"/>
    <col min="35" max="35" width="11.109375" bestFit="1" customWidth="1"/>
    <col min="36" max="36" width="9" bestFit="1" customWidth="1"/>
    <col min="37" max="37" width="8.109375" bestFit="1" customWidth="1"/>
    <col min="38" max="38" width="9" bestFit="1" customWidth="1"/>
    <col min="39" max="39" width="9.33203125" bestFit="1" customWidth="1"/>
    <col min="40" max="40" width="9" bestFit="1" customWidth="1"/>
    <col min="41" max="41" width="11.109375" bestFit="1" customWidth="1"/>
    <col min="42" max="43" width="10.109375" bestFit="1" customWidth="1"/>
    <col min="44" max="44" width="9.109375" bestFit="1" customWidth="1"/>
    <col min="45" max="45" width="8.44140625" bestFit="1" customWidth="1"/>
    <col min="46" max="46" width="9.109375" bestFit="1" customWidth="1"/>
    <col min="47" max="47" width="9" bestFit="1" customWidth="1"/>
    <col min="48" max="48" width="12.109375" bestFit="1" customWidth="1"/>
    <col min="49" max="49" width="11.109375" bestFit="1" customWidth="1"/>
    <col min="50" max="50" width="12.33203125" bestFit="1" customWidth="1"/>
    <col min="51" max="51" width="11.33203125" bestFit="1" customWidth="1"/>
    <col min="52" max="52" width="9" bestFit="1" customWidth="1"/>
    <col min="53" max="53" width="16" bestFit="1" customWidth="1"/>
    <col min="54" max="54" width="15" bestFit="1" customWidth="1"/>
    <col min="55" max="55" width="10" bestFit="1" customWidth="1"/>
    <col min="56" max="56" width="8.6640625" bestFit="1" customWidth="1"/>
    <col min="57" max="57" width="17" bestFit="1" customWidth="1"/>
    <col min="58" max="58" width="16" bestFit="1" customWidth="1"/>
    <col min="59" max="59" width="19.33203125" bestFit="1" customWidth="1"/>
    <col min="60" max="60" width="21.109375" bestFit="1" customWidth="1"/>
    <col min="61" max="61" width="20.109375" bestFit="1" customWidth="1"/>
    <col min="62" max="62" width="19.109375" bestFit="1" customWidth="1"/>
    <col min="63" max="63" width="10" bestFit="1" customWidth="1"/>
    <col min="64" max="64" width="8.6640625" bestFit="1" customWidth="1"/>
    <col min="65" max="65" width="21.33203125" bestFit="1" customWidth="1"/>
    <col min="66" max="66" width="20.109375" bestFit="1" customWidth="1"/>
    <col min="67" max="67" width="23.44140625" bestFit="1" customWidth="1"/>
    <col min="68" max="68" width="25.44140625" bestFit="1" customWidth="1"/>
    <col min="69" max="69" width="20.77734375" bestFit="1" customWidth="1"/>
    <col min="70" max="70" width="19.77734375" bestFit="1" customWidth="1"/>
    <col min="71" max="73" width="10" bestFit="1" customWidth="1"/>
    <col min="74" max="74" width="22" bestFit="1" customWidth="1"/>
    <col min="75" max="75" width="20.77734375" bestFit="1" customWidth="1"/>
    <col min="76" max="76" width="24.109375" bestFit="1" customWidth="1"/>
    <col min="77" max="77" width="26.109375" bestFit="1" customWidth="1"/>
    <col min="78" max="78" width="12.109375" bestFit="1" customWidth="1"/>
    <col min="79" max="79" width="11.109375" bestFit="1" customWidth="1"/>
    <col min="80" max="80" width="12.33203125" bestFit="1" customWidth="1"/>
    <col min="81" max="81" width="11.33203125" bestFit="1" customWidth="1"/>
    <col min="82" max="82" width="13.33203125" bestFit="1" customWidth="1"/>
    <col min="83" max="83" width="12.109375" bestFit="1" customWidth="1"/>
    <col min="84" max="84" width="13.44140625" bestFit="1" customWidth="1"/>
    <col min="85" max="85" width="12.33203125" bestFit="1" customWidth="1"/>
    <col min="86" max="86" width="16.44140625" bestFit="1" customWidth="1"/>
    <col min="87" max="87" width="12.33203125" bestFit="1" customWidth="1"/>
    <col min="88" max="88" width="13.44140625" bestFit="1" customWidth="1"/>
    <col min="89" max="89" width="10" bestFit="1" customWidth="1"/>
    <col min="90" max="90" width="11.77734375" bestFit="1" customWidth="1"/>
    <col min="91" max="91" width="13.77734375" bestFit="1" customWidth="1"/>
    <col min="92" max="92" width="12.6640625" bestFit="1" customWidth="1"/>
    <col min="93" max="93" width="12" bestFit="1" customWidth="1"/>
    <col min="94" max="94" width="13.77734375" bestFit="1" customWidth="1"/>
    <col min="95" max="95" width="12.77734375" bestFit="1" customWidth="1"/>
    <col min="96" max="96" width="10" bestFit="1" customWidth="1"/>
    <col min="97" max="97" width="11.44140625" bestFit="1" customWidth="1"/>
    <col min="98" max="98" width="10" bestFit="1" customWidth="1"/>
    <col min="99" max="99" width="12" bestFit="1" customWidth="1"/>
    <col min="100" max="100" width="8.77734375" style="8"/>
    <col min="101" max="101" width="12" bestFit="1" customWidth="1"/>
    <col min="102" max="102" width="12.6640625" bestFit="1" customWidth="1"/>
    <col min="103" max="104" width="12" bestFit="1" customWidth="1"/>
    <col min="105" max="105" width="12.44140625" bestFit="1" customWidth="1"/>
    <col min="106" max="106" width="23.77734375" bestFit="1" customWidth="1"/>
    <col min="107" max="107" width="20" bestFit="1" customWidth="1"/>
    <col min="108" max="108" width="18.109375" bestFit="1" customWidth="1"/>
    <col min="109" max="109" width="18.44140625" bestFit="1" customWidth="1"/>
    <col min="110" max="110" width="19.44140625" bestFit="1" customWidth="1"/>
    <col min="111" max="111" width="30.77734375" bestFit="1" customWidth="1"/>
    <col min="112" max="112" width="18.6640625" bestFit="1" customWidth="1"/>
    <col min="113" max="114" width="12.109375" bestFit="1" customWidth="1"/>
    <col min="115" max="115" width="10.44140625" bestFit="1" customWidth="1"/>
    <col min="117" max="117" width="15.6640625" bestFit="1" customWidth="1"/>
    <col min="118" max="118" width="20.77734375" bestFit="1" customWidth="1"/>
  </cols>
  <sheetData>
    <row r="1" spans="1:1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113</v>
      </c>
      <c r="DC1" s="10" t="s">
        <v>108</v>
      </c>
      <c r="DD1" t="s">
        <v>105</v>
      </c>
      <c r="DE1" t="s">
        <v>106</v>
      </c>
      <c r="DF1" t="s">
        <v>107</v>
      </c>
      <c r="DG1" t="s">
        <v>114</v>
      </c>
      <c r="DH1" s="3" t="s">
        <v>109</v>
      </c>
      <c r="DI1" s="3" t="s">
        <v>110</v>
      </c>
      <c r="DJ1" s="3" t="s">
        <v>111</v>
      </c>
      <c r="DK1" s="3" t="s">
        <v>112</v>
      </c>
      <c r="DM1" s="3"/>
      <c r="DN1" s="3"/>
    </row>
    <row r="2" spans="1:118" x14ac:dyDescent="0.3">
      <c r="A2">
        <v>1947</v>
      </c>
      <c r="B2">
        <v>144126</v>
      </c>
      <c r="C2">
        <v>249616</v>
      </c>
      <c r="D2">
        <v>1</v>
      </c>
      <c r="E2">
        <v>1</v>
      </c>
      <c r="F2">
        <v>161852</v>
      </c>
      <c r="G2">
        <v>37131</v>
      </c>
      <c r="H2">
        <v>34141</v>
      </c>
      <c r="I2">
        <v>5686</v>
      </c>
      <c r="J2">
        <v>10807</v>
      </c>
      <c r="K2">
        <v>244136</v>
      </c>
      <c r="L2">
        <v>101174.5</v>
      </c>
      <c r="M2">
        <v>142961.5</v>
      </c>
      <c r="N2">
        <v>2</v>
      </c>
      <c r="O2">
        <v>1</v>
      </c>
      <c r="P2">
        <v>1</v>
      </c>
      <c r="Q2">
        <v>27728</v>
      </c>
      <c r="R2">
        <v>71830</v>
      </c>
      <c r="S2">
        <v>15639</v>
      </c>
      <c r="T2">
        <v>128939</v>
      </c>
      <c r="U2">
        <v>128228.27</v>
      </c>
      <c r="V2">
        <v>62056.688000000002</v>
      </c>
      <c r="W2">
        <v>66171.577999999994</v>
      </c>
      <c r="X2" t="s">
        <v>99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 t="s">
        <v>99</v>
      </c>
      <c r="AI2" t="s">
        <v>99</v>
      </c>
      <c r="AJ2">
        <v>200769</v>
      </c>
      <c r="AK2">
        <v>106106</v>
      </c>
      <c r="AL2">
        <v>94663.02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43367</v>
      </c>
      <c r="AT2">
        <v>1</v>
      </c>
      <c r="AU2">
        <v>1</v>
      </c>
      <c r="AV2">
        <v>0.63938019999999995</v>
      </c>
      <c r="AW2">
        <v>0.36061979999999999</v>
      </c>
      <c r="AX2">
        <v>0.35777429999999999</v>
      </c>
      <c r="AY2">
        <v>0.64222570000000001</v>
      </c>
      <c r="AZ2">
        <v>1.3930100000000001</v>
      </c>
      <c r="BA2">
        <v>0.64724230000000005</v>
      </c>
      <c r="BB2">
        <v>0.35275770000000001</v>
      </c>
      <c r="BC2">
        <v>0.64724230000000005</v>
      </c>
      <c r="BD2">
        <v>0</v>
      </c>
      <c r="BE2">
        <v>1</v>
      </c>
      <c r="BF2">
        <v>1</v>
      </c>
      <c r="BG2">
        <v>1</v>
      </c>
      <c r="BH2">
        <v>0.83056479999999999</v>
      </c>
      <c r="BI2">
        <v>0.29117480000000001</v>
      </c>
      <c r="BJ2">
        <v>0.70882520000000004</v>
      </c>
      <c r="BK2">
        <v>0.29117480000000001</v>
      </c>
      <c r="BL2" s="1">
        <v>3.9300000000000004E-15</v>
      </c>
      <c r="BM2">
        <v>1</v>
      </c>
      <c r="BN2">
        <v>1</v>
      </c>
      <c r="BO2">
        <v>1</v>
      </c>
      <c r="BP2">
        <v>0.44890160000000001</v>
      </c>
      <c r="BQ2">
        <v>0.36862200000000001</v>
      </c>
      <c r="BR2">
        <v>0.63137790000000005</v>
      </c>
      <c r="BS2">
        <v>0.55497370000000001</v>
      </c>
      <c r="BT2">
        <v>0.69686530000000002</v>
      </c>
      <c r="BU2">
        <v>0.44306980000000001</v>
      </c>
      <c r="BV2">
        <v>1</v>
      </c>
      <c r="BW2">
        <v>1</v>
      </c>
      <c r="BX2">
        <v>1</v>
      </c>
      <c r="BY2">
        <v>0</v>
      </c>
      <c r="BZ2" t="s">
        <v>99</v>
      </c>
      <c r="CA2" t="s">
        <v>99</v>
      </c>
      <c r="CB2" t="s">
        <v>99</v>
      </c>
      <c r="CC2" t="s">
        <v>99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0.56350199999999995</v>
      </c>
      <c r="CM2">
        <v>0.60514999999999997</v>
      </c>
      <c r="CN2">
        <v>0.53786230000000002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W2">
        <f>K2/AU2</f>
        <v>244136</v>
      </c>
      <c r="DA2">
        <v>0</v>
      </c>
      <c r="DB2">
        <f>+DA2+DM2*CZ2</f>
        <v>0</v>
      </c>
      <c r="DC2" s="11">
        <f>DA2</f>
        <v>0</v>
      </c>
      <c r="DD2" s="4">
        <f>DF2</f>
        <v>0</v>
      </c>
      <c r="DE2" s="4">
        <v>0</v>
      </c>
      <c r="DF2" s="4">
        <v>0</v>
      </c>
      <c r="DG2" s="4">
        <v>0</v>
      </c>
      <c r="DH2" s="4">
        <f t="shared" ref="DH2:DH33" si="0">EXP(DC2)</f>
        <v>1</v>
      </c>
      <c r="DI2" s="4">
        <f t="shared" ref="DI2:DI33" si="1">EXP(DF2)</f>
        <v>1</v>
      </c>
      <c r="DJ2" s="4">
        <f t="shared" ref="DJ2:DJ33" si="2">EXP(DD2)</f>
        <v>1</v>
      </c>
      <c r="DK2" s="4">
        <f t="shared" ref="DK2:DK33" si="3">EXP(DE2)</f>
        <v>1</v>
      </c>
      <c r="DM2" s="4"/>
      <c r="DN2" s="17"/>
    </row>
    <row r="3" spans="1:118" x14ac:dyDescent="0.3">
      <c r="A3">
        <v>1948</v>
      </c>
      <c r="B3">
        <v>146631</v>
      </c>
      <c r="C3">
        <v>274468</v>
      </c>
      <c r="D3">
        <v>1.041191</v>
      </c>
      <c r="E3">
        <v>1.0560609999999999</v>
      </c>
      <c r="F3">
        <v>174878</v>
      </c>
      <c r="G3">
        <v>50347</v>
      </c>
      <c r="H3">
        <v>35274</v>
      </c>
      <c r="I3">
        <v>8482</v>
      </c>
      <c r="J3">
        <v>5487</v>
      </c>
      <c r="K3">
        <v>268064.5</v>
      </c>
      <c r="L3">
        <v>116470.8</v>
      </c>
      <c r="M3">
        <v>151593.70000000001</v>
      </c>
      <c r="N3">
        <v>1.0551729999999999</v>
      </c>
      <c r="O3">
        <v>1.0567</v>
      </c>
      <c r="P3">
        <v>1.0540510000000001</v>
      </c>
      <c r="Q3">
        <v>34947</v>
      </c>
      <c r="R3">
        <v>79488</v>
      </c>
      <c r="S3">
        <v>18223</v>
      </c>
      <c r="T3">
        <v>135406.5</v>
      </c>
      <c r="U3">
        <v>141262.28</v>
      </c>
      <c r="V3">
        <v>70286.914000000004</v>
      </c>
      <c r="W3">
        <v>70975.366999999998</v>
      </c>
      <c r="X3">
        <v>0.52610210000000002</v>
      </c>
      <c r="Y3">
        <v>1.0406</v>
      </c>
      <c r="Z3">
        <v>1.089418</v>
      </c>
      <c r="AA3">
        <v>1.006005</v>
      </c>
      <c r="AB3">
        <v>1.0355639999999999</v>
      </c>
      <c r="AC3">
        <v>1.0613379999999999</v>
      </c>
      <c r="AD3">
        <v>1.0218959999999999</v>
      </c>
      <c r="AE3">
        <v>1.0244249999999999</v>
      </c>
      <c r="AF3">
        <v>1.0199849999999999</v>
      </c>
      <c r="AG3">
        <v>1.028721</v>
      </c>
      <c r="AH3">
        <v>0.60841769999999995</v>
      </c>
      <c r="AI3">
        <v>0.46552880000000002</v>
      </c>
      <c r="AJ3">
        <v>214894.5</v>
      </c>
      <c r="AK3">
        <v>115350</v>
      </c>
      <c r="AL3">
        <v>99544.47</v>
      </c>
      <c r="AM3">
        <v>1.021846</v>
      </c>
      <c r="AN3">
        <v>1.0500259999999999</v>
      </c>
      <c r="AO3">
        <v>0.97698320000000005</v>
      </c>
      <c r="AP3">
        <v>1.115443</v>
      </c>
      <c r="AQ3">
        <v>1.009193</v>
      </c>
      <c r="AR3">
        <v>1.044538</v>
      </c>
      <c r="AS3">
        <v>53170</v>
      </c>
      <c r="AT3">
        <v>1.131772</v>
      </c>
      <c r="AU3">
        <v>1.083299</v>
      </c>
      <c r="AV3">
        <v>0.65726910000000005</v>
      </c>
      <c r="AW3">
        <v>0.3427308</v>
      </c>
      <c r="AX3">
        <v>0.36989319999999998</v>
      </c>
      <c r="AY3">
        <v>0.63010679999999997</v>
      </c>
      <c r="AZ3">
        <v>1.465546</v>
      </c>
      <c r="BA3">
        <v>0.64781520000000004</v>
      </c>
      <c r="BB3">
        <v>0.35218480000000002</v>
      </c>
      <c r="BC3">
        <v>0.64724230000000005</v>
      </c>
      <c r="BD3">
        <v>0</v>
      </c>
      <c r="BE3">
        <v>1.0138210000000001</v>
      </c>
      <c r="BF3">
        <v>1.0138210000000001</v>
      </c>
      <c r="BG3">
        <v>1</v>
      </c>
      <c r="BH3">
        <v>0.83056479999999999</v>
      </c>
      <c r="BI3">
        <v>0.29169309999999998</v>
      </c>
      <c r="BJ3">
        <v>0.70830689999999996</v>
      </c>
      <c r="BK3">
        <v>0.29117480000000001</v>
      </c>
      <c r="BL3" s="1">
        <v>3.9300000000000004E-15</v>
      </c>
      <c r="BM3">
        <v>1.0147269999999999</v>
      </c>
      <c r="BN3">
        <v>1.0147269999999999</v>
      </c>
      <c r="BO3">
        <v>1</v>
      </c>
      <c r="BP3">
        <v>0.44890160000000001</v>
      </c>
      <c r="BQ3">
        <v>0.3696528</v>
      </c>
      <c r="BR3">
        <v>0.6303472</v>
      </c>
      <c r="BS3">
        <v>0.55497370000000001</v>
      </c>
      <c r="BT3">
        <v>0.69686530000000002</v>
      </c>
      <c r="BU3">
        <v>0.44306980000000001</v>
      </c>
      <c r="BV3">
        <v>1.015757</v>
      </c>
      <c r="BW3">
        <v>1.0138119999999999</v>
      </c>
      <c r="BX3">
        <v>0.99808549999999996</v>
      </c>
      <c r="BY3">
        <v>0</v>
      </c>
      <c r="BZ3">
        <v>0.64832469999999998</v>
      </c>
      <c r="CA3">
        <v>0.35167530000000002</v>
      </c>
      <c r="CB3">
        <v>0.36383379999999998</v>
      </c>
      <c r="CC3">
        <v>0.63616620000000002</v>
      </c>
      <c r="CD3">
        <v>1.192723</v>
      </c>
      <c r="CE3">
        <v>1.1054759999999999</v>
      </c>
      <c r="CF3">
        <v>1.0472349999999999</v>
      </c>
      <c r="CG3">
        <v>0.99630779999999997</v>
      </c>
      <c r="CH3">
        <v>0.99749319999999997</v>
      </c>
      <c r="CI3">
        <v>0.97300050000000005</v>
      </c>
      <c r="CJ3">
        <v>0.97544569999999997</v>
      </c>
      <c r="CK3">
        <v>0.96928539999999996</v>
      </c>
      <c r="CL3">
        <v>0.56350199999999995</v>
      </c>
      <c r="CM3">
        <v>0.60514999999999997</v>
      </c>
      <c r="CN3">
        <v>0.53786230000000002</v>
      </c>
      <c r="CO3">
        <v>1.0110060000000001</v>
      </c>
      <c r="CP3">
        <v>1.049704</v>
      </c>
      <c r="CQ3">
        <v>0.98076390000000002</v>
      </c>
      <c r="CR3">
        <v>0.97458769999999995</v>
      </c>
      <c r="CS3">
        <v>0.99827520000000003</v>
      </c>
      <c r="CT3">
        <v>0.99988480000000002</v>
      </c>
      <c r="CU3">
        <v>0.98475590000000002</v>
      </c>
      <c r="CW3">
        <f t="shared" ref="CW3:CW66" si="4">K3/AU3</f>
        <v>247451.99617095556</v>
      </c>
      <c r="CX3">
        <f>LN(CW3)-LN(CW2)</f>
        <v>1.3491161266751206E-2</v>
      </c>
      <c r="CY3">
        <f>LN(AB3)-LN(AB2)</f>
        <v>3.4946205834470327E-2</v>
      </c>
      <c r="CZ3">
        <f>LN(AE3)-LN(AE2)</f>
        <v>2.4131479574928033E-2</v>
      </c>
      <c r="DA3">
        <f>CX3-(1-CL3)*CY3-CL3*CZ3</f>
        <v>-1.536092469101452E-2</v>
      </c>
      <c r="DB3">
        <f t="shared" ref="DB3:DB66" si="5">+DA3+DM3*CZ3</f>
        <v>-1.536092469101452E-2</v>
      </c>
      <c r="DC3" s="12">
        <f t="shared" ref="DC3:DC34" si="6">DC2+CX3</f>
        <v>1.3491161266751206E-2</v>
      </c>
      <c r="DD3" s="4">
        <f t="shared" ref="DD3:DD34" si="7">DD2+CY3</f>
        <v>3.4946205834470327E-2</v>
      </c>
      <c r="DE3" s="4">
        <f t="shared" ref="DE3:DE34" si="8">DE2+CZ3</f>
        <v>2.4131479574928033E-2</v>
      </c>
      <c r="DF3" s="4">
        <f t="shared" ref="DF3:DF34" si="9">DF2+DA3</f>
        <v>-1.536092469101452E-2</v>
      </c>
      <c r="DG3" s="13">
        <f>+DG2+DB3</f>
        <v>-1.536092469101452E-2</v>
      </c>
      <c r="DH3" s="4">
        <f t="shared" si="0"/>
        <v>1.0135825776245846</v>
      </c>
      <c r="DI3" s="4">
        <f>EXP(DF3)</f>
        <v>0.98475645253653554</v>
      </c>
      <c r="DJ3" s="4">
        <f t="shared" si="2"/>
        <v>1.0355639999999999</v>
      </c>
      <c r="DK3" s="4">
        <f t="shared" si="3"/>
        <v>1.0244249999999999</v>
      </c>
      <c r="DM3" s="4"/>
      <c r="DN3" s="17"/>
    </row>
    <row r="4" spans="1:118" x14ac:dyDescent="0.3">
      <c r="A4">
        <v>1949</v>
      </c>
      <c r="B4">
        <v>149188</v>
      </c>
      <c r="C4">
        <v>272475</v>
      </c>
      <c r="D4">
        <v>1.0352840000000001</v>
      </c>
      <c r="E4">
        <v>1.0543739999999999</v>
      </c>
      <c r="F4">
        <v>178333</v>
      </c>
      <c r="G4">
        <v>39099</v>
      </c>
      <c r="H4">
        <v>38493</v>
      </c>
      <c r="I4">
        <v>11315</v>
      </c>
      <c r="J4">
        <v>5235</v>
      </c>
      <c r="K4">
        <v>266020.90000000002</v>
      </c>
      <c r="L4">
        <v>109193.9</v>
      </c>
      <c r="M4">
        <v>156827</v>
      </c>
      <c r="N4">
        <v>1.0538400000000001</v>
      </c>
      <c r="O4">
        <v>1.01902</v>
      </c>
      <c r="P4">
        <v>1.0800510000000001</v>
      </c>
      <c r="Q4">
        <v>34250</v>
      </c>
      <c r="R4">
        <v>73387</v>
      </c>
      <c r="S4">
        <v>18856</v>
      </c>
      <c r="T4">
        <v>139527.9</v>
      </c>
      <c r="U4">
        <v>144455.76999999999</v>
      </c>
      <c r="V4">
        <v>68189.233999999997</v>
      </c>
      <c r="W4">
        <v>76266.531000000003</v>
      </c>
      <c r="X4">
        <v>0.53499779999999997</v>
      </c>
      <c r="Y4">
        <v>1.033973</v>
      </c>
      <c r="Z4">
        <v>1.0591189999999999</v>
      </c>
      <c r="AA4">
        <v>1.0156810000000001</v>
      </c>
      <c r="AB4">
        <v>1.061828</v>
      </c>
      <c r="AC4">
        <v>1.08348</v>
      </c>
      <c r="AD4">
        <v>1.050305</v>
      </c>
      <c r="AE4">
        <v>0.98832830000000005</v>
      </c>
      <c r="AF4">
        <v>0.95074829999999999</v>
      </c>
      <c r="AG4">
        <v>1.0251479999999999</v>
      </c>
      <c r="AH4">
        <v>0.61397539999999995</v>
      </c>
      <c r="AI4">
        <v>0.47725250000000002</v>
      </c>
      <c r="AJ4">
        <v>212914.9</v>
      </c>
      <c r="AK4">
        <v>107470</v>
      </c>
      <c r="AL4">
        <v>105444.9</v>
      </c>
      <c r="AM4">
        <v>1.0186649999999999</v>
      </c>
      <c r="AN4">
        <v>1.0441240000000001</v>
      </c>
      <c r="AO4">
        <v>1.006804</v>
      </c>
      <c r="AP4">
        <v>1.0089699999999999</v>
      </c>
      <c r="AQ4">
        <v>1.043812</v>
      </c>
      <c r="AR4">
        <v>1.0702750000000001</v>
      </c>
      <c r="AS4">
        <v>53106</v>
      </c>
      <c r="AT4">
        <v>1.1134139999999999</v>
      </c>
      <c r="AU4">
        <v>1.0998349999999999</v>
      </c>
      <c r="AV4">
        <v>0.64493659999999997</v>
      </c>
      <c r="AW4">
        <v>0.35506349999999998</v>
      </c>
      <c r="AX4">
        <v>0.34467769999999998</v>
      </c>
      <c r="AY4">
        <v>0.65532239999999997</v>
      </c>
      <c r="AZ4">
        <v>1.4271579999999999</v>
      </c>
      <c r="BA4">
        <v>0.63385060000000004</v>
      </c>
      <c r="BB4">
        <v>0.36614940000000001</v>
      </c>
      <c r="BC4">
        <v>0.64724230000000005</v>
      </c>
      <c r="BD4">
        <v>0</v>
      </c>
      <c r="BE4">
        <v>1.0191699999999999</v>
      </c>
      <c r="BF4">
        <v>1.0191699999999999</v>
      </c>
      <c r="BG4">
        <v>1</v>
      </c>
      <c r="BH4">
        <v>0.83056479999999999</v>
      </c>
      <c r="BI4">
        <v>0.27931689999999998</v>
      </c>
      <c r="BJ4">
        <v>0.72068310000000002</v>
      </c>
      <c r="BK4">
        <v>0.29117480000000001</v>
      </c>
      <c r="BL4" s="1">
        <v>3.9300000000000004E-15</v>
      </c>
      <c r="BM4">
        <v>0.99832100000000001</v>
      </c>
      <c r="BN4">
        <v>0.99832109999999996</v>
      </c>
      <c r="BO4">
        <v>1</v>
      </c>
      <c r="BP4">
        <v>0.44890160000000001</v>
      </c>
      <c r="BQ4">
        <v>0.36450280000000002</v>
      </c>
      <c r="BR4">
        <v>0.63549719999999998</v>
      </c>
      <c r="BS4">
        <v>0.55497370000000001</v>
      </c>
      <c r="BT4">
        <v>0.69686530000000002</v>
      </c>
      <c r="BU4">
        <v>0.44306980000000001</v>
      </c>
      <c r="BV4">
        <v>1.0290729999999999</v>
      </c>
      <c r="BW4">
        <v>0.98830110000000004</v>
      </c>
      <c r="BX4">
        <v>0.96037969999999995</v>
      </c>
      <c r="BY4">
        <v>0</v>
      </c>
      <c r="BZ4">
        <v>0.65110279999999998</v>
      </c>
      <c r="CA4">
        <v>0.34889720000000002</v>
      </c>
      <c r="CB4">
        <v>0.35728539999999998</v>
      </c>
      <c r="CC4">
        <v>0.64271460000000002</v>
      </c>
      <c r="CD4">
        <v>1.212159</v>
      </c>
      <c r="CE4">
        <v>1.1163400000000001</v>
      </c>
      <c r="CF4">
        <v>1.002607</v>
      </c>
      <c r="CG4">
        <v>1.0019180000000001</v>
      </c>
      <c r="CH4">
        <v>1.0598920000000001</v>
      </c>
      <c r="CI4">
        <v>0.98201170000000004</v>
      </c>
      <c r="CJ4">
        <v>0.92652020000000002</v>
      </c>
      <c r="CK4">
        <v>0.94934549999999995</v>
      </c>
      <c r="CL4">
        <v>0.56350199999999995</v>
      </c>
      <c r="CM4">
        <v>0.60514999999999997</v>
      </c>
      <c r="CN4">
        <v>0.53786230000000002</v>
      </c>
      <c r="CO4">
        <v>1.013935</v>
      </c>
      <c r="CP4">
        <v>1.0522180000000001</v>
      </c>
      <c r="CQ4">
        <v>0.98033579999999998</v>
      </c>
      <c r="CR4">
        <v>0.94551050000000003</v>
      </c>
      <c r="CS4">
        <v>0.96979870000000001</v>
      </c>
      <c r="CT4">
        <v>1.000232</v>
      </c>
      <c r="CU4">
        <v>0.97153129999999999</v>
      </c>
      <c r="CW4">
        <f t="shared" si="4"/>
        <v>241873.46283760751</v>
      </c>
      <c r="CX4">
        <f t="shared" ref="CX4:CX67" si="10">LN(CW4)-LN(CW3)</f>
        <v>-2.2801899761743627E-2</v>
      </c>
      <c r="CY4">
        <f t="shared" ref="CY4:CY67" si="11">LN(AB4)-LN(AB3)</f>
        <v>2.5045745299833271E-2</v>
      </c>
      <c r="CZ4">
        <f t="shared" ref="CZ4:CZ67" si="12">LN(AE4)-LN(AE3)</f>
        <v>-3.5871828555052235E-2</v>
      </c>
      <c r="DA4">
        <f t="shared" ref="DA4:DA67" si="13">CX4-(1-CL4)*CY4-CL4*CZ4</f>
        <v>-1.3520470359201207E-2</v>
      </c>
      <c r="DB4">
        <f t="shared" si="5"/>
        <v>-1.3520470359201207E-2</v>
      </c>
      <c r="DC4" s="12">
        <f t="shared" si="6"/>
        <v>-9.310738494992421E-3</v>
      </c>
      <c r="DD4" s="4">
        <f t="shared" si="7"/>
        <v>5.9991951134303598E-2</v>
      </c>
      <c r="DE4" s="4">
        <f t="shared" si="8"/>
        <v>-1.1740348980124202E-2</v>
      </c>
      <c r="DF4" s="4">
        <f t="shared" si="9"/>
        <v>-2.8881395050215725E-2</v>
      </c>
      <c r="DG4" s="13">
        <f t="shared" ref="DG4:DG67" si="14">+DG3+DB4</f>
        <v>-2.8881395050215725E-2</v>
      </c>
      <c r="DH4" s="4">
        <f t="shared" si="0"/>
        <v>0.99073247221879424</v>
      </c>
      <c r="DI4" s="4">
        <f t="shared" si="1"/>
        <v>0.97153168610038543</v>
      </c>
      <c r="DJ4" s="4">
        <f t="shared" si="2"/>
        <v>1.061828</v>
      </c>
      <c r="DK4" s="4">
        <f t="shared" si="3"/>
        <v>0.98832830000000005</v>
      </c>
      <c r="DM4" s="4"/>
      <c r="DN4" s="17"/>
    </row>
    <row r="5" spans="1:118" x14ac:dyDescent="0.3">
      <c r="A5">
        <v>1950</v>
      </c>
      <c r="B5">
        <v>151684</v>
      </c>
      <c r="C5">
        <v>299827</v>
      </c>
      <c r="D5">
        <v>1.1252489999999999</v>
      </c>
      <c r="E5">
        <v>1.067455</v>
      </c>
      <c r="F5">
        <v>192044</v>
      </c>
      <c r="G5">
        <v>56530</v>
      </c>
      <c r="H5">
        <v>39059</v>
      </c>
      <c r="I5">
        <v>11455</v>
      </c>
      <c r="J5">
        <v>738</v>
      </c>
      <c r="K5">
        <v>293337.2</v>
      </c>
      <c r="L5">
        <v>124854.9</v>
      </c>
      <c r="M5">
        <v>168482.4</v>
      </c>
      <c r="N5">
        <v>1.075874</v>
      </c>
      <c r="O5">
        <v>1.052141</v>
      </c>
      <c r="P5">
        <v>1.0937269999999999</v>
      </c>
      <c r="Q5">
        <v>40281</v>
      </c>
      <c r="R5">
        <v>82869</v>
      </c>
      <c r="S5">
        <v>21935</v>
      </c>
      <c r="T5">
        <v>148252.20000000001</v>
      </c>
      <c r="U5">
        <v>153536.10999999999</v>
      </c>
      <c r="V5">
        <v>73332.335999999996</v>
      </c>
      <c r="W5">
        <v>80203.781000000003</v>
      </c>
      <c r="X5">
        <v>0.53321790000000002</v>
      </c>
      <c r="Y5">
        <v>1.1167959999999999</v>
      </c>
      <c r="Z5">
        <v>1.1728989999999999</v>
      </c>
      <c r="AA5">
        <v>1.077523</v>
      </c>
      <c r="AB5">
        <v>1.099542</v>
      </c>
      <c r="AC5">
        <v>1.1210260000000001</v>
      </c>
      <c r="AD5">
        <v>1.088106</v>
      </c>
      <c r="AE5">
        <v>1.0290269999999999</v>
      </c>
      <c r="AF5">
        <v>1.010902</v>
      </c>
      <c r="AG5">
        <v>1.047293</v>
      </c>
      <c r="AH5">
        <v>0.60590960000000005</v>
      </c>
      <c r="AI5">
        <v>0.48117339999999997</v>
      </c>
      <c r="AJ5">
        <v>231121.2</v>
      </c>
      <c r="AK5">
        <v>120342</v>
      </c>
      <c r="AL5">
        <v>110779.2</v>
      </c>
      <c r="AM5">
        <v>1.0908389999999999</v>
      </c>
      <c r="AN5">
        <v>1.056122</v>
      </c>
      <c r="AO5">
        <v>1.0529569999999999</v>
      </c>
      <c r="AP5">
        <v>1.077949</v>
      </c>
      <c r="AQ5">
        <v>1.0702640000000001</v>
      </c>
      <c r="AR5">
        <v>1.094255</v>
      </c>
      <c r="AS5">
        <v>62216</v>
      </c>
      <c r="AT5">
        <v>1.2838160000000001</v>
      </c>
      <c r="AU5">
        <v>1.1174809999999999</v>
      </c>
      <c r="AV5">
        <v>0.64743790000000001</v>
      </c>
      <c r="AW5">
        <v>0.35256199999999999</v>
      </c>
      <c r="AX5">
        <v>0.35855209999999998</v>
      </c>
      <c r="AY5">
        <v>0.64144789999999996</v>
      </c>
      <c r="AZ5">
        <v>1.5237019999999999</v>
      </c>
      <c r="BA5">
        <v>0.63834210000000002</v>
      </c>
      <c r="BB5">
        <v>0.36165789999999998</v>
      </c>
      <c r="BC5">
        <v>0.64724230000000005</v>
      </c>
      <c r="BD5">
        <v>0</v>
      </c>
      <c r="BE5">
        <v>1.079086</v>
      </c>
      <c r="BF5">
        <v>1.079086</v>
      </c>
      <c r="BG5">
        <v>1</v>
      </c>
      <c r="BH5">
        <v>0.83056479999999999</v>
      </c>
      <c r="BI5">
        <v>0.28323949999999998</v>
      </c>
      <c r="BJ5">
        <v>0.71676050000000002</v>
      </c>
      <c r="BK5">
        <v>0.29117480000000001</v>
      </c>
      <c r="BL5" s="1">
        <v>3.9300000000000004E-15</v>
      </c>
      <c r="BM5">
        <v>1.0643130000000001</v>
      </c>
      <c r="BN5">
        <v>1.0643130000000001</v>
      </c>
      <c r="BO5">
        <v>1</v>
      </c>
      <c r="BP5">
        <v>0.44890160000000001</v>
      </c>
      <c r="BQ5">
        <v>0.35878070000000001</v>
      </c>
      <c r="BR5">
        <v>0.64121930000000005</v>
      </c>
      <c r="BS5">
        <v>0.55497370000000001</v>
      </c>
      <c r="BT5">
        <v>0.69686530000000002</v>
      </c>
      <c r="BU5">
        <v>0.44306980000000001</v>
      </c>
      <c r="BV5">
        <v>1.0649200000000001</v>
      </c>
      <c r="BW5">
        <v>1.0689360000000001</v>
      </c>
      <c r="BX5">
        <v>1.0037700000000001</v>
      </c>
      <c r="BY5">
        <v>0</v>
      </c>
      <c r="BZ5">
        <v>0.64618719999999996</v>
      </c>
      <c r="CA5">
        <v>0.35381279999999998</v>
      </c>
      <c r="CB5">
        <v>0.35161490000000001</v>
      </c>
      <c r="CC5">
        <v>0.64838510000000005</v>
      </c>
      <c r="CD5">
        <v>1.380727</v>
      </c>
      <c r="CE5">
        <v>1.282389</v>
      </c>
      <c r="CF5">
        <v>1.0965100000000001</v>
      </c>
      <c r="CG5">
        <v>1.0512550000000001</v>
      </c>
      <c r="CH5">
        <v>1.039525</v>
      </c>
      <c r="CI5">
        <v>0.97874309999999998</v>
      </c>
      <c r="CJ5">
        <v>0.94152930000000001</v>
      </c>
      <c r="CK5">
        <v>0.9450923</v>
      </c>
      <c r="CL5">
        <v>0.56350199999999995</v>
      </c>
      <c r="CM5">
        <v>0.60514999999999997</v>
      </c>
      <c r="CN5">
        <v>0.53786230000000002</v>
      </c>
      <c r="CO5">
        <v>1.0543439999999999</v>
      </c>
      <c r="CP5">
        <v>1.1090469999999999</v>
      </c>
      <c r="CQ5">
        <v>1.011838</v>
      </c>
      <c r="CR5">
        <v>0.95425360000000004</v>
      </c>
      <c r="CS5">
        <v>1.023622</v>
      </c>
      <c r="CT5">
        <v>1.0383389999999999</v>
      </c>
      <c r="CU5">
        <v>1.015088</v>
      </c>
      <c r="CW5">
        <f t="shared" si="4"/>
        <v>262498.60176593607</v>
      </c>
      <c r="CX5">
        <f t="shared" si="10"/>
        <v>8.183104684103526E-2</v>
      </c>
      <c r="CY5">
        <f t="shared" si="11"/>
        <v>3.4901778330251196E-2</v>
      </c>
      <c r="CZ5">
        <f t="shared" si="12"/>
        <v>4.0354044554853766E-2</v>
      </c>
      <c r="DA5">
        <f t="shared" si="13"/>
        <v>4.3856905588688058E-2</v>
      </c>
      <c r="DB5">
        <f t="shared" si="5"/>
        <v>4.3856905588688058E-2</v>
      </c>
      <c r="DC5" s="12">
        <f t="shared" si="6"/>
        <v>7.2520308346042839E-2</v>
      </c>
      <c r="DD5" s="4">
        <f t="shared" si="7"/>
        <v>9.4893729464554794E-2</v>
      </c>
      <c r="DE5" s="4">
        <f t="shared" si="8"/>
        <v>2.8613695574729564E-2</v>
      </c>
      <c r="DF5" s="4">
        <f t="shared" si="9"/>
        <v>1.4975510538472334E-2</v>
      </c>
      <c r="DG5" s="13">
        <f t="shared" si="14"/>
        <v>1.4975510538472334E-2</v>
      </c>
      <c r="DH5" s="4">
        <f t="shared" si="0"/>
        <v>1.0752146416994457</v>
      </c>
      <c r="DI5" s="4">
        <f t="shared" si="1"/>
        <v>1.0150882053477732</v>
      </c>
      <c r="DJ5" s="4">
        <f t="shared" si="2"/>
        <v>1.099542</v>
      </c>
      <c r="DK5" s="4">
        <f t="shared" si="3"/>
        <v>1.0290269999999999</v>
      </c>
      <c r="DM5" s="4"/>
      <c r="DN5" s="17"/>
    </row>
    <row r="6" spans="1:118" x14ac:dyDescent="0.3">
      <c r="A6">
        <v>1951</v>
      </c>
      <c r="B6">
        <v>154287</v>
      </c>
      <c r="C6">
        <v>346914</v>
      </c>
      <c r="D6">
        <v>1.2157739999999999</v>
      </c>
      <c r="E6">
        <v>1.143133</v>
      </c>
      <c r="F6">
        <v>208339</v>
      </c>
      <c r="G6">
        <v>62759</v>
      </c>
      <c r="H6">
        <v>53722</v>
      </c>
      <c r="I6">
        <v>19582</v>
      </c>
      <c r="J6">
        <v>2513</v>
      </c>
      <c r="K6">
        <v>339441.1</v>
      </c>
      <c r="L6">
        <v>147250.9</v>
      </c>
      <c r="M6">
        <v>192190.2</v>
      </c>
      <c r="N6">
        <v>1.167457</v>
      </c>
      <c r="O6">
        <v>1.1688019999999999</v>
      </c>
      <c r="P6">
        <v>1.1660349999999999</v>
      </c>
      <c r="Q6">
        <v>48549</v>
      </c>
      <c r="R6">
        <v>96818</v>
      </c>
      <c r="S6">
        <v>23881</v>
      </c>
      <c r="T6">
        <v>170193.1</v>
      </c>
      <c r="U6">
        <v>174406.78</v>
      </c>
      <c r="V6">
        <v>86367.093999999997</v>
      </c>
      <c r="W6">
        <v>88039.687999999995</v>
      </c>
      <c r="X6">
        <v>0.51860870000000003</v>
      </c>
      <c r="Y6">
        <v>1.1909449999999999</v>
      </c>
      <c r="Z6">
        <v>1.24522</v>
      </c>
      <c r="AA6">
        <v>1.1529229999999999</v>
      </c>
      <c r="AB6">
        <v>1.1515649999999999</v>
      </c>
      <c r="AC6">
        <v>1.190132</v>
      </c>
      <c r="AD6">
        <v>1.130576</v>
      </c>
      <c r="AE6">
        <v>1.0993360000000001</v>
      </c>
      <c r="AF6">
        <v>1.078454</v>
      </c>
      <c r="AG6">
        <v>1.1203419999999999</v>
      </c>
      <c r="AH6">
        <v>0.5869354</v>
      </c>
      <c r="AI6">
        <v>0.46706150000000002</v>
      </c>
      <c r="AJ6">
        <v>267011.09999999998</v>
      </c>
      <c r="AK6">
        <v>133976</v>
      </c>
      <c r="AL6">
        <v>133035.1</v>
      </c>
      <c r="AM6">
        <v>1.182501</v>
      </c>
      <c r="AN6">
        <v>1.1254440000000001</v>
      </c>
      <c r="AO6">
        <v>1.062649</v>
      </c>
      <c r="AP6">
        <v>1.1890270000000001</v>
      </c>
      <c r="AQ6">
        <v>1.2270430000000001</v>
      </c>
      <c r="AR6">
        <v>1.146093</v>
      </c>
      <c r="AS6">
        <v>72430</v>
      </c>
      <c r="AT6">
        <v>1.3697490000000001</v>
      </c>
      <c r="AU6">
        <v>1.2193210000000001</v>
      </c>
      <c r="AV6">
        <v>0.67028860000000001</v>
      </c>
      <c r="AW6">
        <v>0.32971139999999999</v>
      </c>
      <c r="AX6">
        <v>0.36259920000000001</v>
      </c>
      <c r="AY6">
        <v>0.63740079999999999</v>
      </c>
      <c r="AZ6">
        <v>1.730613</v>
      </c>
      <c r="BA6">
        <v>0.64778329999999995</v>
      </c>
      <c r="BB6">
        <v>0.35221669999999999</v>
      </c>
      <c r="BC6">
        <v>0.64724230000000005</v>
      </c>
      <c r="BD6">
        <v>0</v>
      </c>
      <c r="BE6">
        <v>1.1388180000000001</v>
      </c>
      <c r="BF6">
        <v>1.1388180000000001</v>
      </c>
      <c r="BG6">
        <v>1</v>
      </c>
      <c r="BH6">
        <v>0.83056479999999999</v>
      </c>
      <c r="BI6">
        <v>0.29166429999999999</v>
      </c>
      <c r="BJ6">
        <v>0.70833579999999996</v>
      </c>
      <c r="BK6">
        <v>0.29117480000000001</v>
      </c>
      <c r="BL6" s="1">
        <v>3.9300000000000004E-15</v>
      </c>
      <c r="BM6">
        <v>1.13978</v>
      </c>
      <c r="BN6">
        <v>1.13978</v>
      </c>
      <c r="BO6">
        <v>1</v>
      </c>
      <c r="BP6">
        <v>0.44890160000000001</v>
      </c>
      <c r="BQ6">
        <v>0.3564659</v>
      </c>
      <c r="BR6">
        <v>0.6435341</v>
      </c>
      <c r="BS6">
        <v>0.55497370000000001</v>
      </c>
      <c r="BT6">
        <v>0.69686530000000002</v>
      </c>
      <c r="BU6">
        <v>0.44306980000000001</v>
      </c>
      <c r="BV6">
        <v>1.1003430000000001</v>
      </c>
      <c r="BW6">
        <v>1.1625270000000001</v>
      </c>
      <c r="BX6">
        <v>1.056513</v>
      </c>
      <c r="BY6">
        <v>0</v>
      </c>
      <c r="BZ6">
        <v>0.65886319999999998</v>
      </c>
      <c r="CA6">
        <v>0.34113680000000002</v>
      </c>
      <c r="CB6">
        <v>0.3605756</v>
      </c>
      <c r="CC6">
        <v>0.63942429999999995</v>
      </c>
      <c r="CD6">
        <v>1.4980309999999999</v>
      </c>
      <c r="CE6">
        <v>1.30958</v>
      </c>
      <c r="CF6">
        <v>1.1532119999999999</v>
      </c>
      <c r="CG6">
        <v>1.131999</v>
      </c>
      <c r="CH6">
        <v>0.99763259999999998</v>
      </c>
      <c r="CI6">
        <v>0.95629850000000005</v>
      </c>
      <c r="CJ6">
        <v>0.95856790000000003</v>
      </c>
      <c r="CK6">
        <v>0.9230083</v>
      </c>
      <c r="CL6">
        <v>0.56350199999999995</v>
      </c>
      <c r="CM6">
        <v>0.60514999999999997</v>
      </c>
      <c r="CN6">
        <v>0.53786230000000002</v>
      </c>
      <c r="CO6">
        <v>1.0616030000000001</v>
      </c>
      <c r="CP6">
        <v>1.106025</v>
      </c>
      <c r="CQ6">
        <v>1.0250049999999999</v>
      </c>
      <c r="CR6">
        <v>0.95799089999999998</v>
      </c>
      <c r="CS6">
        <v>1.0308200000000001</v>
      </c>
      <c r="CT6">
        <v>1.047345</v>
      </c>
      <c r="CU6">
        <v>1.016448</v>
      </c>
      <c r="CW6">
        <f t="shared" si="4"/>
        <v>278385.34725474258</v>
      </c>
      <c r="CX6">
        <f t="shared" si="10"/>
        <v>5.8760539676343981E-2</v>
      </c>
      <c r="CY6">
        <f t="shared" si="11"/>
        <v>4.6228157332072695E-2</v>
      </c>
      <c r="CZ6">
        <f t="shared" si="12"/>
        <v>6.6092665604179007E-2</v>
      </c>
      <c r="DA6">
        <f t="shared" si="13"/>
        <v>1.3386922039228324E-3</v>
      </c>
      <c r="DB6">
        <f t="shared" si="5"/>
        <v>1.3386922039228324E-3</v>
      </c>
      <c r="DC6" s="12">
        <f t="shared" si="6"/>
        <v>0.13128084802238682</v>
      </c>
      <c r="DD6" s="4">
        <f t="shared" si="7"/>
        <v>0.14112188679662749</v>
      </c>
      <c r="DE6" s="4">
        <f t="shared" si="8"/>
        <v>9.4706361178908571E-2</v>
      </c>
      <c r="DF6" s="4">
        <f t="shared" si="9"/>
        <v>1.6314202742395166E-2</v>
      </c>
      <c r="DG6" s="13">
        <f t="shared" si="14"/>
        <v>1.6314202742395166E-2</v>
      </c>
      <c r="DH6" s="4">
        <f t="shared" si="0"/>
        <v>1.1402879839709936</v>
      </c>
      <c r="DI6" s="4">
        <f t="shared" si="1"/>
        <v>1.0164480059887502</v>
      </c>
      <c r="DJ6" s="4">
        <f t="shared" si="2"/>
        <v>1.1515649999999999</v>
      </c>
      <c r="DK6" s="4">
        <f t="shared" si="3"/>
        <v>1.0993360000000001</v>
      </c>
      <c r="DM6" s="4"/>
      <c r="DN6" s="17"/>
    </row>
    <row r="7" spans="1:118" x14ac:dyDescent="0.3">
      <c r="A7">
        <v>1952</v>
      </c>
      <c r="B7">
        <v>156954</v>
      </c>
      <c r="C7">
        <v>367341</v>
      </c>
      <c r="D7">
        <v>1.2654270000000001</v>
      </c>
      <c r="E7">
        <v>1.162947</v>
      </c>
      <c r="F7">
        <v>219320</v>
      </c>
      <c r="G7">
        <v>57274</v>
      </c>
      <c r="H7">
        <v>64963</v>
      </c>
      <c r="I7">
        <v>24621</v>
      </c>
      <c r="J7">
        <v>1164</v>
      </c>
      <c r="K7">
        <v>359559.4</v>
      </c>
      <c r="L7">
        <v>151906.79999999999</v>
      </c>
      <c r="M7">
        <v>207652.6</v>
      </c>
      <c r="N7">
        <v>1.191524</v>
      </c>
      <c r="O7">
        <v>1.154323</v>
      </c>
      <c r="P7">
        <v>1.2197229999999999</v>
      </c>
      <c r="Q7">
        <v>52704</v>
      </c>
      <c r="R7">
        <v>97519</v>
      </c>
      <c r="S7">
        <v>25676</v>
      </c>
      <c r="T7">
        <v>183660.4</v>
      </c>
      <c r="U7">
        <v>184289.89</v>
      </c>
      <c r="V7">
        <v>90294.358999999997</v>
      </c>
      <c r="W7">
        <v>93995.531000000003</v>
      </c>
      <c r="X7">
        <v>0.51317469999999998</v>
      </c>
      <c r="Y7">
        <v>1.2360500000000001</v>
      </c>
      <c r="Z7">
        <v>1.300705</v>
      </c>
      <c r="AA7">
        <v>1.19085</v>
      </c>
      <c r="AB7">
        <v>1.199478</v>
      </c>
      <c r="AC7">
        <v>1.2407999999999999</v>
      </c>
      <c r="AD7">
        <v>1.177001</v>
      </c>
      <c r="AE7">
        <v>1.1223959999999999</v>
      </c>
      <c r="AF7">
        <v>1.096503</v>
      </c>
      <c r="AG7">
        <v>1.1484730000000001</v>
      </c>
      <c r="AH7">
        <v>0.5904682</v>
      </c>
      <c r="AI7">
        <v>0.455372</v>
      </c>
      <c r="AJ7">
        <v>281179.40000000002</v>
      </c>
      <c r="AK7">
        <v>131277</v>
      </c>
      <c r="AL7">
        <v>149902.39999999999</v>
      </c>
      <c r="AM7">
        <v>1.2255590000000001</v>
      </c>
      <c r="AN7">
        <v>1.143176</v>
      </c>
      <c r="AO7">
        <v>1.0781099999999999</v>
      </c>
      <c r="AP7">
        <v>1.148013</v>
      </c>
      <c r="AQ7">
        <v>1.34046</v>
      </c>
      <c r="AR7">
        <v>1.1817740000000001</v>
      </c>
      <c r="AS7">
        <v>78380</v>
      </c>
      <c r="AT7">
        <v>1.4485870000000001</v>
      </c>
      <c r="AU7">
        <v>1.2476750000000001</v>
      </c>
      <c r="AV7">
        <v>0.67241640000000003</v>
      </c>
      <c r="AW7">
        <v>0.32758359999999997</v>
      </c>
      <c r="AX7">
        <v>0.3468213</v>
      </c>
      <c r="AY7">
        <v>0.6531787</v>
      </c>
      <c r="AZ7">
        <v>1.7914760000000001</v>
      </c>
      <c r="BA7">
        <v>0.63456000000000001</v>
      </c>
      <c r="BB7">
        <v>0.36543999999999999</v>
      </c>
      <c r="BC7">
        <v>0.64724230000000005</v>
      </c>
      <c r="BD7">
        <v>0</v>
      </c>
      <c r="BE7">
        <v>1.1895020000000001</v>
      </c>
      <c r="BF7">
        <v>1.1895020000000001</v>
      </c>
      <c r="BG7">
        <v>1</v>
      </c>
      <c r="BH7">
        <v>0.83056479999999999</v>
      </c>
      <c r="BI7">
        <v>0.27993289999999998</v>
      </c>
      <c r="BJ7">
        <v>0.72006709999999996</v>
      </c>
      <c r="BK7">
        <v>0.29117480000000001</v>
      </c>
      <c r="BL7" s="1">
        <v>3.9300000000000004E-15</v>
      </c>
      <c r="BM7">
        <v>1.1664319999999999</v>
      </c>
      <c r="BN7">
        <v>1.1664319999999999</v>
      </c>
      <c r="BO7">
        <v>1</v>
      </c>
      <c r="BP7">
        <v>0.44890160000000001</v>
      </c>
      <c r="BQ7">
        <v>0.34446149999999998</v>
      </c>
      <c r="BR7">
        <v>0.65553839999999997</v>
      </c>
      <c r="BS7">
        <v>0.55497370000000001</v>
      </c>
      <c r="BT7">
        <v>0.69686530000000002</v>
      </c>
      <c r="BU7">
        <v>0.44306980000000001</v>
      </c>
      <c r="BV7">
        <v>1.1337539999999999</v>
      </c>
      <c r="BW7">
        <v>1.1921600000000001</v>
      </c>
      <c r="BX7">
        <v>1.051515</v>
      </c>
      <c r="BY7">
        <v>0</v>
      </c>
      <c r="BZ7">
        <v>0.67135250000000002</v>
      </c>
      <c r="CA7">
        <v>0.32864749999999998</v>
      </c>
      <c r="CB7">
        <v>0.35471029999999998</v>
      </c>
      <c r="CC7">
        <v>0.64528969999999997</v>
      </c>
      <c r="CD7">
        <v>1.646636</v>
      </c>
      <c r="CE7">
        <v>1.3460380000000001</v>
      </c>
      <c r="CF7">
        <v>1.176132</v>
      </c>
      <c r="CG7">
        <v>1.1678040000000001</v>
      </c>
      <c r="CH7">
        <v>1.056656</v>
      </c>
      <c r="CI7">
        <v>0.97759649999999998</v>
      </c>
      <c r="CJ7">
        <v>0.92517939999999999</v>
      </c>
      <c r="CK7">
        <v>0.91624499999999998</v>
      </c>
      <c r="CL7">
        <v>0.56350199999999995</v>
      </c>
      <c r="CM7">
        <v>0.60514999999999997</v>
      </c>
      <c r="CN7">
        <v>0.53786230000000002</v>
      </c>
      <c r="CO7">
        <v>1.06979</v>
      </c>
      <c r="CP7">
        <v>1.1239129999999999</v>
      </c>
      <c r="CQ7">
        <v>1.025852</v>
      </c>
      <c r="CR7">
        <v>0.94225510000000001</v>
      </c>
      <c r="CS7">
        <v>1.0244679999999999</v>
      </c>
      <c r="CT7">
        <v>1.0525929999999999</v>
      </c>
      <c r="CU7">
        <v>1.0216449999999999</v>
      </c>
      <c r="CW7">
        <f t="shared" si="4"/>
        <v>288183.54138697981</v>
      </c>
      <c r="CX7">
        <f t="shared" si="10"/>
        <v>3.459127854347166E-2</v>
      </c>
      <c r="CY7">
        <f t="shared" si="11"/>
        <v>4.0764575357380595E-2</v>
      </c>
      <c r="CZ7">
        <f t="shared" si="12"/>
        <v>2.0759324828980644E-2</v>
      </c>
      <c r="DA7">
        <f t="shared" si="13"/>
        <v>5.099701869345493E-3</v>
      </c>
      <c r="DB7">
        <f t="shared" si="5"/>
        <v>5.099701869345493E-3</v>
      </c>
      <c r="DC7" s="12">
        <f t="shared" si="6"/>
        <v>0.16587212656585848</v>
      </c>
      <c r="DD7" s="4">
        <f t="shared" si="7"/>
        <v>0.18188646215400808</v>
      </c>
      <c r="DE7" s="4">
        <f t="shared" si="8"/>
        <v>0.11546568600788921</v>
      </c>
      <c r="DF7" s="4">
        <f t="shared" si="9"/>
        <v>2.1413904611740659E-2</v>
      </c>
      <c r="DG7" s="13">
        <f t="shared" si="14"/>
        <v>2.1413904611740659E-2</v>
      </c>
      <c r="DH7" s="4">
        <f t="shared" si="0"/>
        <v>1.1804221474382306</v>
      </c>
      <c r="DI7" s="4">
        <f t="shared" si="1"/>
        <v>1.0216448276427461</v>
      </c>
      <c r="DJ7" s="4">
        <f t="shared" si="2"/>
        <v>1.199478</v>
      </c>
      <c r="DK7" s="4">
        <f t="shared" si="3"/>
        <v>1.1223959999999999</v>
      </c>
      <c r="DM7" s="4"/>
      <c r="DN7" s="17"/>
    </row>
    <row r="8" spans="1:118" x14ac:dyDescent="0.3">
      <c r="A8">
        <v>1953</v>
      </c>
      <c r="B8">
        <v>159565</v>
      </c>
      <c r="C8">
        <v>389218</v>
      </c>
      <c r="D8">
        <v>1.3248180000000001</v>
      </c>
      <c r="E8">
        <v>1.1769670000000001</v>
      </c>
      <c r="F8">
        <v>232740</v>
      </c>
      <c r="G8">
        <v>60414</v>
      </c>
      <c r="H8">
        <v>70099</v>
      </c>
      <c r="I8">
        <v>26666</v>
      </c>
      <c r="J8">
        <v>-701</v>
      </c>
      <c r="K8">
        <v>380859.3</v>
      </c>
      <c r="L8">
        <v>160699.70000000001</v>
      </c>
      <c r="M8">
        <v>220159.5</v>
      </c>
      <c r="N8">
        <v>1.201749</v>
      </c>
      <c r="O8">
        <v>1.140776</v>
      </c>
      <c r="P8">
        <v>1.2486200000000001</v>
      </c>
      <c r="Q8">
        <v>57343</v>
      </c>
      <c r="R8">
        <v>101806</v>
      </c>
      <c r="S8">
        <v>27789</v>
      </c>
      <c r="T8">
        <v>193921.3</v>
      </c>
      <c r="U8">
        <v>202171.13</v>
      </c>
      <c r="V8">
        <v>100464.4</v>
      </c>
      <c r="W8">
        <v>101706.73</v>
      </c>
      <c r="X8">
        <v>0.52168630000000005</v>
      </c>
      <c r="Y8">
        <v>1.2981320000000001</v>
      </c>
      <c r="Z8">
        <v>1.3923350000000001</v>
      </c>
      <c r="AA8">
        <v>1.233355</v>
      </c>
      <c r="AB8">
        <v>1.2526759999999999</v>
      </c>
      <c r="AC8">
        <v>1.2997129999999999</v>
      </c>
      <c r="AD8">
        <v>1.2272719999999999</v>
      </c>
      <c r="AE8">
        <v>1.147548</v>
      </c>
      <c r="AF8">
        <v>1.125564</v>
      </c>
      <c r="AG8">
        <v>1.169648</v>
      </c>
      <c r="AH8">
        <v>0.60978750000000004</v>
      </c>
      <c r="AI8">
        <v>0.45731300000000003</v>
      </c>
      <c r="AJ8">
        <v>295727.3</v>
      </c>
      <c r="AK8">
        <v>134421</v>
      </c>
      <c r="AL8">
        <v>161306.29999999999</v>
      </c>
      <c r="AM8">
        <v>1.270821</v>
      </c>
      <c r="AN8">
        <v>1.160166</v>
      </c>
      <c r="AO8">
        <v>1.1203449999999999</v>
      </c>
      <c r="AP8">
        <v>1.131839</v>
      </c>
      <c r="AQ8">
        <v>1.3969750000000001</v>
      </c>
      <c r="AR8">
        <v>1.2209350000000001</v>
      </c>
      <c r="AS8">
        <v>85132</v>
      </c>
      <c r="AT8">
        <v>1.570335</v>
      </c>
      <c r="AU8">
        <v>1.2500899999999999</v>
      </c>
      <c r="AV8">
        <v>0.67357750000000005</v>
      </c>
      <c r="AW8">
        <v>0.3264225</v>
      </c>
      <c r="AX8">
        <v>0.34425640000000002</v>
      </c>
      <c r="AY8">
        <v>0.65574359999999998</v>
      </c>
      <c r="AZ8">
        <v>1.853334</v>
      </c>
      <c r="BA8">
        <v>0.62635450000000004</v>
      </c>
      <c r="BB8">
        <v>0.37364550000000002</v>
      </c>
      <c r="BC8">
        <v>0.64724230000000005</v>
      </c>
      <c r="BD8">
        <v>0</v>
      </c>
      <c r="BE8">
        <v>1.249533</v>
      </c>
      <c r="BF8">
        <v>1.249533</v>
      </c>
      <c r="BG8">
        <v>1</v>
      </c>
      <c r="BH8">
        <v>0.83056479999999999</v>
      </c>
      <c r="BI8">
        <v>0.27288869999999998</v>
      </c>
      <c r="BJ8">
        <v>0.72711130000000002</v>
      </c>
      <c r="BK8">
        <v>0.29117480000000001</v>
      </c>
      <c r="BL8" s="1">
        <v>3.9300000000000004E-15</v>
      </c>
      <c r="BM8">
        <v>1.2101139999999999</v>
      </c>
      <c r="BN8">
        <v>1.2101139999999999</v>
      </c>
      <c r="BO8">
        <v>1</v>
      </c>
      <c r="BP8">
        <v>0.44890160000000001</v>
      </c>
      <c r="BQ8">
        <v>0.33415129999999998</v>
      </c>
      <c r="BR8">
        <v>0.66584869999999996</v>
      </c>
      <c r="BS8">
        <v>0.55497370000000001</v>
      </c>
      <c r="BT8">
        <v>0.69686530000000002</v>
      </c>
      <c r="BU8">
        <v>0.44306980000000001</v>
      </c>
      <c r="BV8">
        <v>1.1704589999999999</v>
      </c>
      <c r="BW8">
        <v>1.2440869999999999</v>
      </c>
      <c r="BX8">
        <v>1.062905</v>
      </c>
      <c r="BY8">
        <v>0</v>
      </c>
      <c r="BZ8">
        <v>0.67299690000000001</v>
      </c>
      <c r="CA8">
        <v>0.32700299999999999</v>
      </c>
      <c r="CB8">
        <v>0.34553889999999998</v>
      </c>
      <c r="CC8">
        <v>0.65446110000000002</v>
      </c>
      <c r="CD8">
        <v>1.8128489999999999</v>
      </c>
      <c r="CE8">
        <v>1.4230940000000001</v>
      </c>
      <c r="CF8">
        <v>1.2424170000000001</v>
      </c>
      <c r="CG8">
        <v>1.2045110000000001</v>
      </c>
      <c r="CH8">
        <v>1.094536</v>
      </c>
      <c r="CI8">
        <v>0.99882400000000005</v>
      </c>
      <c r="CJ8">
        <v>0.91255489999999995</v>
      </c>
      <c r="CK8">
        <v>0.9280661</v>
      </c>
      <c r="CL8">
        <v>0.56350199999999995</v>
      </c>
      <c r="CM8">
        <v>0.60514999999999997</v>
      </c>
      <c r="CN8">
        <v>0.53786230000000002</v>
      </c>
      <c r="CO8">
        <v>1.0887579999999999</v>
      </c>
      <c r="CP8">
        <v>1.1617230000000001</v>
      </c>
      <c r="CQ8">
        <v>1.032562</v>
      </c>
      <c r="CR8">
        <v>0.94016379999999999</v>
      </c>
      <c r="CS8">
        <v>1.046052</v>
      </c>
      <c r="CT8">
        <v>1.0671079999999999</v>
      </c>
      <c r="CU8">
        <v>1.046656</v>
      </c>
      <c r="CW8">
        <f t="shared" si="4"/>
        <v>304665.50408370601</v>
      </c>
      <c r="CX8">
        <f t="shared" si="10"/>
        <v>5.5616893229595732E-2</v>
      </c>
      <c r="CY8">
        <f t="shared" si="11"/>
        <v>4.3395600913085919E-2</v>
      </c>
      <c r="CZ8">
        <f t="shared" si="12"/>
        <v>2.2161806135180664E-2</v>
      </c>
      <c r="DA8">
        <f t="shared" si="13"/>
        <v>2.4186578141448985E-2</v>
      </c>
      <c r="DB8">
        <f t="shared" si="5"/>
        <v>2.4186578141448985E-2</v>
      </c>
      <c r="DC8" s="12">
        <f t="shared" si="6"/>
        <v>0.22148901979545421</v>
      </c>
      <c r="DD8" s="4">
        <f t="shared" si="7"/>
        <v>0.225282063067094</v>
      </c>
      <c r="DE8" s="4">
        <f t="shared" si="8"/>
        <v>0.13762749214306988</v>
      </c>
      <c r="DF8" s="4">
        <f t="shared" si="9"/>
        <v>4.5600482753189647E-2</v>
      </c>
      <c r="DG8" s="13">
        <f t="shared" si="14"/>
        <v>4.5600482753189647E-2</v>
      </c>
      <c r="DH8" s="4">
        <f t="shared" si="0"/>
        <v>1.2479335455799461</v>
      </c>
      <c r="DI8" s="4">
        <f t="shared" si="1"/>
        <v>1.0466561702238222</v>
      </c>
      <c r="DJ8" s="4">
        <f t="shared" si="2"/>
        <v>1.2526759999999999</v>
      </c>
      <c r="DK8" s="4">
        <f t="shared" si="3"/>
        <v>1.147548</v>
      </c>
      <c r="DM8" s="4"/>
      <c r="DN8" s="17"/>
    </row>
    <row r="9" spans="1:118" x14ac:dyDescent="0.3">
      <c r="A9">
        <v>1954</v>
      </c>
      <c r="B9">
        <v>162391</v>
      </c>
      <c r="C9">
        <v>390549</v>
      </c>
      <c r="D9">
        <v>1.3171550000000001</v>
      </c>
      <c r="E9">
        <v>1.1878629999999999</v>
      </c>
      <c r="F9">
        <v>239608</v>
      </c>
      <c r="G9">
        <v>58070</v>
      </c>
      <c r="H9">
        <v>67071</v>
      </c>
      <c r="I9">
        <v>25396</v>
      </c>
      <c r="J9">
        <v>404</v>
      </c>
      <c r="K9">
        <v>382379.5</v>
      </c>
      <c r="L9">
        <v>155580.9</v>
      </c>
      <c r="M9">
        <v>226798.6</v>
      </c>
      <c r="N9">
        <v>1.2091350000000001</v>
      </c>
      <c r="O9">
        <v>1.1348469999999999</v>
      </c>
      <c r="P9">
        <v>1.2664120000000001</v>
      </c>
      <c r="Q9">
        <v>56328</v>
      </c>
      <c r="R9">
        <v>97746</v>
      </c>
      <c r="S9">
        <v>29075</v>
      </c>
      <c r="T9">
        <v>199230.5</v>
      </c>
      <c r="U9">
        <v>197065.75</v>
      </c>
      <c r="V9">
        <v>94278.422000000006</v>
      </c>
      <c r="W9">
        <v>102787.32</v>
      </c>
      <c r="X9">
        <v>0.5230979</v>
      </c>
      <c r="Y9">
        <v>1.295353</v>
      </c>
      <c r="Z9">
        <v>1.355027</v>
      </c>
      <c r="AA9">
        <v>1.2526969999999999</v>
      </c>
      <c r="AB9">
        <v>1.3126990000000001</v>
      </c>
      <c r="AC9">
        <v>1.3659060000000001</v>
      </c>
      <c r="AD9">
        <v>1.2842279999999999</v>
      </c>
      <c r="AE9">
        <v>1.1093040000000001</v>
      </c>
      <c r="AF9">
        <v>1.053679</v>
      </c>
      <c r="AG9">
        <v>1.1657500000000001</v>
      </c>
      <c r="AH9">
        <v>0.61557260000000003</v>
      </c>
      <c r="AI9">
        <v>0.45758900000000002</v>
      </c>
      <c r="AJ9">
        <v>296976.5</v>
      </c>
      <c r="AK9">
        <v>132753</v>
      </c>
      <c r="AL9">
        <v>164223.5</v>
      </c>
      <c r="AM9">
        <v>1.2615970000000001</v>
      </c>
      <c r="AN9">
        <v>1.172722</v>
      </c>
      <c r="AO9">
        <v>1.1450309999999999</v>
      </c>
      <c r="AP9">
        <v>1.0928949999999999</v>
      </c>
      <c r="AQ9">
        <v>1.3826099999999999</v>
      </c>
      <c r="AR9">
        <v>1.2550030000000001</v>
      </c>
      <c r="AS9">
        <v>85403</v>
      </c>
      <c r="AT9">
        <v>1.5695460000000001</v>
      </c>
      <c r="AU9">
        <v>1.254699</v>
      </c>
      <c r="AV9">
        <v>0.65955529999999996</v>
      </c>
      <c r="AW9">
        <v>0.34044469999999999</v>
      </c>
      <c r="AX9">
        <v>0.32913710000000002</v>
      </c>
      <c r="AY9">
        <v>0.67086290000000004</v>
      </c>
      <c r="AZ9">
        <v>1.8287739999999999</v>
      </c>
      <c r="BA9">
        <v>0.62181260000000005</v>
      </c>
      <c r="BB9">
        <v>0.37818740000000001</v>
      </c>
      <c r="BC9">
        <v>0.64724230000000005</v>
      </c>
      <c r="BD9">
        <v>0</v>
      </c>
      <c r="BE9">
        <v>1.2522200000000001</v>
      </c>
      <c r="BF9">
        <v>1.252221</v>
      </c>
      <c r="BG9">
        <v>1</v>
      </c>
      <c r="BH9">
        <v>0.83056479999999999</v>
      </c>
      <c r="BI9">
        <v>0.26906429999999998</v>
      </c>
      <c r="BJ9">
        <v>0.73093569999999997</v>
      </c>
      <c r="BK9">
        <v>0.29117480000000001</v>
      </c>
      <c r="BL9" s="1">
        <v>3.9300000000000004E-15</v>
      </c>
      <c r="BM9">
        <v>1.2044539999999999</v>
      </c>
      <c r="BN9">
        <v>1.2044539999999999</v>
      </c>
      <c r="BO9">
        <v>1</v>
      </c>
      <c r="BP9">
        <v>0.44890160000000001</v>
      </c>
      <c r="BQ9">
        <v>0.33474150000000003</v>
      </c>
      <c r="BR9">
        <v>0.66525849999999997</v>
      </c>
      <c r="BS9">
        <v>0.55497370000000001</v>
      </c>
      <c r="BT9">
        <v>0.69686530000000002</v>
      </c>
      <c r="BU9">
        <v>0.44306980000000001</v>
      </c>
      <c r="BV9">
        <v>1.1836310000000001</v>
      </c>
      <c r="BW9">
        <v>1.2306980000000001</v>
      </c>
      <c r="BX9">
        <v>1.0397639999999999</v>
      </c>
      <c r="BY9">
        <v>0</v>
      </c>
      <c r="BZ9">
        <v>0.6665664</v>
      </c>
      <c r="CA9">
        <v>0.3334336</v>
      </c>
      <c r="CB9">
        <v>0.33669680000000002</v>
      </c>
      <c r="CC9">
        <v>0.66330319999999998</v>
      </c>
      <c r="CD9">
        <v>1.7900640000000001</v>
      </c>
      <c r="CE9">
        <v>1.468032</v>
      </c>
      <c r="CF9">
        <v>1.199101</v>
      </c>
      <c r="CG9">
        <v>1.2201029999999999</v>
      </c>
      <c r="CH9">
        <v>1.1159319999999999</v>
      </c>
      <c r="CI9">
        <v>1.0093350000000001</v>
      </c>
      <c r="CJ9">
        <v>0.90447730000000004</v>
      </c>
      <c r="CK9">
        <v>0.93466369999999999</v>
      </c>
      <c r="CL9">
        <v>0.56350199999999995</v>
      </c>
      <c r="CM9">
        <v>0.60514999999999997</v>
      </c>
      <c r="CN9">
        <v>0.53786230000000002</v>
      </c>
      <c r="CO9">
        <v>1.084983</v>
      </c>
      <c r="CP9">
        <v>1.1482619999999999</v>
      </c>
      <c r="CQ9">
        <v>1.0301290000000001</v>
      </c>
      <c r="CR9">
        <v>0.93787500000000001</v>
      </c>
      <c r="CS9">
        <v>1.0350550000000001</v>
      </c>
      <c r="CT9">
        <v>1.061941</v>
      </c>
      <c r="CU9">
        <v>1.045582</v>
      </c>
      <c r="CW9">
        <f t="shared" si="4"/>
        <v>304757.95389970025</v>
      </c>
      <c r="CX9">
        <f t="shared" si="10"/>
        <v>3.0340091275604664E-4</v>
      </c>
      <c r="CY9">
        <f t="shared" si="11"/>
        <v>4.6803259971160721E-2</v>
      </c>
      <c r="CZ9">
        <f t="shared" si="12"/>
        <v>-3.3894700509513639E-2</v>
      </c>
      <c r="DA9">
        <f t="shared" si="13"/>
        <v>-1.0263969316237145E-3</v>
      </c>
      <c r="DB9">
        <f t="shared" si="5"/>
        <v>-1.0263969316237145E-3</v>
      </c>
      <c r="DC9" s="12">
        <f t="shared" si="6"/>
        <v>0.22179242070821026</v>
      </c>
      <c r="DD9" s="4">
        <f t="shared" si="7"/>
        <v>0.27208532303825472</v>
      </c>
      <c r="DE9" s="4">
        <f t="shared" si="8"/>
        <v>0.10373279163355624</v>
      </c>
      <c r="DF9" s="4">
        <f t="shared" si="9"/>
        <v>4.4574085821565933E-2</v>
      </c>
      <c r="DG9" s="13">
        <f t="shared" si="14"/>
        <v>4.4574085821565933E-2</v>
      </c>
      <c r="DH9" s="4">
        <f t="shared" si="0"/>
        <v>1.2483122272000036</v>
      </c>
      <c r="DI9" s="4">
        <f t="shared" si="1"/>
        <v>1.0455824366749136</v>
      </c>
      <c r="DJ9" s="4">
        <f t="shared" si="2"/>
        <v>1.3126990000000001</v>
      </c>
      <c r="DK9" s="4">
        <f t="shared" si="3"/>
        <v>1.1093040000000001</v>
      </c>
      <c r="DM9" s="4"/>
      <c r="DN9" s="17"/>
    </row>
    <row r="10" spans="1:118" x14ac:dyDescent="0.3">
      <c r="A10">
        <v>1955</v>
      </c>
      <c r="B10">
        <v>165275</v>
      </c>
      <c r="C10">
        <v>425478</v>
      </c>
      <c r="D10">
        <v>1.4111119999999999</v>
      </c>
      <c r="E10">
        <v>1.2079340000000001</v>
      </c>
      <c r="F10">
        <v>258288</v>
      </c>
      <c r="G10">
        <v>73754</v>
      </c>
      <c r="H10">
        <v>68600</v>
      </c>
      <c r="I10">
        <v>24358</v>
      </c>
      <c r="J10">
        <v>478</v>
      </c>
      <c r="K10">
        <v>416129</v>
      </c>
      <c r="L10">
        <v>170891.4</v>
      </c>
      <c r="M10">
        <v>245237.5</v>
      </c>
      <c r="N10">
        <v>1.2268840000000001</v>
      </c>
      <c r="O10">
        <v>1.140625</v>
      </c>
      <c r="P10">
        <v>1.2934669999999999</v>
      </c>
      <c r="Q10">
        <v>60978</v>
      </c>
      <c r="R10">
        <v>108469</v>
      </c>
      <c r="S10">
        <v>32147</v>
      </c>
      <c r="T10">
        <v>214535</v>
      </c>
      <c r="U10">
        <v>222725.77</v>
      </c>
      <c r="V10">
        <v>105471.14</v>
      </c>
      <c r="W10">
        <v>117254.63</v>
      </c>
      <c r="X10">
        <v>0.52529970000000004</v>
      </c>
      <c r="Y10">
        <v>1.3892880000000001</v>
      </c>
      <c r="Z10">
        <v>1.4808349999999999</v>
      </c>
      <c r="AA10">
        <v>1.3262100000000001</v>
      </c>
      <c r="AB10">
        <v>1.368652</v>
      </c>
      <c r="AC10">
        <v>1.417557</v>
      </c>
      <c r="AD10">
        <v>1.3420840000000001</v>
      </c>
      <c r="AE10">
        <v>1.1472070000000001</v>
      </c>
      <c r="AF10">
        <v>1.1026389999999999</v>
      </c>
      <c r="AG10">
        <v>1.192706</v>
      </c>
      <c r="AH10">
        <v>0.6115794</v>
      </c>
      <c r="AI10">
        <v>0.46566819999999998</v>
      </c>
      <c r="AJ10">
        <v>323004</v>
      </c>
      <c r="AK10">
        <v>150914</v>
      </c>
      <c r="AL10">
        <v>172090</v>
      </c>
      <c r="AM10">
        <v>1.35134</v>
      </c>
      <c r="AN10">
        <v>1.192458</v>
      </c>
      <c r="AO10">
        <v>1.2497609999999999</v>
      </c>
      <c r="AP10">
        <v>1.1398820000000001</v>
      </c>
      <c r="AQ10">
        <v>1.4095979999999999</v>
      </c>
      <c r="AR10">
        <v>1.2917419999999999</v>
      </c>
      <c r="AS10">
        <v>93125</v>
      </c>
      <c r="AT10">
        <v>1.6826220000000001</v>
      </c>
      <c r="AU10">
        <v>1.276205</v>
      </c>
      <c r="AV10">
        <v>0.65479730000000003</v>
      </c>
      <c r="AW10">
        <v>0.34520269999999997</v>
      </c>
      <c r="AX10">
        <v>0.33581319999999998</v>
      </c>
      <c r="AY10">
        <v>0.66418679999999997</v>
      </c>
      <c r="AZ10">
        <v>1.9543429999999999</v>
      </c>
      <c r="BA10">
        <v>0.61802869999999999</v>
      </c>
      <c r="BB10">
        <v>0.38197130000000001</v>
      </c>
      <c r="BC10">
        <v>0.64724230000000005</v>
      </c>
      <c r="BD10">
        <v>0</v>
      </c>
      <c r="BE10">
        <v>1.346822</v>
      </c>
      <c r="BF10">
        <v>1.346822</v>
      </c>
      <c r="BG10">
        <v>1</v>
      </c>
      <c r="BH10">
        <v>0.83056479999999999</v>
      </c>
      <c r="BI10">
        <v>0.26591759999999998</v>
      </c>
      <c r="BJ10">
        <v>0.73408249999999997</v>
      </c>
      <c r="BK10">
        <v>0.29117480000000001</v>
      </c>
      <c r="BL10" s="1">
        <v>3.9300000000000004E-15</v>
      </c>
      <c r="BM10">
        <v>1.2881359999999999</v>
      </c>
      <c r="BN10">
        <v>1.2881359999999999</v>
      </c>
      <c r="BO10">
        <v>1</v>
      </c>
      <c r="BP10">
        <v>0.44890160000000001</v>
      </c>
      <c r="BQ10">
        <v>0.32280340000000002</v>
      </c>
      <c r="BR10">
        <v>0.67719660000000004</v>
      </c>
      <c r="BS10">
        <v>0.55497370000000001</v>
      </c>
      <c r="BT10">
        <v>0.69686530000000002</v>
      </c>
      <c r="BU10">
        <v>0.44306980000000001</v>
      </c>
      <c r="BV10">
        <v>1.235166</v>
      </c>
      <c r="BW10">
        <v>1.3340780000000001</v>
      </c>
      <c r="BX10">
        <v>1.0800799999999999</v>
      </c>
      <c r="BY10">
        <v>0</v>
      </c>
      <c r="BZ10">
        <v>0.65717630000000005</v>
      </c>
      <c r="CA10">
        <v>0.34282370000000001</v>
      </c>
      <c r="CB10">
        <v>0.33247520000000003</v>
      </c>
      <c r="CC10">
        <v>0.66752480000000003</v>
      </c>
      <c r="CD10">
        <v>1.9280219999999999</v>
      </c>
      <c r="CE10">
        <v>1.589191</v>
      </c>
      <c r="CF10">
        <v>1.323906</v>
      </c>
      <c r="CG10">
        <v>1.286348</v>
      </c>
      <c r="CH10">
        <v>1.133999</v>
      </c>
      <c r="CI10">
        <v>1.0135259999999999</v>
      </c>
      <c r="CJ10">
        <v>0.89376299999999997</v>
      </c>
      <c r="CK10">
        <v>0.93437809999999999</v>
      </c>
      <c r="CL10">
        <v>0.56350199999999995</v>
      </c>
      <c r="CM10">
        <v>0.60514999999999997</v>
      </c>
      <c r="CN10">
        <v>0.53786230000000002</v>
      </c>
      <c r="CO10">
        <v>1.121224</v>
      </c>
      <c r="CP10">
        <v>1.203506</v>
      </c>
      <c r="CQ10">
        <v>1.0561130000000001</v>
      </c>
      <c r="CR10">
        <v>0.93188159999999998</v>
      </c>
      <c r="CS10">
        <v>1.0689010000000001</v>
      </c>
      <c r="CT10">
        <v>1.095167</v>
      </c>
      <c r="CU10">
        <v>1.077893</v>
      </c>
      <c r="CW10">
        <f t="shared" si="4"/>
        <v>326067.52050023311</v>
      </c>
      <c r="CX10">
        <f t="shared" si="10"/>
        <v>6.7586610245887968E-2</v>
      </c>
      <c r="CY10">
        <f t="shared" si="11"/>
        <v>4.1740990807631606E-2</v>
      </c>
      <c r="CZ10">
        <f t="shared" si="12"/>
        <v>3.3597501024156887E-2</v>
      </c>
      <c r="DA10">
        <f t="shared" si="13"/>
        <v>3.0434492218223936E-2</v>
      </c>
      <c r="DB10">
        <f t="shared" si="5"/>
        <v>3.0434492218223936E-2</v>
      </c>
      <c r="DC10" s="12">
        <f t="shared" si="6"/>
        <v>0.28937903095409823</v>
      </c>
      <c r="DD10" s="4">
        <f t="shared" si="7"/>
        <v>0.31382631384588633</v>
      </c>
      <c r="DE10" s="4">
        <f t="shared" si="8"/>
        <v>0.13733029265771313</v>
      </c>
      <c r="DF10" s="4">
        <f t="shared" si="9"/>
        <v>7.5008578039789872E-2</v>
      </c>
      <c r="DG10" s="13">
        <f t="shared" si="14"/>
        <v>7.5008578039789872E-2</v>
      </c>
      <c r="DH10" s="4">
        <f t="shared" si="0"/>
        <v>1.3355978655349179</v>
      </c>
      <c r="DI10" s="4">
        <f t="shared" si="1"/>
        <v>1.0778933970574236</v>
      </c>
      <c r="DJ10" s="4">
        <f t="shared" si="2"/>
        <v>1.368652</v>
      </c>
      <c r="DK10" s="4">
        <f t="shared" si="3"/>
        <v>1.1472070000000001</v>
      </c>
      <c r="DM10" s="4"/>
      <c r="DN10" s="17"/>
    </row>
    <row r="11" spans="1:118" x14ac:dyDescent="0.3">
      <c r="A11">
        <v>1956</v>
      </c>
      <c r="B11">
        <v>168221</v>
      </c>
      <c r="C11">
        <v>449353</v>
      </c>
      <c r="D11">
        <v>1.441127</v>
      </c>
      <c r="E11">
        <v>1.2491449999999999</v>
      </c>
      <c r="F11">
        <v>271128</v>
      </c>
      <c r="G11">
        <v>77685</v>
      </c>
      <c r="H11">
        <v>71034</v>
      </c>
      <c r="I11">
        <v>27146</v>
      </c>
      <c r="J11">
        <v>2361</v>
      </c>
      <c r="K11">
        <v>439820.3</v>
      </c>
      <c r="L11">
        <v>179118</v>
      </c>
      <c r="M11">
        <v>260702.3</v>
      </c>
      <c r="N11">
        <v>1.2759670000000001</v>
      </c>
      <c r="O11">
        <v>1.1956119999999999</v>
      </c>
      <c r="P11">
        <v>1.33792</v>
      </c>
      <c r="Q11">
        <v>66152</v>
      </c>
      <c r="R11">
        <v>111503</v>
      </c>
      <c r="S11">
        <v>34729</v>
      </c>
      <c r="T11">
        <v>227436.3</v>
      </c>
      <c r="U11">
        <v>236725.03</v>
      </c>
      <c r="V11">
        <v>110789.3</v>
      </c>
      <c r="W11">
        <v>125935.74</v>
      </c>
      <c r="X11">
        <v>0.53673190000000004</v>
      </c>
      <c r="Y11">
        <v>1.4118999999999999</v>
      </c>
      <c r="Z11">
        <v>1.480737</v>
      </c>
      <c r="AA11">
        <v>1.3629990000000001</v>
      </c>
      <c r="AB11">
        <v>1.435033</v>
      </c>
      <c r="AC11">
        <v>1.492083</v>
      </c>
      <c r="AD11">
        <v>1.4044019999999999</v>
      </c>
      <c r="AE11">
        <v>1.1731130000000001</v>
      </c>
      <c r="AF11">
        <v>1.119602</v>
      </c>
      <c r="AG11">
        <v>1.227325</v>
      </c>
      <c r="AH11">
        <v>0.61785440000000003</v>
      </c>
      <c r="AI11">
        <v>0.4805951</v>
      </c>
      <c r="AJ11">
        <v>338939.3</v>
      </c>
      <c r="AK11">
        <v>156457</v>
      </c>
      <c r="AL11">
        <v>182482.3</v>
      </c>
      <c r="AM11">
        <v>1.381059</v>
      </c>
      <c r="AN11">
        <v>1.223387</v>
      </c>
      <c r="AO11">
        <v>1.280529</v>
      </c>
      <c r="AP11">
        <v>1.152434</v>
      </c>
      <c r="AQ11">
        <v>1.447729</v>
      </c>
      <c r="AR11">
        <v>1.332613</v>
      </c>
      <c r="AS11">
        <v>100881</v>
      </c>
      <c r="AT11">
        <v>1.7141569999999999</v>
      </c>
      <c r="AU11">
        <v>1.3570610000000001</v>
      </c>
      <c r="AV11">
        <v>0.65574290000000002</v>
      </c>
      <c r="AW11">
        <v>0.34425709999999998</v>
      </c>
      <c r="AX11">
        <v>0.3289763</v>
      </c>
      <c r="AY11">
        <v>0.6710237</v>
      </c>
      <c r="AZ11">
        <v>2.0148450000000002</v>
      </c>
      <c r="BA11">
        <v>0.62116159999999998</v>
      </c>
      <c r="BB11">
        <v>0.37883840000000002</v>
      </c>
      <c r="BC11">
        <v>0.64724230000000005</v>
      </c>
      <c r="BD11">
        <v>0</v>
      </c>
      <c r="BE11">
        <v>1.3551040000000001</v>
      </c>
      <c r="BF11">
        <v>1.3551040000000001</v>
      </c>
      <c r="BG11">
        <v>1</v>
      </c>
      <c r="BH11">
        <v>0.83056479999999999</v>
      </c>
      <c r="BI11">
        <v>0.26852039999999999</v>
      </c>
      <c r="BJ11">
        <v>0.73147960000000001</v>
      </c>
      <c r="BK11">
        <v>0.29117480000000001</v>
      </c>
      <c r="BL11" s="1">
        <v>3.9300000000000004E-15</v>
      </c>
      <c r="BM11">
        <v>1.3021419999999999</v>
      </c>
      <c r="BN11">
        <v>1.3021419999999999</v>
      </c>
      <c r="BO11">
        <v>1</v>
      </c>
      <c r="BP11">
        <v>0.44890160000000001</v>
      </c>
      <c r="BQ11">
        <v>0.3264049</v>
      </c>
      <c r="BR11">
        <v>0.6735951</v>
      </c>
      <c r="BS11">
        <v>0.55497370000000001</v>
      </c>
      <c r="BT11">
        <v>0.69686530000000002</v>
      </c>
      <c r="BU11">
        <v>0.44306980000000001</v>
      </c>
      <c r="BV11">
        <v>1.2502880000000001</v>
      </c>
      <c r="BW11">
        <v>1.346185</v>
      </c>
      <c r="BX11">
        <v>1.0766990000000001</v>
      </c>
      <c r="BY11">
        <v>0</v>
      </c>
      <c r="BZ11">
        <v>0.65527009999999997</v>
      </c>
      <c r="CA11">
        <v>0.34472989999999998</v>
      </c>
      <c r="CB11">
        <v>0.33239469999999999</v>
      </c>
      <c r="CC11">
        <v>0.66760520000000001</v>
      </c>
      <c r="CD11">
        <v>1.9954190000000001</v>
      </c>
      <c r="CE11">
        <v>1.6597900000000001</v>
      </c>
      <c r="CF11">
        <v>1.2983450000000001</v>
      </c>
      <c r="CG11">
        <v>1.318395</v>
      </c>
      <c r="CH11">
        <v>1.1190249999999999</v>
      </c>
      <c r="CI11">
        <v>0.98589499999999997</v>
      </c>
      <c r="CJ11">
        <v>0.88103070000000006</v>
      </c>
      <c r="CK11">
        <v>0.90149710000000005</v>
      </c>
      <c r="CL11">
        <v>0.56350199999999995</v>
      </c>
      <c r="CM11">
        <v>0.60514999999999997</v>
      </c>
      <c r="CN11">
        <v>0.53786230000000002</v>
      </c>
      <c r="CO11">
        <v>1.1022019999999999</v>
      </c>
      <c r="CP11">
        <v>1.1667289999999999</v>
      </c>
      <c r="CQ11">
        <v>1.0470969999999999</v>
      </c>
      <c r="CR11">
        <v>0.91440650000000001</v>
      </c>
      <c r="CS11">
        <v>1.025533</v>
      </c>
      <c r="CT11">
        <v>1.079321</v>
      </c>
      <c r="CU11">
        <v>1.0363370000000001</v>
      </c>
      <c r="CW11">
        <f t="shared" si="4"/>
        <v>324097.66399594414</v>
      </c>
      <c r="CX11">
        <f t="shared" si="10"/>
        <v>-6.0595755625367786E-3</v>
      </c>
      <c r="CY11">
        <f t="shared" si="11"/>
        <v>4.7361531616961716E-2</v>
      </c>
      <c r="CZ11">
        <f t="shared" si="12"/>
        <v>2.2330606559633898E-2</v>
      </c>
      <c r="DA11">
        <f t="shared" si="13"/>
        <v>-3.9316130847844154E-2</v>
      </c>
      <c r="DB11">
        <f t="shared" si="5"/>
        <v>-3.9316130847844154E-2</v>
      </c>
      <c r="DC11" s="12">
        <f t="shared" si="6"/>
        <v>0.28331945539156145</v>
      </c>
      <c r="DD11" s="4">
        <f t="shared" si="7"/>
        <v>0.36118784546284805</v>
      </c>
      <c r="DE11" s="4">
        <f t="shared" si="8"/>
        <v>0.15966089921734702</v>
      </c>
      <c r="DF11" s="4">
        <f t="shared" si="9"/>
        <v>3.5692447191945718E-2</v>
      </c>
      <c r="DG11" s="13">
        <f t="shared" si="14"/>
        <v>3.5692447191945718E-2</v>
      </c>
      <c r="DH11" s="4">
        <f t="shared" si="0"/>
        <v>1.3275291804401803</v>
      </c>
      <c r="DI11" s="4">
        <f t="shared" si="1"/>
        <v>1.0363370690973035</v>
      </c>
      <c r="DJ11" s="4">
        <f t="shared" si="2"/>
        <v>1.435033</v>
      </c>
      <c r="DK11" s="4">
        <f t="shared" si="3"/>
        <v>1.1731130000000001</v>
      </c>
      <c r="DM11" s="4"/>
      <c r="DN11" s="17"/>
    </row>
    <row r="12" spans="1:118" x14ac:dyDescent="0.3">
      <c r="A12">
        <v>1957</v>
      </c>
      <c r="B12">
        <v>171274</v>
      </c>
      <c r="C12">
        <v>474039</v>
      </c>
      <c r="D12">
        <v>1.471541</v>
      </c>
      <c r="E12">
        <v>1.2905329999999999</v>
      </c>
      <c r="F12">
        <v>286296</v>
      </c>
      <c r="G12">
        <v>76505</v>
      </c>
      <c r="H12">
        <v>76933</v>
      </c>
      <c r="I12">
        <v>30230</v>
      </c>
      <c r="J12">
        <v>4075</v>
      </c>
      <c r="K12">
        <v>463620.3</v>
      </c>
      <c r="L12">
        <v>185726.9</v>
      </c>
      <c r="M12">
        <v>277893.40000000002</v>
      </c>
      <c r="N12">
        <v>1.318864</v>
      </c>
      <c r="O12">
        <v>1.235711</v>
      </c>
      <c r="P12">
        <v>1.382973</v>
      </c>
      <c r="Q12">
        <v>69278</v>
      </c>
      <c r="R12">
        <v>114808</v>
      </c>
      <c r="S12">
        <v>36679</v>
      </c>
      <c r="T12">
        <v>242855.3</v>
      </c>
      <c r="U12">
        <v>253734.33</v>
      </c>
      <c r="V12">
        <v>117129.34</v>
      </c>
      <c r="W12">
        <v>136605</v>
      </c>
      <c r="X12">
        <v>0.54276020000000003</v>
      </c>
      <c r="Y12">
        <v>1.439894</v>
      </c>
      <c r="Z12">
        <v>1.4855480000000001</v>
      </c>
      <c r="AA12">
        <v>1.4055470000000001</v>
      </c>
      <c r="AB12">
        <v>1.499193</v>
      </c>
      <c r="AC12">
        <v>1.563151</v>
      </c>
      <c r="AD12">
        <v>1.4651620000000001</v>
      </c>
      <c r="AE12">
        <v>1.172531</v>
      </c>
      <c r="AF12">
        <v>1.100344</v>
      </c>
      <c r="AG12">
        <v>1.2448049999999999</v>
      </c>
      <c r="AH12">
        <v>0.62459019999999998</v>
      </c>
      <c r="AI12">
        <v>0.48731849999999999</v>
      </c>
      <c r="AJ12">
        <v>357663.3</v>
      </c>
      <c r="AK12">
        <v>161933</v>
      </c>
      <c r="AL12">
        <v>195730.3</v>
      </c>
      <c r="AM12">
        <v>1.4132119999999999</v>
      </c>
      <c r="AN12">
        <v>1.262832</v>
      </c>
      <c r="AO12">
        <v>1.3101830000000001</v>
      </c>
      <c r="AP12">
        <v>1.166914</v>
      </c>
      <c r="AQ12">
        <v>1.5002880000000001</v>
      </c>
      <c r="AR12">
        <v>1.3806179999999999</v>
      </c>
      <c r="AS12">
        <v>105957</v>
      </c>
      <c r="AT12">
        <v>1.7374700000000001</v>
      </c>
      <c r="AU12">
        <v>1.4062190000000001</v>
      </c>
      <c r="AV12">
        <v>0.65383119999999995</v>
      </c>
      <c r="AW12">
        <v>0.3461687</v>
      </c>
      <c r="AX12">
        <v>0.32099470000000002</v>
      </c>
      <c r="AY12">
        <v>0.67900530000000003</v>
      </c>
      <c r="AZ12">
        <v>2.0882520000000002</v>
      </c>
      <c r="BA12">
        <v>0.62113079999999998</v>
      </c>
      <c r="BB12">
        <v>0.37886920000000002</v>
      </c>
      <c r="BC12">
        <v>0.64724230000000005</v>
      </c>
      <c r="BD12">
        <v>0</v>
      </c>
      <c r="BE12">
        <v>1.3834919999999999</v>
      </c>
      <c r="BF12">
        <v>1.3834919999999999</v>
      </c>
      <c r="BG12">
        <v>1</v>
      </c>
      <c r="BH12">
        <v>0.83056479999999999</v>
      </c>
      <c r="BI12">
        <v>0.26849460000000003</v>
      </c>
      <c r="BJ12">
        <v>0.73150539999999997</v>
      </c>
      <c r="BK12">
        <v>0.29117480000000001</v>
      </c>
      <c r="BL12" s="1">
        <v>3.9300000000000004E-15</v>
      </c>
      <c r="BM12">
        <v>1.329359</v>
      </c>
      <c r="BN12">
        <v>1.329359</v>
      </c>
      <c r="BO12">
        <v>1</v>
      </c>
      <c r="BP12">
        <v>0.44890160000000001</v>
      </c>
      <c r="BQ12">
        <v>0.32589269999999998</v>
      </c>
      <c r="BR12">
        <v>0.67410729999999996</v>
      </c>
      <c r="BS12">
        <v>0.55497370000000001</v>
      </c>
      <c r="BT12">
        <v>0.69686530000000002</v>
      </c>
      <c r="BU12">
        <v>0.44306980000000001</v>
      </c>
      <c r="BV12">
        <v>1.2745409999999999</v>
      </c>
      <c r="BW12">
        <v>1.3753200000000001</v>
      </c>
      <c r="BX12">
        <v>1.07907</v>
      </c>
      <c r="BY12">
        <v>0</v>
      </c>
      <c r="BZ12">
        <v>0.65478709999999996</v>
      </c>
      <c r="CA12">
        <v>0.34521289999999999</v>
      </c>
      <c r="CB12">
        <v>0.32498549999999998</v>
      </c>
      <c r="CC12">
        <v>0.67501449999999996</v>
      </c>
      <c r="CD12">
        <v>2.0219</v>
      </c>
      <c r="CE12">
        <v>1.6958789999999999</v>
      </c>
      <c r="CF12">
        <v>1.2934490000000001</v>
      </c>
      <c r="CG12">
        <v>1.3619140000000001</v>
      </c>
      <c r="CH12">
        <v>1.1191709999999999</v>
      </c>
      <c r="CI12">
        <v>0.98346920000000004</v>
      </c>
      <c r="CJ12">
        <v>0.87874759999999996</v>
      </c>
      <c r="CK12">
        <v>0.89803390000000005</v>
      </c>
      <c r="CL12">
        <v>0.56350199999999995</v>
      </c>
      <c r="CM12">
        <v>0.60514999999999997</v>
      </c>
      <c r="CN12">
        <v>0.53786230000000002</v>
      </c>
      <c r="CO12">
        <v>1.1031059999999999</v>
      </c>
      <c r="CP12">
        <v>1.158255</v>
      </c>
      <c r="CQ12">
        <v>1.0515909999999999</v>
      </c>
      <c r="CR12">
        <v>0.91207830000000001</v>
      </c>
      <c r="CS12">
        <v>1.0199260000000001</v>
      </c>
      <c r="CT12">
        <v>1.0805659999999999</v>
      </c>
      <c r="CU12">
        <v>1.034581</v>
      </c>
      <c r="CW12">
        <f t="shared" si="4"/>
        <v>329692.81456160097</v>
      </c>
      <c r="CX12">
        <f t="shared" si="10"/>
        <v>1.7116453514780972E-2</v>
      </c>
      <c r="CY12">
        <f t="shared" si="11"/>
        <v>4.37391178713884E-2</v>
      </c>
      <c r="CZ12">
        <f t="shared" si="12"/>
        <v>-4.962389961506164E-4</v>
      </c>
      <c r="DA12">
        <f t="shared" si="13"/>
        <v>-1.6959522910354595E-3</v>
      </c>
      <c r="DB12">
        <f t="shared" si="5"/>
        <v>-1.6959522910354595E-3</v>
      </c>
      <c r="DC12" s="12">
        <f t="shared" si="6"/>
        <v>0.30043590890634242</v>
      </c>
      <c r="DD12" s="4">
        <f t="shared" si="7"/>
        <v>0.40492696333423644</v>
      </c>
      <c r="DE12" s="4">
        <f t="shared" si="8"/>
        <v>0.15916466022119641</v>
      </c>
      <c r="DF12" s="4">
        <f t="shared" si="9"/>
        <v>3.3996494900910258E-2</v>
      </c>
      <c r="DG12" s="13">
        <f t="shared" si="14"/>
        <v>3.3996494900910258E-2</v>
      </c>
      <c r="DH12" s="4">
        <f t="shared" si="0"/>
        <v>1.3504473513189406</v>
      </c>
      <c r="DI12" s="4">
        <f t="shared" si="1"/>
        <v>1.0345809804129098</v>
      </c>
      <c r="DJ12" s="4">
        <f t="shared" si="2"/>
        <v>1.499193</v>
      </c>
      <c r="DK12" s="4">
        <f t="shared" si="3"/>
        <v>1.172531</v>
      </c>
      <c r="DM12" s="4"/>
      <c r="DN12" s="17"/>
    </row>
    <row r="13" spans="1:118" x14ac:dyDescent="0.3">
      <c r="A13">
        <v>1958</v>
      </c>
      <c r="B13">
        <v>174141</v>
      </c>
      <c r="C13">
        <v>481229</v>
      </c>
      <c r="D13">
        <v>1.4606049999999999</v>
      </c>
      <c r="E13">
        <v>1.319917</v>
      </c>
      <c r="F13">
        <v>295606</v>
      </c>
      <c r="G13">
        <v>70947</v>
      </c>
      <c r="H13">
        <v>81516</v>
      </c>
      <c r="I13">
        <v>32622</v>
      </c>
      <c r="J13">
        <v>538</v>
      </c>
      <c r="K13">
        <v>470428.9</v>
      </c>
      <c r="L13">
        <v>181038.2</v>
      </c>
      <c r="M13">
        <v>289390.7</v>
      </c>
      <c r="N13">
        <v>1.347971</v>
      </c>
      <c r="O13">
        <v>1.257773</v>
      </c>
      <c r="P13">
        <v>1.417276</v>
      </c>
      <c r="Q13">
        <v>66359</v>
      </c>
      <c r="R13">
        <v>112824</v>
      </c>
      <c r="S13">
        <v>37576</v>
      </c>
      <c r="T13">
        <v>253669.9</v>
      </c>
      <c r="U13">
        <v>259092.78</v>
      </c>
      <c r="V13">
        <v>114589.17</v>
      </c>
      <c r="W13">
        <v>144503.60999999999</v>
      </c>
      <c r="X13">
        <v>0.54902390000000001</v>
      </c>
      <c r="Y13">
        <v>1.429492</v>
      </c>
      <c r="Z13">
        <v>1.422647</v>
      </c>
      <c r="AA13">
        <v>1.428272</v>
      </c>
      <c r="AB13">
        <v>1.553763</v>
      </c>
      <c r="AC13">
        <v>1.6031260000000001</v>
      </c>
      <c r="AD13">
        <v>1.5260370000000001</v>
      </c>
      <c r="AE13">
        <v>1.1318779999999999</v>
      </c>
      <c r="AF13">
        <v>1.0229680000000001</v>
      </c>
      <c r="AG13">
        <v>1.239519</v>
      </c>
      <c r="AH13">
        <v>0.63180480000000006</v>
      </c>
      <c r="AI13">
        <v>0.49545539999999999</v>
      </c>
      <c r="AJ13">
        <v>366493.9</v>
      </c>
      <c r="AK13">
        <v>159951</v>
      </c>
      <c r="AL13">
        <v>206542.9</v>
      </c>
      <c r="AM13">
        <v>1.408814</v>
      </c>
      <c r="AN13">
        <v>1.2984770000000001</v>
      </c>
      <c r="AO13">
        <v>1.2714019999999999</v>
      </c>
      <c r="AP13">
        <v>1.188185</v>
      </c>
      <c r="AQ13">
        <v>1.5343580000000001</v>
      </c>
      <c r="AR13">
        <v>1.4250149999999999</v>
      </c>
      <c r="AS13">
        <v>103935</v>
      </c>
      <c r="AT13">
        <v>1.698164</v>
      </c>
      <c r="AU13">
        <v>1.411311</v>
      </c>
      <c r="AV13">
        <v>0.63846639999999999</v>
      </c>
      <c r="AW13">
        <v>0.36153360000000001</v>
      </c>
      <c r="AX13">
        <v>0.30784689999999998</v>
      </c>
      <c r="AY13">
        <v>0.69215309999999997</v>
      </c>
      <c r="AZ13">
        <v>2.104581</v>
      </c>
      <c r="BA13">
        <v>0.61952790000000002</v>
      </c>
      <c r="BB13">
        <v>0.38047209999999998</v>
      </c>
      <c r="BC13">
        <v>0.64724230000000005</v>
      </c>
      <c r="BD13">
        <v>0</v>
      </c>
      <c r="BE13">
        <v>1.3891910000000001</v>
      </c>
      <c r="BF13">
        <v>1.3891910000000001</v>
      </c>
      <c r="BG13">
        <v>1</v>
      </c>
      <c r="BH13">
        <v>0.83056479999999999</v>
      </c>
      <c r="BI13">
        <v>0.26716010000000001</v>
      </c>
      <c r="BJ13">
        <v>0.73283989999999999</v>
      </c>
      <c r="BK13">
        <v>0.29117480000000001</v>
      </c>
      <c r="BL13" s="1">
        <v>3.9300000000000004E-15</v>
      </c>
      <c r="BM13">
        <v>1.331636</v>
      </c>
      <c r="BN13">
        <v>1.331636</v>
      </c>
      <c r="BO13">
        <v>1</v>
      </c>
      <c r="BP13">
        <v>0.44890160000000001</v>
      </c>
      <c r="BQ13">
        <v>0.32737300000000003</v>
      </c>
      <c r="BR13">
        <v>0.67262699999999997</v>
      </c>
      <c r="BS13">
        <v>0.55497370000000001</v>
      </c>
      <c r="BT13">
        <v>0.69686530000000002</v>
      </c>
      <c r="BU13">
        <v>0.44306980000000001</v>
      </c>
      <c r="BV13">
        <v>1.288931</v>
      </c>
      <c r="BW13">
        <v>1.372147</v>
      </c>
      <c r="BX13">
        <v>1.064562</v>
      </c>
      <c r="BY13">
        <v>0</v>
      </c>
      <c r="BZ13">
        <v>0.64614879999999997</v>
      </c>
      <c r="CA13">
        <v>0.35385119999999998</v>
      </c>
      <c r="CB13">
        <v>0.3144208</v>
      </c>
      <c r="CC13">
        <v>0.68557920000000006</v>
      </c>
      <c r="CD13">
        <v>1.902739</v>
      </c>
      <c r="CE13">
        <v>1.6953020000000001</v>
      </c>
      <c r="CF13">
        <v>1.248802</v>
      </c>
      <c r="CG13">
        <v>1.3881300000000001</v>
      </c>
      <c r="CH13">
        <v>1.126814</v>
      </c>
      <c r="CI13">
        <v>1.0042260000000001</v>
      </c>
      <c r="CJ13">
        <v>0.89120869999999996</v>
      </c>
      <c r="CK13">
        <v>0.92005029999999999</v>
      </c>
      <c r="CL13">
        <v>0.56350199999999995</v>
      </c>
      <c r="CM13">
        <v>0.60514999999999997</v>
      </c>
      <c r="CN13">
        <v>0.53786230000000002</v>
      </c>
      <c r="CO13">
        <v>1.0998319999999999</v>
      </c>
      <c r="CP13">
        <v>1.1430670000000001</v>
      </c>
      <c r="CQ13">
        <v>1.0522940000000001</v>
      </c>
      <c r="CR13">
        <v>0.92724070000000003</v>
      </c>
      <c r="CS13">
        <v>1.0285979999999999</v>
      </c>
      <c r="CT13">
        <v>1.077202</v>
      </c>
      <c r="CU13">
        <v>1.0504709999999999</v>
      </c>
      <c r="CW13">
        <f t="shared" si="4"/>
        <v>333327.59398885153</v>
      </c>
      <c r="CX13">
        <f t="shared" si="10"/>
        <v>1.0964416160517132E-2</v>
      </c>
      <c r="CY13">
        <f t="shared" si="11"/>
        <v>3.575276732792998E-2</v>
      </c>
      <c r="CZ13">
        <f t="shared" si="12"/>
        <v>-3.5286460099814218E-2</v>
      </c>
      <c r="DA13">
        <f t="shared" si="13"/>
        <v>1.5242395566575858E-2</v>
      </c>
      <c r="DB13">
        <f t="shared" si="5"/>
        <v>1.5242395566575858E-2</v>
      </c>
      <c r="DC13" s="12">
        <f t="shared" si="6"/>
        <v>0.31140032506685955</v>
      </c>
      <c r="DD13" s="4">
        <f t="shared" si="7"/>
        <v>0.44067973066216642</v>
      </c>
      <c r="DE13" s="4">
        <f t="shared" si="8"/>
        <v>0.12387820012138219</v>
      </c>
      <c r="DF13" s="4">
        <f t="shared" si="9"/>
        <v>4.9238890467486113E-2</v>
      </c>
      <c r="DG13" s="13">
        <f t="shared" si="14"/>
        <v>4.9238890467486113E-2</v>
      </c>
      <c r="DH13" s="4">
        <f t="shared" si="0"/>
        <v>1.3653356898976456</v>
      </c>
      <c r="DI13" s="4">
        <f t="shared" si="1"/>
        <v>1.0504712683402979</v>
      </c>
      <c r="DJ13" s="4">
        <f t="shared" si="2"/>
        <v>1.553763</v>
      </c>
      <c r="DK13" s="4">
        <f t="shared" si="3"/>
        <v>1.1318779999999999</v>
      </c>
      <c r="DM13" s="4"/>
      <c r="DN13" s="17"/>
    </row>
    <row r="14" spans="1:118" x14ac:dyDescent="0.3">
      <c r="A14">
        <v>1959</v>
      </c>
      <c r="B14">
        <v>177130</v>
      </c>
      <c r="C14">
        <v>521654</v>
      </c>
      <c r="D14">
        <v>1.561906</v>
      </c>
      <c r="E14">
        <v>1.3379970000000001</v>
      </c>
      <c r="F14">
        <v>317130</v>
      </c>
      <c r="G14">
        <v>85669</v>
      </c>
      <c r="H14">
        <v>82594</v>
      </c>
      <c r="I14">
        <v>35863</v>
      </c>
      <c r="J14">
        <v>397</v>
      </c>
      <c r="K14">
        <v>509054.2</v>
      </c>
      <c r="L14">
        <v>196703.9</v>
      </c>
      <c r="M14">
        <v>312350.3</v>
      </c>
      <c r="N14">
        <v>1.3710519999999999</v>
      </c>
      <c r="O14">
        <v>1.2748060000000001</v>
      </c>
      <c r="P14">
        <v>1.4447380000000001</v>
      </c>
      <c r="Q14">
        <v>74932</v>
      </c>
      <c r="R14">
        <v>119779</v>
      </c>
      <c r="S14">
        <v>42683</v>
      </c>
      <c r="T14">
        <v>271660.2</v>
      </c>
      <c r="U14">
        <v>275964.78000000003</v>
      </c>
      <c r="V14">
        <v>124572.48</v>
      </c>
      <c r="W14">
        <v>151392.31</v>
      </c>
      <c r="X14">
        <v>0.54643569999999997</v>
      </c>
      <c r="Y14">
        <v>1.520821</v>
      </c>
      <c r="Z14">
        <v>1.525099</v>
      </c>
      <c r="AA14">
        <v>1.5122850000000001</v>
      </c>
      <c r="AB14">
        <v>1.612538</v>
      </c>
      <c r="AC14">
        <v>1.638806</v>
      </c>
      <c r="AD14">
        <v>1.5946549999999999</v>
      </c>
      <c r="AE14">
        <v>1.171055</v>
      </c>
      <c r="AF14">
        <v>1.079839</v>
      </c>
      <c r="AG14">
        <v>1.2617910000000001</v>
      </c>
      <c r="AH14">
        <v>0.63312769999999996</v>
      </c>
      <c r="AI14">
        <v>0.49201250000000002</v>
      </c>
      <c r="AJ14">
        <v>391439.2</v>
      </c>
      <c r="AK14">
        <v>172131</v>
      </c>
      <c r="AL14">
        <v>219308.2</v>
      </c>
      <c r="AM14">
        <v>1.4865950000000001</v>
      </c>
      <c r="AN14">
        <v>1.3177680000000001</v>
      </c>
      <c r="AO14">
        <v>1.3312980000000001</v>
      </c>
      <c r="AP14">
        <v>1.224361</v>
      </c>
      <c r="AQ14">
        <v>1.599667</v>
      </c>
      <c r="AR14">
        <v>1.4551419999999999</v>
      </c>
      <c r="AS14">
        <v>117615</v>
      </c>
      <c r="AT14">
        <v>1.9033679999999999</v>
      </c>
      <c r="AU14">
        <v>1.4248879999999999</v>
      </c>
      <c r="AV14">
        <v>0.63709559999999998</v>
      </c>
      <c r="AW14">
        <v>0.36290440000000002</v>
      </c>
      <c r="AX14">
        <v>0.3059964</v>
      </c>
      <c r="AY14">
        <v>0.69400360000000005</v>
      </c>
      <c r="AZ14">
        <v>2.2098979999999999</v>
      </c>
      <c r="BA14">
        <v>0.61817390000000005</v>
      </c>
      <c r="BB14">
        <v>0.3818261</v>
      </c>
      <c r="BC14">
        <v>0.64724230000000005</v>
      </c>
      <c r="BD14">
        <v>0</v>
      </c>
      <c r="BE14">
        <v>1.4607209999999999</v>
      </c>
      <c r="BF14">
        <v>1.4607220000000001</v>
      </c>
      <c r="BG14">
        <v>1</v>
      </c>
      <c r="BH14">
        <v>0.83056479999999999</v>
      </c>
      <c r="BI14">
        <v>0.26603769999999999</v>
      </c>
      <c r="BJ14">
        <v>0.73396229999999996</v>
      </c>
      <c r="BK14">
        <v>0.29117480000000001</v>
      </c>
      <c r="BL14" s="1">
        <v>3.9300000000000004E-15</v>
      </c>
      <c r="BM14">
        <v>1.397375</v>
      </c>
      <c r="BN14">
        <v>1.397375</v>
      </c>
      <c r="BO14">
        <v>0.99999990000000005</v>
      </c>
      <c r="BP14">
        <v>0.44890160000000001</v>
      </c>
      <c r="BQ14">
        <v>0.3207467</v>
      </c>
      <c r="BR14">
        <v>0.67925329999999995</v>
      </c>
      <c r="BS14">
        <v>0.55497370000000001</v>
      </c>
      <c r="BT14">
        <v>0.69686530000000002</v>
      </c>
      <c r="BU14">
        <v>0.44306980000000001</v>
      </c>
      <c r="BV14">
        <v>1.330775</v>
      </c>
      <c r="BW14">
        <v>1.4518470000000001</v>
      </c>
      <c r="BX14">
        <v>1.0909789999999999</v>
      </c>
      <c r="BY14">
        <v>0</v>
      </c>
      <c r="BZ14">
        <v>0.63778100000000004</v>
      </c>
      <c r="CA14">
        <v>0.36221900000000001</v>
      </c>
      <c r="CB14">
        <v>0.30692170000000002</v>
      </c>
      <c r="CC14">
        <v>0.69307830000000004</v>
      </c>
      <c r="CD14">
        <v>2.1198480000000002</v>
      </c>
      <c r="CE14">
        <v>1.889108</v>
      </c>
      <c r="CF14">
        <v>1.3080700000000001</v>
      </c>
      <c r="CG14">
        <v>1.4583189999999999</v>
      </c>
      <c r="CH14">
        <v>1.1333009999999999</v>
      </c>
      <c r="CI14">
        <v>1.0139309999999999</v>
      </c>
      <c r="CJ14">
        <v>0.89467079999999999</v>
      </c>
      <c r="CK14">
        <v>0.92482200000000003</v>
      </c>
      <c r="CL14">
        <v>0.56350199999999995</v>
      </c>
      <c r="CM14">
        <v>0.60514999999999997</v>
      </c>
      <c r="CN14">
        <v>0.53786230000000002</v>
      </c>
      <c r="CO14">
        <v>1.129424</v>
      </c>
      <c r="CP14">
        <v>1.177224</v>
      </c>
      <c r="CQ14">
        <v>1.08209</v>
      </c>
      <c r="CR14">
        <v>0.93278030000000001</v>
      </c>
      <c r="CS14">
        <v>1.0650599999999999</v>
      </c>
      <c r="CT14">
        <v>1.108166</v>
      </c>
      <c r="CU14">
        <v>1.0867519999999999</v>
      </c>
      <c r="CW14">
        <f t="shared" si="4"/>
        <v>357259.09685533179</v>
      </c>
      <c r="CX14">
        <f t="shared" si="10"/>
        <v>6.9335507909297434E-2</v>
      </c>
      <c r="CY14">
        <f t="shared" si="11"/>
        <v>3.7129604639425717E-2</v>
      </c>
      <c r="CZ14">
        <f t="shared" si="12"/>
        <v>3.4026851794291449E-2</v>
      </c>
      <c r="DA14">
        <f t="shared" si="13"/>
        <v>3.3954310703610574E-2</v>
      </c>
      <c r="DB14">
        <f t="shared" si="5"/>
        <v>3.3954310703610574E-2</v>
      </c>
      <c r="DC14" s="12">
        <f t="shared" si="6"/>
        <v>0.38073583297615698</v>
      </c>
      <c r="DD14" s="4">
        <f t="shared" si="7"/>
        <v>0.47780933530159214</v>
      </c>
      <c r="DE14" s="4">
        <f t="shared" si="8"/>
        <v>0.15790505191567364</v>
      </c>
      <c r="DF14" s="4">
        <f t="shared" si="9"/>
        <v>8.3193201171096687E-2</v>
      </c>
      <c r="DG14" s="13">
        <f t="shared" si="14"/>
        <v>8.3193201171096687E-2</v>
      </c>
      <c r="DH14" s="4">
        <f t="shared" si="0"/>
        <v>1.463360982629893</v>
      </c>
      <c r="DI14" s="4">
        <f t="shared" si="1"/>
        <v>1.0867517499779071</v>
      </c>
      <c r="DJ14" s="4">
        <f t="shared" si="2"/>
        <v>1.612538</v>
      </c>
      <c r="DK14" s="4">
        <f t="shared" si="3"/>
        <v>1.171055</v>
      </c>
      <c r="DM14" s="4"/>
      <c r="DN14" s="17"/>
    </row>
    <row r="15" spans="1:118" x14ac:dyDescent="0.3">
      <c r="A15">
        <v>1960</v>
      </c>
      <c r="B15">
        <v>180760</v>
      </c>
      <c r="C15">
        <v>542382</v>
      </c>
      <c r="D15">
        <v>1.6020589999999999</v>
      </c>
      <c r="E15">
        <v>1.356295</v>
      </c>
      <c r="F15">
        <v>331180</v>
      </c>
      <c r="G15">
        <v>86477</v>
      </c>
      <c r="H15">
        <v>84517</v>
      </c>
      <c r="I15">
        <v>36003</v>
      </c>
      <c r="J15">
        <v>4204</v>
      </c>
      <c r="K15">
        <v>529152.19999999995</v>
      </c>
      <c r="L15">
        <v>200917.2</v>
      </c>
      <c r="M15">
        <v>328235</v>
      </c>
      <c r="N15">
        <v>1.388104</v>
      </c>
      <c r="O15">
        <v>1.2752460000000001</v>
      </c>
      <c r="P15">
        <v>1.4736590000000001</v>
      </c>
      <c r="Q15">
        <v>75851</v>
      </c>
      <c r="R15">
        <v>123039</v>
      </c>
      <c r="S15">
        <v>43397</v>
      </c>
      <c r="T15">
        <v>286865.2</v>
      </c>
      <c r="U15">
        <v>297053.84000000003</v>
      </c>
      <c r="V15">
        <v>130059.3</v>
      </c>
      <c r="W15">
        <v>166994.53</v>
      </c>
      <c r="X15">
        <v>0.55174489999999998</v>
      </c>
      <c r="Y15">
        <v>1.561445</v>
      </c>
      <c r="Z15">
        <v>1.5572269999999999</v>
      </c>
      <c r="AA15">
        <v>1.5580039999999999</v>
      </c>
      <c r="AB15">
        <v>1.678946</v>
      </c>
      <c r="AC15">
        <v>1.6794880000000001</v>
      </c>
      <c r="AD15">
        <v>1.6720360000000001</v>
      </c>
      <c r="AE15">
        <v>1.1867909999999999</v>
      </c>
      <c r="AF15">
        <v>1.078592</v>
      </c>
      <c r="AG15">
        <v>1.293679</v>
      </c>
      <c r="AH15">
        <v>0.64031369999999999</v>
      </c>
      <c r="AI15">
        <v>0.49672630000000001</v>
      </c>
      <c r="AJ15">
        <v>409904.2</v>
      </c>
      <c r="AK15">
        <v>179681</v>
      </c>
      <c r="AL15">
        <v>230223.2</v>
      </c>
      <c r="AM15">
        <v>1.531439</v>
      </c>
      <c r="AN15">
        <v>1.3396349999999999</v>
      </c>
      <c r="AO15">
        <v>1.385974</v>
      </c>
      <c r="AP15">
        <v>1.2277439999999999</v>
      </c>
      <c r="AQ15">
        <v>1.6401289999999999</v>
      </c>
      <c r="AR15">
        <v>1.4900089999999999</v>
      </c>
      <c r="AS15">
        <v>119248</v>
      </c>
      <c r="AT15">
        <v>1.9229639999999999</v>
      </c>
      <c r="AU15">
        <v>1.4299489999999999</v>
      </c>
      <c r="AV15">
        <v>0.63607780000000003</v>
      </c>
      <c r="AW15">
        <v>0.36392219999999997</v>
      </c>
      <c r="AX15">
        <v>0.30016530000000002</v>
      </c>
      <c r="AY15">
        <v>0.69983470000000003</v>
      </c>
      <c r="AZ15">
        <v>2.267671</v>
      </c>
      <c r="BA15">
        <v>0.61356679999999997</v>
      </c>
      <c r="BB15">
        <v>0.38643319999999998</v>
      </c>
      <c r="BC15">
        <v>0.64724230000000005</v>
      </c>
      <c r="BD15">
        <v>0</v>
      </c>
      <c r="BE15">
        <v>1.5177020000000001</v>
      </c>
      <c r="BF15">
        <v>1.5177020000000001</v>
      </c>
      <c r="BG15">
        <v>1</v>
      </c>
      <c r="BH15">
        <v>0.83056479999999999</v>
      </c>
      <c r="BI15">
        <v>0.2622524</v>
      </c>
      <c r="BJ15">
        <v>0.73774759999999995</v>
      </c>
      <c r="BK15">
        <v>0.29117480000000001</v>
      </c>
      <c r="BL15" s="1">
        <v>3.9300000000000004E-15</v>
      </c>
      <c r="BM15">
        <v>1.4419729999999999</v>
      </c>
      <c r="BN15">
        <v>1.4419729999999999</v>
      </c>
      <c r="BO15">
        <v>1</v>
      </c>
      <c r="BP15">
        <v>0.44890160000000001</v>
      </c>
      <c r="BQ15">
        <v>0.31537359999999998</v>
      </c>
      <c r="BR15">
        <v>0.68462650000000003</v>
      </c>
      <c r="BS15">
        <v>0.55497370000000001</v>
      </c>
      <c r="BT15">
        <v>0.69686530000000002</v>
      </c>
      <c r="BU15">
        <v>0.44306980000000001</v>
      </c>
      <c r="BV15">
        <v>1.3697319999999999</v>
      </c>
      <c r="BW15">
        <v>1.5022869999999999</v>
      </c>
      <c r="BX15">
        <v>1.0967739999999999</v>
      </c>
      <c r="BY15">
        <v>0</v>
      </c>
      <c r="BZ15">
        <v>0.63658669999999995</v>
      </c>
      <c r="CA15">
        <v>0.36341329999999999</v>
      </c>
      <c r="CB15">
        <v>0.30308089999999999</v>
      </c>
      <c r="CC15">
        <v>0.69691910000000001</v>
      </c>
      <c r="CD15">
        <v>2.1451060000000002</v>
      </c>
      <c r="CE15">
        <v>1.883014</v>
      </c>
      <c r="CF15">
        <v>1.343207</v>
      </c>
      <c r="CG15">
        <v>1.50972</v>
      </c>
      <c r="CH15">
        <v>1.1555880000000001</v>
      </c>
      <c r="CI15">
        <v>1.0305679999999999</v>
      </c>
      <c r="CJ15">
        <v>0.89181239999999995</v>
      </c>
      <c r="CK15">
        <v>0.93684120000000004</v>
      </c>
      <c r="CL15">
        <v>0.56350199999999995</v>
      </c>
      <c r="CM15">
        <v>0.60514999999999997</v>
      </c>
      <c r="CN15">
        <v>0.53786230000000002</v>
      </c>
      <c r="CO15">
        <v>1.1308069999999999</v>
      </c>
      <c r="CP15">
        <v>1.190002</v>
      </c>
      <c r="CQ15">
        <v>1.0767329999999999</v>
      </c>
      <c r="CR15">
        <v>0.93640400000000001</v>
      </c>
      <c r="CS15">
        <v>1.074451</v>
      </c>
      <c r="CT15">
        <v>1.1074250000000001</v>
      </c>
      <c r="CU15">
        <v>1.0977159999999999</v>
      </c>
      <c r="CW15">
        <f t="shared" si="4"/>
        <v>370049.70107325504</v>
      </c>
      <c r="CX15">
        <f t="shared" si="10"/>
        <v>3.5176043800541734E-2</v>
      </c>
      <c r="CY15">
        <f t="shared" si="11"/>
        <v>4.0356880275412232E-2</v>
      </c>
      <c r="CZ15">
        <f t="shared" si="12"/>
        <v>1.3347974072508206E-2</v>
      </c>
      <c r="DA15">
        <f t="shared" si="13"/>
        <v>1.0038736188278323E-2</v>
      </c>
      <c r="DB15">
        <f t="shared" si="5"/>
        <v>1.0038736188278323E-2</v>
      </c>
      <c r="DC15" s="12">
        <f t="shared" si="6"/>
        <v>0.41591187677669872</v>
      </c>
      <c r="DD15" s="4">
        <f t="shared" si="7"/>
        <v>0.51816621557700437</v>
      </c>
      <c r="DE15" s="4">
        <f t="shared" si="8"/>
        <v>0.17125302598818185</v>
      </c>
      <c r="DF15" s="4">
        <f t="shared" si="9"/>
        <v>9.3231937359375017E-2</v>
      </c>
      <c r="DG15" s="13">
        <f t="shared" si="14"/>
        <v>9.3231937359375017E-2</v>
      </c>
      <c r="DH15" s="4">
        <f t="shared" si="0"/>
        <v>1.5157522900074336</v>
      </c>
      <c r="DI15" s="4">
        <f t="shared" si="1"/>
        <v>1.0977163071662008</v>
      </c>
      <c r="DJ15" s="4">
        <f t="shared" si="2"/>
        <v>1.678946</v>
      </c>
      <c r="DK15" s="4">
        <f t="shared" si="3"/>
        <v>1.1867909999999999</v>
      </c>
      <c r="DM15" s="4"/>
      <c r="DN15" s="17"/>
    </row>
    <row r="16" spans="1:118" x14ac:dyDescent="0.3">
      <c r="A16">
        <v>1961</v>
      </c>
      <c r="B16">
        <v>183742</v>
      </c>
      <c r="C16">
        <v>562209</v>
      </c>
      <c r="D16">
        <v>1.6431709999999999</v>
      </c>
      <c r="E16">
        <v>1.3707009999999999</v>
      </c>
      <c r="F16">
        <v>341475</v>
      </c>
      <c r="G16">
        <v>86584</v>
      </c>
      <c r="H16">
        <v>89340</v>
      </c>
      <c r="I16">
        <v>39897</v>
      </c>
      <c r="J16">
        <v>4913</v>
      </c>
      <c r="K16">
        <v>548911.5</v>
      </c>
      <c r="L16">
        <v>203742.1</v>
      </c>
      <c r="M16">
        <v>345169.4</v>
      </c>
      <c r="N16">
        <v>1.405063</v>
      </c>
      <c r="O16">
        <v>1.2805899999999999</v>
      </c>
      <c r="P16">
        <v>1.498818</v>
      </c>
      <c r="Q16">
        <v>77702</v>
      </c>
      <c r="R16">
        <v>123904</v>
      </c>
      <c r="S16">
        <v>45805</v>
      </c>
      <c r="T16">
        <v>301500.5</v>
      </c>
      <c r="U16">
        <v>301880.84000000003</v>
      </c>
      <c r="V16">
        <v>129954.74</v>
      </c>
      <c r="W16">
        <v>171926.11</v>
      </c>
      <c r="X16">
        <v>0.55566979999999999</v>
      </c>
      <c r="Y16">
        <v>1.6002019999999999</v>
      </c>
      <c r="Z16">
        <v>1.572532</v>
      </c>
      <c r="AA16">
        <v>1.610884</v>
      </c>
      <c r="AB16">
        <v>1.7455259999999999</v>
      </c>
      <c r="AC16">
        <v>1.721814</v>
      </c>
      <c r="AD16">
        <v>1.748904</v>
      </c>
      <c r="AE16">
        <v>1.1874819999999999</v>
      </c>
      <c r="AF16">
        <v>1.063016</v>
      </c>
      <c r="AG16">
        <v>1.3095460000000001</v>
      </c>
      <c r="AH16">
        <v>0.64258369999999998</v>
      </c>
      <c r="AI16">
        <v>0.50342849999999995</v>
      </c>
      <c r="AJ16">
        <v>425404.5</v>
      </c>
      <c r="AK16">
        <v>181987</v>
      </c>
      <c r="AL16">
        <v>243417.5</v>
      </c>
      <c r="AM16">
        <v>1.5665469999999999</v>
      </c>
      <c r="AN16">
        <v>1.3577950000000001</v>
      </c>
      <c r="AO16">
        <v>1.3954569999999999</v>
      </c>
      <c r="AP16">
        <v>1.2338370000000001</v>
      </c>
      <c r="AQ16">
        <v>1.7001470000000001</v>
      </c>
      <c r="AR16">
        <v>1.5183009999999999</v>
      </c>
      <c r="AS16">
        <v>123507</v>
      </c>
      <c r="AT16">
        <v>1.9911030000000001</v>
      </c>
      <c r="AU16">
        <v>1.430337</v>
      </c>
      <c r="AV16">
        <v>0.62913030000000003</v>
      </c>
      <c r="AW16">
        <v>0.37086970000000002</v>
      </c>
      <c r="AX16">
        <v>0.29126160000000001</v>
      </c>
      <c r="AY16">
        <v>0.70873839999999999</v>
      </c>
      <c r="AZ16">
        <v>2.3152270000000001</v>
      </c>
      <c r="BA16">
        <v>0.61054030000000004</v>
      </c>
      <c r="BB16">
        <v>0.38945970000000002</v>
      </c>
      <c r="BC16">
        <v>0.64724230000000005</v>
      </c>
      <c r="BD16">
        <v>0</v>
      </c>
      <c r="BE16">
        <v>1.560783</v>
      </c>
      <c r="BF16">
        <v>1.560783</v>
      </c>
      <c r="BG16">
        <v>1</v>
      </c>
      <c r="BH16">
        <v>0.83056479999999999</v>
      </c>
      <c r="BI16">
        <v>0.25979380000000002</v>
      </c>
      <c r="BJ16">
        <v>0.74020620000000004</v>
      </c>
      <c r="BK16">
        <v>0.29117480000000001</v>
      </c>
      <c r="BL16" s="1">
        <v>3.9300000000000004E-15</v>
      </c>
      <c r="BM16">
        <v>1.4762850000000001</v>
      </c>
      <c r="BN16">
        <v>1.4762850000000001</v>
      </c>
      <c r="BO16">
        <v>1</v>
      </c>
      <c r="BP16">
        <v>0.44890160000000001</v>
      </c>
      <c r="BQ16">
        <v>0.31192160000000002</v>
      </c>
      <c r="BR16">
        <v>0.68807839999999998</v>
      </c>
      <c r="BS16">
        <v>0.55497370000000001</v>
      </c>
      <c r="BT16">
        <v>0.69686530000000002</v>
      </c>
      <c r="BU16">
        <v>0.44306980000000001</v>
      </c>
      <c r="BV16">
        <v>1.400101</v>
      </c>
      <c r="BW16">
        <v>1.540654</v>
      </c>
      <c r="BX16">
        <v>1.1003879999999999</v>
      </c>
      <c r="BY16">
        <v>0</v>
      </c>
      <c r="BZ16">
        <v>0.6326041</v>
      </c>
      <c r="CA16">
        <v>0.367396</v>
      </c>
      <c r="CB16">
        <v>0.29571340000000002</v>
      </c>
      <c r="CC16">
        <v>0.70428659999999998</v>
      </c>
      <c r="CD16">
        <v>2.1882830000000002</v>
      </c>
      <c r="CE16">
        <v>1.954137</v>
      </c>
      <c r="CF16">
        <v>1.347005</v>
      </c>
      <c r="CG16">
        <v>1.560109</v>
      </c>
      <c r="CH16">
        <v>1.170412</v>
      </c>
      <c r="CI16">
        <v>1.0478769999999999</v>
      </c>
      <c r="CJ16">
        <v>0.89530639999999995</v>
      </c>
      <c r="CK16">
        <v>0.94928310000000005</v>
      </c>
      <c r="CL16">
        <v>0.56350199999999995</v>
      </c>
      <c r="CM16">
        <v>0.60514999999999997</v>
      </c>
      <c r="CN16">
        <v>0.53786230000000002</v>
      </c>
      <c r="CO16">
        <v>1.138995</v>
      </c>
      <c r="CP16">
        <v>1.1984969999999999</v>
      </c>
      <c r="CQ16">
        <v>1.084176</v>
      </c>
      <c r="CR16">
        <v>0.94448520000000002</v>
      </c>
      <c r="CS16">
        <v>1.091367</v>
      </c>
      <c r="CT16">
        <v>1.115148</v>
      </c>
      <c r="CU16">
        <v>1.1188689999999999</v>
      </c>
      <c r="CW16">
        <f t="shared" si="4"/>
        <v>383763.75637349801</v>
      </c>
      <c r="CX16">
        <f t="shared" si="10"/>
        <v>3.6389821644077003E-2</v>
      </c>
      <c r="CY16">
        <f t="shared" si="11"/>
        <v>3.8889727320444267E-2</v>
      </c>
      <c r="CZ16">
        <f t="shared" si="12"/>
        <v>5.8207292885842365E-4</v>
      </c>
      <c r="DA16">
        <f t="shared" si="13"/>
        <v>1.9086534188600141E-2</v>
      </c>
      <c r="DB16">
        <f t="shared" si="5"/>
        <v>1.9086534188600141E-2</v>
      </c>
      <c r="DC16" s="12">
        <f t="shared" si="6"/>
        <v>0.45230169842077572</v>
      </c>
      <c r="DD16" s="4">
        <f t="shared" si="7"/>
        <v>0.55705594289744864</v>
      </c>
      <c r="DE16" s="4">
        <f t="shared" si="8"/>
        <v>0.17183509891704027</v>
      </c>
      <c r="DF16" s="4">
        <f t="shared" si="9"/>
        <v>0.11231847154797515</v>
      </c>
      <c r="DG16" s="13">
        <f t="shared" si="14"/>
        <v>0.11231847154797515</v>
      </c>
      <c r="DH16" s="4">
        <f t="shared" si="0"/>
        <v>1.5719261246743528</v>
      </c>
      <c r="DI16" s="4">
        <f t="shared" si="1"/>
        <v>1.1188691318953221</v>
      </c>
      <c r="DJ16" s="4">
        <f t="shared" si="2"/>
        <v>1.7455259999999999</v>
      </c>
      <c r="DK16" s="4">
        <f t="shared" si="3"/>
        <v>1.1874819999999999</v>
      </c>
      <c r="DM16" s="4"/>
      <c r="DN16" s="17"/>
    </row>
    <row r="17" spans="1:118" x14ac:dyDescent="0.3">
      <c r="A17">
        <v>1962</v>
      </c>
      <c r="B17">
        <v>186590</v>
      </c>
      <c r="C17">
        <v>603922</v>
      </c>
      <c r="D17">
        <v>1.743833</v>
      </c>
      <c r="E17">
        <v>1.3874059999999999</v>
      </c>
      <c r="F17">
        <v>362557</v>
      </c>
      <c r="G17">
        <v>96977</v>
      </c>
      <c r="H17">
        <v>97690</v>
      </c>
      <c r="I17">
        <v>42597</v>
      </c>
      <c r="J17">
        <v>4101</v>
      </c>
      <c r="K17">
        <v>590282.80000000005</v>
      </c>
      <c r="L17">
        <v>220577.9</v>
      </c>
      <c r="M17">
        <v>369704.9</v>
      </c>
      <c r="N17">
        <v>1.420696</v>
      </c>
      <c r="O17">
        <v>1.2846789999999999</v>
      </c>
      <c r="P17">
        <v>1.5225960000000001</v>
      </c>
      <c r="Q17">
        <v>84653</v>
      </c>
      <c r="R17">
        <v>133590</v>
      </c>
      <c r="S17">
        <v>48820</v>
      </c>
      <c r="T17">
        <v>323219.8</v>
      </c>
      <c r="U17">
        <v>314614.19</v>
      </c>
      <c r="V17">
        <v>138979.09</v>
      </c>
      <c r="W17">
        <v>175635.11</v>
      </c>
      <c r="X17">
        <v>0.54147579999999995</v>
      </c>
      <c r="Y17">
        <v>1.7018720000000001</v>
      </c>
      <c r="Z17">
        <v>1.697057</v>
      </c>
      <c r="AA17">
        <v>1.6984440000000001</v>
      </c>
      <c r="AB17">
        <v>1.8218460000000001</v>
      </c>
      <c r="AC17">
        <v>1.772324</v>
      </c>
      <c r="AD17">
        <v>1.836125</v>
      </c>
      <c r="AE17">
        <v>1.221293</v>
      </c>
      <c r="AF17">
        <v>1.103923</v>
      </c>
      <c r="AG17">
        <v>1.336781</v>
      </c>
      <c r="AH17">
        <v>0.63395369999999995</v>
      </c>
      <c r="AI17">
        <v>0.48658020000000002</v>
      </c>
      <c r="AJ17">
        <v>456809.8</v>
      </c>
      <c r="AK17">
        <v>194114</v>
      </c>
      <c r="AL17">
        <v>262695.8</v>
      </c>
      <c r="AM17">
        <v>1.656358</v>
      </c>
      <c r="AN17">
        <v>1.377103</v>
      </c>
      <c r="AO17">
        <v>1.455317</v>
      </c>
      <c r="AP17">
        <v>1.2602089999999999</v>
      </c>
      <c r="AQ17">
        <v>1.795804</v>
      </c>
      <c r="AR17">
        <v>1.5491550000000001</v>
      </c>
      <c r="AS17">
        <v>133473</v>
      </c>
      <c r="AT17">
        <v>2.1410070000000001</v>
      </c>
      <c r="AU17">
        <v>1.437527</v>
      </c>
      <c r="AV17">
        <v>0.63423309999999999</v>
      </c>
      <c r="AW17">
        <v>0.36576690000000001</v>
      </c>
      <c r="AX17">
        <v>0.29244120000000001</v>
      </c>
      <c r="AY17">
        <v>0.70755880000000004</v>
      </c>
      <c r="AZ17">
        <v>2.4482010000000001</v>
      </c>
      <c r="BA17">
        <v>0.60755150000000002</v>
      </c>
      <c r="BB17">
        <v>0.39244849999999998</v>
      </c>
      <c r="BC17">
        <v>0.64724230000000005</v>
      </c>
      <c r="BD17">
        <v>0</v>
      </c>
      <c r="BE17">
        <v>1.6624950000000001</v>
      </c>
      <c r="BF17">
        <v>1.6624950000000001</v>
      </c>
      <c r="BG17">
        <v>1</v>
      </c>
      <c r="BH17">
        <v>0.83056479999999999</v>
      </c>
      <c r="BI17">
        <v>0.25738729999999999</v>
      </c>
      <c r="BJ17">
        <v>0.74261270000000001</v>
      </c>
      <c r="BK17">
        <v>0.29117480000000001</v>
      </c>
      <c r="BL17" s="1">
        <v>3.9300000000000004E-15</v>
      </c>
      <c r="BM17">
        <v>1.5655870000000001</v>
      </c>
      <c r="BN17">
        <v>1.565588</v>
      </c>
      <c r="BO17">
        <v>1</v>
      </c>
      <c r="BP17">
        <v>0.44890160000000001</v>
      </c>
      <c r="BQ17">
        <v>0.30239899999999997</v>
      </c>
      <c r="BR17">
        <v>0.69760100000000003</v>
      </c>
      <c r="BS17">
        <v>0.55497370000000001</v>
      </c>
      <c r="BT17">
        <v>0.69686530000000002</v>
      </c>
      <c r="BU17">
        <v>0.44306980000000001</v>
      </c>
      <c r="BV17">
        <v>1.4529240000000001</v>
      </c>
      <c r="BW17">
        <v>1.6510940000000001</v>
      </c>
      <c r="BX17">
        <v>1.1363939999999999</v>
      </c>
      <c r="BY17">
        <v>0</v>
      </c>
      <c r="BZ17">
        <v>0.63168170000000001</v>
      </c>
      <c r="CA17">
        <v>0.36831829999999999</v>
      </c>
      <c r="CB17">
        <v>0.29185139999999998</v>
      </c>
      <c r="CC17">
        <v>0.70814860000000002</v>
      </c>
      <c r="CD17">
        <v>2.376452</v>
      </c>
      <c r="CE17">
        <v>2.0502370000000001</v>
      </c>
      <c r="CF17">
        <v>1.4476830000000001</v>
      </c>
      <c r="CG17">
        <v>1.6463760000000001</v>
      </c>
      <c r="CH17">
        <v>1.185195</v>
      </c>
      <c r="CI17">
        <v>1.059177</v>
      </c>
      <c r="CJ17">
        <v>0.89367319999999995</v>
      </c>
      <c r="CK17">
        <v>0.95796689999999995</v>
      </c>
      <c r="CL17">
        <v>0.56350199999999995</v>
      </c>
      <c r="CM17">
        <v>0.60514999999999997</v>
      </c>
      <c r="CN17">
        <v>0.53786230000000002</v>
      </c>
      <c r="CO17">
        <v>1.170283</v>
      </c>
      <c r="CP17">
        <v>1.2502930000000001</v>
      </c>
      <c r="CQ17">
        <v>1.106174</v>
      </c>
      <c r="CR17">
        <v>0.94713099999999995</v>
      </c>
      <c r="CS17">
        <v>1.1321570000000001</v>
      </c>
      <c r="CT17">
        <v>1.14459</v>
      </c>
      <c r="CU17">
        <v>1.156582</v>
      </c>
      <c r="CW17">
        <f t="shared" si="4"/>
        <v>410623.80045731319</v>
      </c>
      <c r="CX17">
        <f t="shared" si="10"/>
        <v>6.7650322487612158E-2</v>
      </c>
      <c r="CY17">
        <f t="shared" si="11"/>
        <v>4.2794329865345704E-2</v>
      </c>
      <c r="CZ17">
        <f t="shared" si="12"/>
        <v>2.8075034663961718E-2</v>
      </c>
      <c r="DA17">
        <f t="shared" si="13"/>
        <v>3.3150344906836729E-2</v>
      </c>
      <c r="DB17">
        <f t="shared" si="5"/>
        <v>3.3150344906836729E-2</v>
      </c>
      <c r="DC17" s="12">
        <f t="shared" si="6"/>
        <v>0.51995202090838788</v>
      </c>
      <c r="DD17" s="4">
        <f t="shared" si="7"/>
        <v>0.59985027276279435</v>
      </c>
      <c r="DE17" s="4">
        <f t="shared" si="8"/>
        <v>0.19991013358100199</v>
      </c>
      <c r="DF17" s="4">
        <f t="shared" si="9"/>
        <v>0.14546881645481188</v>
      </c>
      <c r="DG17" s="13">
        <f t="shared" si="14"/>
        <v>0.14546881645481188</v>
      </c>
      <c r="DH17" s="4">
        <f t="shared" si="0"/>
        <v>1.6819469494761645</v>
      </c>
      <c r="DI17" s="4">
        <f t="shared" si="1"/>
        <v>1.1565816677031469</v>
      </c>
      <c r="DJ17" s="4">
        <f t="shared" si="2"/>
        <v>1.8218460000000001</v>
      </c>
      <c r="DK17" s="4">
        <f t="shared" si="3"/>
        <v>1.221293</v>
      </c>
      <c r="DM17" s="4"/>
      <c r="DN17" s="17"/>
    </row>
    <row r="18" spans="1:118" x14ac:dyDescent="0.3">
      <c r="A18">
        <v>1963</v>
      </c>
      <c r="B18">
        <v>189300</v>
      </c>
      <c r="C18">
        <v>637450</v>
      </c>
      <c r="D18">
        <v>1.8197490000000001</v>
      </c>
      <c r="E18">
        <v>1.403338</v>
      </c>
      <c r="F18">
        <v>382035</v>
      </c>
      <c r="G18">
        <v>103284</v>
      </c>
      <c r="H18">
        <v>102755</v>
      </c>
      <c r="I18">
        <v>44438</v>
      </c>
      <c r="J18">
        <v>4939</v>
      </c>
      <c r="K18">
        <v>622498.4</v>
      </c>
      <c r="L18">
        <v>231575</v>
      </c>
      <c r="M18">
        <v>390923.4</v>
      </c>
      <c r="N18">
        <v>1.432572</v>
      </c>
      <c r="O18">
        <v>1.282675</v>
      </c>
      <c r="P18">
        <v>1.544373</v>
      </c>
      <c r="Q18">
        <v>89937</v>
      </c>
      <c r="R18">
        <v>139413</v>
      </c>
      <c r="S18">
        <v>52164</v>
      </c>
      <c r="T18">
        <v>340984.4</v>
      </c>
      <c r="U18">
        <v>337196.31</v>
      </c>
      <c r="V18">
        <v>147642.20000000001</v>
      </c>
      <c r="W18">
        <v>189554.13</v>
      </c>
      <c r="X18">
        <v>0.53733560000000002</v>
      </c>
      <c r="Y18">
        <v>1.7798769999999999</v>
      </c>
      <c r="Z18">
        <v>1.784449</v>
      </c>
      <c r="AA18">
        <v>1.770599</v>
      </c>
      <c r="AB18">
        <v>1.906469</v>
      </c>
      <c r="AC18">
        <v>1.838821</v>
      </c>
      <c r="AD18">
        <v>1.9283159999999999</v>
      </c>
      <c r="AE18">
        <v>1.236278</v>
      </c>
      <c r="AF18">
        <v>1.118668</v>
      </c>
      <c r="AG18">
        <v>1.352044</v>
      </c>
      <c r="AH18">
        <v>0.63381240000000005</v>
      </c>
      <c r="AI18">
        <v>0.47997830000000002</v>
      </c>
      <c r="AJ18">
        <v>480397.4</v>
      </c>
      <c r="AK18">
        <v>203086</v>
      </c>
      <c r="AL18">
        <v>277311.40000000002</v>
      </c>
      <c r="AM18">
        <v>1.7193179999999999</v>
      </c>
      <c r="AN18">
        <v>1.3968929999999999</v>
      </c>
      <c r="AO18">
        <v>1.5197149999999999</v>
      </c>
      <c r="AP18">
        <v>1.264138</v>
      </c>
      <c r="AQ18">
        <v>1.8605689999999999</v>
      </c>
      <c r="AR18">
        <v>1.58036</v>
      </c>
      <c r="AS18">
        <v>142101</v>
      </c>
      <c r="AT18">
        <v>2.276157</v>
      </c>
      <c r="AU18">
        <v>1.4395789999999999</v>
      </c>
      <c r="AV18">
        <v>0.63290900000000005</v>
      </c>
      <c r="AW18">
        <v>0.367091</v>
      </c>
      <c r="AX18">
        <v>0.2902035</v>
      </c>
      <c r="AY18">
        <v>0.70979650000000005</v>
      </c>
      <c r="AZ18">
        <v>2.537757</v>
      </c>
      <c r="BA18">
        <v>0.60378690000000002</v>
      </c>
      <c r="BB18">
        <v>0.39621309999999998</v>
      </c>
      <c r="BC18">
        <v>0.64724230000000005</v>
      </c>
      <c r="BD18">
        <v>0</v>
      </c>
      <c r="BE18">
        <v>1.7402200000000001</v>
      </c>
      <c r="BF18">
        <v>1.7402200000000001</v>
      </c>
      <c r="BG18">
        <v>1</v>
      </c>
      <c r="BH18">
        <v>0.83056479999999999</v>
      </c>
      <c r="BI18">
        <v>0.254386</v>
      </c>
      <c r="BJ18">
        <v>0.74561409999999995</v>
      </c>
      <c r="BK18">
        <v>0.29117480000000001</v>
      </c>
      <c r="BL18" s="1">
        <v>3.9300000000000004E-15</v>
      </c>
      <c r="BM18">
        <v>1.6297710000000001</v>
      </c>
      <c r="BN18">
        <v>1.629772</v>
      </c>
      <c r="BO18">
        <v>1</v>
      </c>
      <c r="BP18">
        <v>0.44890160000000001</v>
      </c>
      <c r="BQ18">
        <v>0.29551080000000002</v>
      </c>
      <c r="BR18">
        <v>0.70448920000000004</v>
      </c>
      <c r="BS18">
        <v>0.55497370000000001</v>
      </c>
      <c r="BT18">
        <v>0.69686530000000002</v>
      </c>
      <c r="BU18">
        <v>0.44306980000000001</v>
      </c>
      <c r="BV18">
        <v>1.495476</v>
      </c>
      <c r="BW18">
        <v>1.7287680000000001</v>
      </c>
      <c r="BX18">
        <v>1.1559980000000001</v>
      </c>
      <c r="BY18">
        <v>0</v>
      </c>
      <c r="BZ18">
        <v>0.63357110000000005</v>
      </c>
      <c r="CA18">
        <v>0.3664289</v>
      </c>
      <c r="CB18">
        <v>0.29132239999999998</v>
      </c>
      <c r="CC18">
        <v>0.70867760000000002</v>
      </c>
      <c r="CD18">
        <v>2.5287350000000002</v>
      </c>
      <c r="CE18">
        <v>2.1597810000000002</v>
      </c>
      <c r="CF18">
        <v>1.5131460000000001</v>
      </c>
      <c r="CG18">
        <v>1.7123710000000001</v>
      </c>
      <c r="CH18">
        <v>1.2040249999999999</v>
      </c>
      <c r="CI18">
        <v>1.0727949999999999</v>
      </c>
      <c r="CJ18">
        <v>0.89100690000000005</v>
      </c>
      <c r="CK18">
        <v>0.9703484</v>
      </c>
      <c r="CL18">
        <v>0.56350199999999995</v>
      </c>
      <c r="CM18">
        <v>0.60514999999999997</v>
      </c>
      <c r="CN18">
        <v>0.53786230000000002</v>
      </c>
      <c r="CO18">
        <v>1.1916880000000001</v>
      </c>
      <c r="CP18">
        <v>1.2840739999999999</v>
      </c>
      <c r="CQ18">
        <v>1.1215710000000001</v>
      </c>
      <c r="CR18">
        <v>0.94977509999999998</v>
      </c>
      <c r="CS18">
        <v>1.1602790000000001</v>
      </c>
      <c r="CT18">
        <v>1.1644810000000001</v>
      </c>
      <c r="CU18">
        <v>1.1858880000000001</v>
      </c>
      <c r="CW18">
        <f t="shared" si="4"/>
        <v>432416.97746355017</v>
      </c>
      <c r="CX18">
        <f t="shared" si="10"/>
        <v>5.1712880349599644E-2</v>
      </c>
      <c r="CY18">
        <f t="shared" si="11"/>
        <v>4.5402567257887494E-2</v>
      </c>
      <c r="CZ18">
        <f t="shared" si="12"/>
        <v>1.219511925784092E-2</v>
      </c>
      <c r="DA18">
        <f t="shared" si="13"/>
        <v>2.5022776454634396E-2</v>
      </c>
      <c r="DB18">
        <f t="shared" si="5"/>
        <v>2.5022776454634396E-2</v>
      </c>
      <c r="DC18" s="12">
        <f t="shared" si="6"/>
        <v>0.57166490125798752</v>
      </c>
      <c r="DD18" s="4">
        <f t="shared" si="7"/>
        <v>0.64525284002068184</v>
      </c>
      <c r="DE18" s="4">
        <f t="shared" si="8"/>
        <v>0.21210525283884291</v>
      </c>
      <c r="DF18" s="4">
        <f t="shared" si="9"/>
        <v>0.17049159290944627</v>
      </c>
      <c r="DG18" s="13">
        <f t="shared" si="14"/>
        <v>0.17049159290944627</v>
      </c>
      <c r="DH18" s="4">
        <f t="shared" si="0"/>
        <v>1.7712134935591231</v>
      </c>
      <c r="DI18" s="4">
        <f t="shared" si="1"/>
        <v>1.1858876820267907</v>
      </c>
      <c r="DJ18" s="4">
        <f t="shared" si="2"/>
        <v>1.906469</v>
      </c>
      <c r="DK18" s="4">
        <f t="shared" si="3"/>
        <v>1.236278</v>
      </c>
      <c r="DM18" s="4"/>
      <c r="DN18" s="17"/>
    </row>
    <row r="19" spans="1:118" x14ac:dyDescent="0.3">
      <c r="A19">
        <v>1964</v>
      </c>
      <c r="B19">
        <v>191927</v>
      </c>
      <c r="C19">
        <v>684460</v>
      </c>
      <c r="D19">
        <v>1.9246430000000001</v>
      </c>
      <c r="E19">
        <v>1.4247069999999999</v>
      </c>
      <c r="F19">
        <v>410632</v>
      </c>
      <c r="G19">
        <v>112150</v>
      </c>
      <c r="H19">
        <v>108372</v>
      </c>
      <c r="I19">
        <v>46392</v>
      </c>
      <c r="J19">
        <v>6914</v>
      </c>
      <c r="K19">
        <v>668361.9</v>
      </c>
      <c r="L19">
        <v>246757</v>
      </c>
      <c r="M19">
        <v>421604.9</v>
      </c>
      <c r="N19">
        <v>1.453935</v>
      </c>
      <c r="O19">
        <v>1.2876829999999999</v>
      </c>
      <c r="P19">
        <v>1.5774999999999999</v>
      </c>
      <c r="Q19">
        <v>97439</v>
      </c>
      <c r="R19">
        <v>146749</v>
      </c>
      <c r="S19">
        <v>56282</v>
      </c>
      <c r="T19">
        <v>367891.9</v>
      </c>
      <c r="U19">
        <v>365229.28</v>
      </c>
      <c r="V19">
        <v>157930.57999999999</v>
      </c>
      <c r="W19">
        <v>207298.7</v>
      </c>
      <c r="X19">
        <v>0.54406829999999995</v>
      </c>
      <c r="Y19">
        <v>1.882933</v>
      </c>
      <c r="Z19">
        <v>1.8940410000000001</v>
      </c>
      <c r="AA19">
        <v>1.869464</v>
      </c>
      <c r="AB19">
        <v>1.997903</v>
      </c>
      <c r="AC19">
        <v>1.914418</v>
      </c>
      <c r="AD19">
        <v>2.026313</v>
      </c>
      <c r="AE19">
        <v>1.2631669999999999</v>
      </c>
      <c r="AF19">
        <v>1.138911</v>
      </c>
      <c r="AG19">
        <v>1.3852690000000001</v>
      </c>
      <c r="AH19">
        <v>0.63879079999999999</v>
      </c>
      <c r="AI19">
        <v>0.48828880000000002</v>
      </c>
      <c r="AJ19">
        <v>514640.9</v>
      </c>
      <c r="AK19">
        <v>217640</v>
      </c>
      <c r="AL19">
        <v>297000.90000000002</v>
      </c>
      <c r="AM19">
        <v>1.8106249999999999</v>
      </c>
      <c r="AN19">
        <v>1.4212180000000001</v>
      </c>
      <c r="AO19">
        <v>1.6231880000000001</v>
      </c>
      <c r="AP19">
        <v>1.268564</v>
      </c>
      <c r="AQ19">
        <v>1.9464520000000001</v>
      </c>
      <c r="AR19">
        <v>1.618133</v>
      </c>
      <c r="AS19">
        <v>153721</v>
      </c>
      <c r="AT19">
        <v>2.4435180000000001</v>
      </c>
      <c r="AU19">
        <v>1.4506349999999999</v>
      </c>
      <c r="AV19">
        <v>0.63386920000000002</v>
      </c>
      <c r="AW19">
        <v>0.36613089999999998</v>
      </c>
      <c r="AX19">
        <v>0.28514840000000002</v>
      </c>
      <c r="AY19">
        <v>0.71485160000000003</v>
      </c>
      <c r="AZ19">
        <v>2.681441</v>
      </c>
      <c r="BA19">
        <v>0.59963460000000002</v>
      </c>
      <c r="BB19">
        <v>0.40036539999999998</v>
      </c>
      <c r="BC19">
        <v>0.64724230000000005</v>
      </c>
      <c r="BD19">
        <v>0</v>
      </c>
      <c r="BE19">
        <v>1.844244</v>
      </c>
      <c r="BF19">
        <v>1.844244</v>
      </c>
      <c r="BG19">
        <v>1</v>
      </c>
      <c r="BH19">
        <v>0.83056479999999999</v>
      </c>
      <c r="BI19">
        <v>0.2511137</v>
      </c>
      <c r="BJ19">
        <v>0.7488863</v>
      </c>
      <c r="BK19">
        <v>0.29117480000000001</v>
      </c>
      <c r="BL19" s="1">
        <v>3.9300000000000004E-15</v>
      </c>
      <c r="BM19">
        <v>1.7167809999999999</v>
      </c>
      <c r="BN19">
        <v>1.7167809999999999</v>
      </c>
      <c r="BO19">
        <v>1</v>
      </c>
      <c r="BP19">
        <v>0.44890160000000001</v>
      </c>
      <c r="BQ19">
        <v>0.28653060000000002</v>
      </c>
      <c r="BR19">
        <v>0.71346940000000003</v>
      </c>
      <c r="BS19">
        <v>0.55497370000000001</v>
      </c>
      <c r="BT19">
        <v>0.69686530000000002</v>
      </c>
      <c r="BU19">
        <v>0.44306980000000001</v>
      </c>
      <c r="BV19">
        <v>1.5473490000000001</v>
      </c>
      <c r="BW19">
        <v>1.8362179999999999</v>
      </c>
      <c r="BX19">
        <v>1.1866859999999999</v>
      </c>
      <c r="BY19">
        <v>0</v>
      </c>
      <c r="BZ19">
        <v>0.63338910000000004</v>
      </c>
      <c r="CA19">
        <v>0.36661090000000002</v>
      </c>
      <c r="CB19">
        <v>0.28767589999999998</v>
      </c>
      <c r="CC19">
        <v>0.71232410000000002</v>
      </c>
      <c r="CD19">
        <v>2.7290100000000002</v>
      </c>
      <c r="CE19">
        <v>2.2813460000000001</v>
      </c>
      <c r="CF19">
        <v>1.586573</v>
      </c>
      <c r="CG19">
        <v>1.8087</v>
      </c>
      <c r="CH19">
        <v>1.225068</v>
      </c>
      <c r="CI19">
        <v>1.0874550000000001</v>
      </c>
      <c r="CJ19">
        <v>0.88766869999999998</v>
      </c>
      <c r="CK19">
        <v>0.97972119999999996</v>
      </c>
      <c r="CL19">
        <v>0.56350199999999995</v>
      </c>
      <c r="CM19">
        <v>0.60514999999999997</v>
      </c>
      <c r="CN19">
        <v>0.53786230000000002</v>
      </c>
      <c r="CO19">
        <v>1.220286</v>
      </c>
      <c r="CP19">
        <v>1.3257110000000001</v>
      </c>
      <c r="CQ19">
        <v>1.1431039999999999</v>
      </c>
      <c r="CR19">
        <v>0.95224620000000004</v>
      </c>
      <c r="CS19">
        <v>1.1950590000000001</v>
      </c>
      <c r="CT19">
        <v>1.190866</v>
      </c>
      <c r="CU19">
        <v>1.223061</v>
      </c>
      <c r="CW19">
        <f t="shared" si="4"/>
        <v>460737.47014238598</v>
      </c>
      <c r="CX19">
        <f t="shared" si="10"/>
        <v>6.3438053374607506E-2</v>
      </c>
      <c r="CY19">
        <f t="shared" si="11"/>
        <v>4.6845290478612411E-2</v>
      </c>
      <c r="CZ19">
        <f t="shared" si="12"/>
        <v>2.1516806650015624E-2</v>
      </c>
      <c r="DA19">
        <f t="shared" si="13"/>
        <v>3.0865414190377041E-2</v>
      </c>
      <c r="DB19">
        <f t="shared" si="5"/>
        <v>3.0865414190377041E-2</v>
      </c>
      <c r="DC19" s="12">
        <f t="shared" si="6"/>
        <v>0.63510295463259503</v>
      </c>
      <c r="DD19" s="4">
        <f t="shared" si="7"/>
        <v>0.69209813049929425</v>
      </c>
      <c r="DE19" s="4">
        <f t="shared" si="8"/>
        <v>0.23362205948885853</v>
      </c>
      <c r="DF19" s="4">
        <f t="shared" si="9"/>
        <v>0.20135700709982329</v>
      </c>
      <c r="DG19" s="13">
        <f t="shared" si="14"/>
        <v>0.20135700709982329</v>
      </c>
      <c r="DH19" s="4">
        <f t="shared" si="0"/>
        <v>1.8872164291312468</v>
      </c>
      <c r="DI19" s="4">
        <f t="shared" si="1"/>
        <v>1.223061335470812</v>
      </c>
      <c r="DJ19" s="4">
        <f t="shared" si="2"/>
        <v>1.997903</v>
      </c>
      <c r="DK19" s="4">
        <f t="shared" si="3"/>
        <v>1.2631669999999999</v>
      </c>
      <c r="DM19" s="4"/>
      <c r="DN19" s="17"/>
    </row>
    <row r="20" spans="1:118" x14ac:dyDescent="0.3">
      <c r="A20">
        <v>1965</v>
      </c>
      <c r="B20">
        <v>194347</v>
      </c>
      <c r="C20">
        <v>742289</v>
      </c>
      <c r="D20">
        <v>2.0496530000000002</v>
      </c>
      <c r="E20">
        <v>1.4508430000000001</v>
      </c>
      <c r="F20">
        <v>442973</v>
      </c>
      <c r="G20">
        <v>129645</v>
      </c>
      <c r="H20">
        <v>116190</v>
      </c>
      <c r="I20">
        <v>47863</v>
      </c>
      <c r="J20">
        <v>5618</v>
      </c>
      <c r="K20">
        <v>726085.1</v>
      </c>
      <c r="L20">
        <v>271949</v>
      </c>
      <c r="M20">
        <v>454136.1</v>
      </c>
      <c r="N20">
        <v>1.485247</v>
      </c>
      <c r="O20">
        <v>1.311787</v>
      </c>
      <c r="P20">
        <v>1.6141099999999999</v>
      </c>
      <c r="Q20">
        <v>107033</v>
      </c>
      <c r="R20">
        <v>161808</v>
      </c>
      <c r="S20">
        <v>61228</v>
      </c>
      <c r="T20">
        <v>396016.1</v>
      </c>
      <c r="U20">
        <v>390363.72</v>
      </c>
      <c r="V20">
        <v>170224.2</v>
      </c>
      <c r="W20">
        <v>220139.53</v>
      </c>
      <c r="X20">
        <v>0.5420412</v>
      </c>
      <c r="Y20">
        <v>2.0024289999999998</v>
      </c>
      <c r="Z20">
        <v>2.0490539999999999</v>
      </c>
      <c r="AA20">
        <v>1.9680390000000001</v>
      </c>
      <c r="AB20">
        <v>2.1085159999999998</v>
      </c>
      <c r="AC20">
        <v>2.0143559999999998</v>
      </c>
      <c r="AD20">
        <v>2.1412239999999998</v>
      </c>
      <c r="AE20">
        <v>1.309839</v>
      </c>
      <c r="AF20">
        <v>1.1945920000000001</v>
      </c>
      <c r="AG20">
        <v>1.4238839999999999</v>
      </c>
      <c r="AH20">
        <v>0.63298319999999997</v>
      </c>
      <c r="AI20">
        <v>0.4882165</v>
      </c>
      <c r="AJ20">
        <v>557824.1</v>
      </c>
      <c r="AK20">
        <v>237743</v>
      </c>
      <c r="AL20">
        <v>320081.09999999998</v>
      </c>
      <c r="AM20">
        <v>1.9212629999999999</v>
      </c>
      <c r="AN20">
        <v>1.44862</v>
      </c>
      <c r="AO20">
        <v>1.7159519999999999</v>
      </c>
      <c r="AP20">
        <v>1.3079879999999999</v>
      </c>
      <c r="AQ20">
        <v>2.0451480000000002</v>
      </c>
      <c r="AR20">
        <v>1.6561319999999999</v>
      </c>
      <c r="AS20">
        <v>168261</v>
      </c>
      <c r="AT20">
        <v>2.6347559999999999</v>
      </c>
      <c r="AU20">
        <v>1.472596</v>
      </c>
      <c r="AV20">
        <v>0.63611289999999998</v>
      </c>
      <c r="AW20">
        <v>0.36388700000000002</v>
      </c>
      <c r="AX20">
        <v>0.29006989999999999</v>
      </c>
      <c r="AY20">
        <v>0.70993010000000001</v>
      </c>
      <c r="AZ20">
        <v>2.8702480000000001</v>
      </c>
      <c r="BA20">
        <v>0.59857850000000001</v>
      </c>
      <c r="BB20">
        <v>0.40142149999999999</v>
      </c>
      <c r="BC20">
        <v>0.64724230000000005</v>
      </c>
      <c r="BD20">
        <v>0</v>
      </c>
      <c r="BE20">
        <v>1.958807</v>
      </c>
      <c r="BF20">
        <v>1.958807</v>
      </c>
      <c r="BG20">
        <v>1</v>
      </c>
      <c r="BH20">
        <v>0.83056479999999999</v>
      </c>
      <c r="BI20">
        <v>0.2502877</v>
      </c>
      <c r="BJ20">
        <v>0.7497123</v>
      </c>
      <c r="BK20">
        <v>0.29117480000000001</v>
      </c>
      <c r="BL20" s="1">
        <v>3.9300000000000004E-15</v>
      </c>
      <c r="BM20">
        <v>1.8206359999999999</v>
      </c>
      <c r="BN20">
        <v>1.8206359999999999</v>
      </c>
      <c r="BO20">
        <v>1</v>
      </c>
      <c r="BP20">
        <v>0.44890160000000001</v>
      </c>
      <c r="BQ20">
        <v>0.27859270000000003</v>
      </c>
      <c r="BR20">
        <v>0.72140729999999997</v>
      </c>
      <c r="BS20">
        <v>0.55497370000000001</v>
      </c>
      <c r="BT20">
        <v>0.69686530000000002</v>
      </c>
      <c r="BU20">
        <v>0.44306980000000001</v>
      </c>
      <c r="BV20">
        <v>1.600759</v>
      </c>
      <c r="BW20">
        <v>1.966793</v>
      </c>
      <c r="BX20">
        <v>1.2286630000000001</v>
      </c>
      <c r="BY20">
        <v>0</v>
      </c>
      <c r="BZ20">
        <v>0.63499099999999997</v>
      </c>
      <c r="CA20">
        <v>0.36500899999999997</v>
      </c>
      <c r="CB20">
        <v>0.28760910000000001</v>
      </c>
      <c r="CC20">
        <v>0.71239079999999999</v>
      </c>
      <c r="CD20">
        <v>2.9426320000000001</v>
      </c>
      <c r="CE20">
        <v>2.4255369999999998</v>
      </c>
      <c r="CF20">
        <v>1.7172400000000001</v>
      </c>
      <c r="CG20">
        <v>1.9028099999999999</v>
      </c>
      <c r="CH20">
        <v>1.230467</v>
      </c>
      <c r="CI20">
        <v>1.096098</v>
      </c>
      <c r="CJ20">
        <v>0.8907986</v>
      </c>
      <c r="CK20">
        <v>0.98371850000000005</v>
      </c>
      <c r="CL20">
        <v>0.56350199999999995</v>
      </c>
      <c r="CM20">
        <v>0.60514999999999997</v>
      </c>
      <c r="CN20">
        <v>0.53786230000000002</v>
      </c>
      <c r="CO20">
        <v>1.241908</v>
      </c>
      <c r="CP20">
        <v>1.36548</v>
      </c>
      <c r="CQ20">
        <v>1.15669</v>
      </c>
      <c r="CR20">
        <v>0.95713879999999996</v>
      </c>
      <c r="CS20">
        <v>1.228715</v>
      </c>
      <c r="CT20">
        <v>1.210588</v>
      </c>
      <c r="CU20">
        <v>1.2525770000000001</v>
      </c>
      <c r="CW20">
        <f t="shared" si="4"/>
        <v>493064.69663098361</v>
      </c>
      <c r="CX20">
        <f t="shared" si="10"/>
        <v>6.7811994223447414E-2</v>
      </c>
      <c r="CY20">
        <f t="shared" si="11"/>
        <v>5.388625200933006E-2</v>
      </c>
      <c r="CZ20">
        <f t="shared" si="12"/>
        <v>3.6282169407925197E-2</v>
      </c>
      <c r="DA20">
        <f t="shared" si="13"/>
        <v>2.3845677968174196E-2</v>
      </c>
      <c r="DB20">
        <f t="shared" si="5"/>
        <v>2.3845677968174196E-2</v>
      </c>
      <c r="DC20" s="12">
        <f t="shared" si="6"/>
        <v>0.70291494885604244</v>
      </c>
      <c r="DD20" s="4">
        <f t="shared" si="7"/>
        <v>0.74598438250862431</v>
      </c>
      <c r="DE20" s="4">
        <f t="shared" si="8"/>
        <v>0.26990422889678373</v>
      </c>
      <c r="DF20" s="4">
        <f t="shared" si="9"/>
        <v>0.22520268506799748</v>
      </c>
      <c r="DG20" s="13">
        <f t="shared" si="14"/>
        <v>0.22520268506799748</v>
      </c>
      <c r="DH20" s="4">
        <f t="shared" si="0"/>
        <v>2.0196312572950466</v>
      </c>
      <c r="DI20" s="4">
        <f t="shared" si="1"/>
        <v>1.2525765690319715</v>
      </c>
      <c r="DJ20" s="4">
        <f t="shared" si="2"/>
        <v>2.1085159999999998</v>
      </c>
      <c r="DK20" s="4">
        <f t="shared" si="3"/>
        <v>1.309839</v>
      </c>
      <c r="DM20" s="4"/>
      <c r="DN20" s="17"/>
    </row>
    <row r="21" spans="1:118" x14ac:dyDescent="0.3">
      <c r="A21">
        <v>1966</v>
      </c>
      <c r="B21">
        <v>196599</v>
      </c>
      <c r="C21">
        <v>813414</v>
      </c>
      <c r="D21">
        <v>2.1848800000000002</v>
      </c>
      <c r="E21">
        <v>1.49146</v>
      </c>
      <c r="F21">
        <v>479919</v>
      </c>
      <c r="G21">
        <v>144188</v>
      </c>
      <c r="H21">
        <v>131877</v>
      </c>
      <c r="I21">
        <v>53567</v>
      </c>
      <c r="J21">
        <v>3863</v>
      </c>
      <c r="K21">
        <v>796105.9</v>
      </c>
      <c r="L21">
        <v>298803.59999999998</v>
      </c>
      <c r="M21">
        <v>497302.3</v>
      </c>
      <c r="N21">
        <v>1.532368</v>
      </c>
      <c r="O21">
        <v>1.3521620000000001</v>
      </c>
      <c r="P21">
        <v>1.666237</v>
      </c>
      <c r="Q21">
        <v>117734</v>
      </c>
      <c r="R21">
        <v>177834</v>
      </c>
      <c r="S21">
        <v>66385</v>
      </c>
      <c r="T21">
        <v>434152.9</v>
      </c>
      <c r="U21">
        <v>436812.81</v>
      </c>
      <c r="V21">
        <v>189492.31</v>
      </c>
      <c r="W21">
        <v>247320.5</v>
      </c>
      <c r="X21">
        <v>0.54315749999999996</v>
      </c>
      <c r="Y21">
        <v>2.1280209999999999</v>
      </c>
      <c r="Z21">
        <v>2.1841680000000001</v>
      </c>
      <c r="AA21">
        <v>2.0876830000000002</v>
      </c>
      <c r="AB21">
        <v>2.2357230000000001</v>
      </c>
      <c r="AC21">
        <v>2.1584829999999999</v>
      </c>
      <c r="AD21">
        <v>2.260008</v>
      </c>
      <c r="AE21">
        <v>1.3658440000000001</v>
      </c>
      <c r="AF21">
        <v>1.2513860000000001</v>
      </c>
      <c r="AG21">
        <v>1.479541</v>
      </c>
      <c r="AH21">
        <v>0.63005580000000005</v>
      </c>
      <c r="AI21">
        <v>0.49103390000000002</v>
      </c>
      <c r="AJ21">
        <v>611986.9</v>
      </c>
      <c r="AK21">
        <v>260639</v>
      </c>
      <c r="AL21">
        <v>351347.9</v>
      </c>
      <c r="AM21">
        <v>2.0453679999999999</v>
      </c>
      <c r="AN21">
        <v>1.4917320000000001</v>
      </c>
      <c r="AO21">
        <v>1.8118129999999999</v>
      </c>
      <c r="AP21">
        <v>1.357073</v>
      </c>
      <c r="AQ21">
        <v>2.1677590000000002</v>
      </c>
      <c r="AR21">
        <v>1.7138100000000001</v>
      </c>
      <c r="AS21">
        <v>184119</v>
      </c>
      <c r="AT21">
        <v>2.8210380000000002</v>
      </c>
      <c r="AU21">
        <v>1.5049779999999999</v>
      </c>
      <c r="AV21">
        <v>0.63944509999999999</v>
      </c>
      <c r="AW21">
        <v>0.36055480000000001</v>
      </c>
      <c r="AX21">
        <v>0.29058469999999997</v>
      </c>
      <c r="AY21">
        <v>0.70941529999999997</v>
      </c>
      <c r="AZ21">
        <v>3.1128689999999999</v>
      </c>
      <c r="BA21">
        <v>0.59822549999999997</v>
      </c>
      <c r="BB21">
        <v>0.40177449999999998</v>
      </c>
      <c r="BC21">
        <v>0.64724230000000005</v>
      </c>
      <c r="BD21">
        <v>0</v>
      </c>
      <c r="BE21">
        <v>2.0836009999999998</v>
      </c>
      <c r="BF21">
        <v>2.0836009999999998</v>
      </c>
      <c r="BG21">
        <v>1</v>
      </c>
      <c r="BH21">
        <v>0.83056479999999999</v>
      </c>
      <c r="BI21">
        <v>0.25001210000000001</v>
      </c>
      <c r="BJ21">
        <v>0.74998779999999998</v>
      </c>
      <c r="BK21">
        <v>0.29117480000000001</v>
      </c>
      <c r="BL21" s="1">
        <v>3.9300000000000004E-15</v>
      </c>
      <c r="BM21">
        <v>1.9356370000000001</v>
      </c>
      <c r="BN21">
        <v>1.9356370000000001</v>
      </c>
      <c r="BO21">
        <v>0.99999990000000005</v>
      </c>
      <c r="BP21">
        <v>0.44890160000000001</v>
      </c>
      <c r="BQ21">
        <v>0.270787</v>
      </c>
      <c r="BR21">
        <v>0.729213</v>
      </c>
      <c r="BS21">
        <v>0.55497370000000001</v>
      </c>
      <c r="BT21">
        <v>0.69686530000000002</v>
      </c>
      <c r="BU21">
        <v>0.44306980000000001</v>
      </c>
      <c r="BV21">
        <v>1.65601</v>
      </c>
      <c r="BW21">
        <v>2.1128749999999998</v>
      </c>
      <c r="BX21">
        <v>1.275882</v>
      </c>
      <c r="BY21">
        <v>0</v>
      </c>
      <c r="BZ21">
        <v>0.63777910000000004</v>
      </c>
      <c r="CA21">
        <v>0.36222090000000001</v>
      </c>
      <c r="CB21">
        <v>0.29032730000000001</v>
      </c>
      <c r="CC21">
        <v>0.70967270000000005</v>
      </c>
      <c r="CD21">
        <v>3.14018</v>
      </c>
      <c r="CE21">
        <v>2.5475590000000001</v>
      </c>
      <c r="CF21">
        <v>1.830965</v>
      </c>
      <c r="CG21">
        <v>2.0207920000000001</v>
      </c>
      <c r="CH21">
        <v>1.2322759999999999</v>
      </c>
      <c r="CI21">
        <v>1.1071500000000001</v>
      </c>
      <c r="CJ21">
        <v>0.89845980000000003</v>
      </c>
      <c r="CK21">
        <v>0.99119869999999999</v>
      </c>
      <c r="CL21">
        <v>0.56350199999999995</v>
      </c>
      <c r="CM21">
        <v>0.60514999999999997</v>
      </c>
      <c r="CN21">
        <v>0.53786230000000002</v>
      </c>
      <c r="CO21">
        <v>1.2564839999999999</v>
      </c>
      <c r="CP21">
        <v>1.375785</v>
      </c>
      <c r="CQ21">
        <v>1.172814</v>
      </c>
      <c r="CR21">
        <v>0.96588430000000003</v>
      </c>
      <c r="CS21">
        <v>1.252391</v>
      </c>
      <c r="CT21">
        <v>1.2254560000000001</v>
      </c>
      <c r="CU21">
        <v>1.2793509999999999</v>
      </c>
      <c r="CW21">
        <f t="shared" si="4"/>
        <v>528981.75255718024</v>
      </c>
      <c r="CX21">
        <f t="shared" si="10"/>
        <v>7.0313541120995637E-2</v>
      </c>
      <c r="CY21">
        <f t="shared" si="11"/>
        <v>5.8580283178206627E-2</v>
      </c>
      <c r="CZ21">
        <f t="shared" si="12"/>
        <v>4.1868323680483654E-2</v>
      </c>
      <c r="DA21">
        <f t="shared" si="13"/>
        <v>2.11504805436749E-2</v>
      </c>
      <c r="DB21">
        <f t="shared" si="5"/>
        <v>2.11504805436749E-2</v>
      </c>
      <c r="DC21" s="12">
        <f t="shared" si="6"/>
        <v>0.77322848997703808</v>
      </c>
      <c r="DD21" s="4">
        <f t="shared" si="7"/>
        <v>0.80456466568683094</v>
      </c>
      <c r="DE21" s="4">
        <f t="shared" si="8"/>
        <v>0.31177255257726738</v>
      </c>
      <c r="DF21" s="4">
        <f t="shared" si="9"/>
        <v>0.24635316561167239</v>
      </c>
      <c r="DG21" s="13">
        <f t="shared" si="14"/>
        <v>0.24635316561167239</v>
      </c>
      <c r="DH21" s="4">
        <f t="shared" si="0"/>
        <v>2.1667503053919952</v>
      </c>
      <c r="DI21" s="4">
        <f t="shared" si="1"/>
        <v>1.2793513166572672</v>
      </c>
      <c r="DJ21" s="4">
        <f t="shared" si="2"/>
        <v>2.2357230000000001</v>
      </c>
      <c r="DK21" s="4">
        <f t="shared" si="3"/>
        <v>1.3658440000000001</v>
      </c>
      <c r="DM21" s="4"/>
      <c r="DN21" s="17"/>
    </row>
    <row r="22" spans="1:118" x14ac:dyDescent="0.3">
      <c r="A22">
        <v>1967</v>
      </c>
      <c r="B22">
        <v>198752</v>
      </c>
      <c r="C22">
        <v>859959</v>
      </c>
      <c r="D22">
        <v>2.244831</v>
      </c>
      <c r="E22">
        <v>1.5346930000000001</v>
      </c>
      <c r="F22">
        <v>506685</v>
      </c>
      <c r="G22">
        <v>142700</v>
      </c>
      <c r="H22">
        <v>149349</v>
      </c>
      <c r="I22">
        <v>57668</v>
      </c>
      <c r="J22">
        <v>3555</v>
      </c>
      <c r="K22">
        <v>841282.4</v>
      </c>
      <c r="L22">
        <v>306814.7</v>
      </c>
      <c r="M22">
        <v>534467.80000000005</v>
      </c>
      <c r="N22">
        <v>1.5741989999999999</v>
      </c>
      <c r="O22">
        <v>1.3709659999999999</v>
      </c>
      <c r="P22">
        <v>1.7249650000000001</v>
      </c>
      <c r="Q22">
        <v>121064</v>
      </c>
      <c r="R22">
        <v>181741</v>
      </c>
      <c r="S22">
        <v>69438</v>
      </c>
      <c r="T22">
        <v>469039.4</v>
      </c>
      <c r="U22">
        <v>470879.13</v>
      </c>
      <c r="V22">
        <v>198423.53</v>
      </c>
      <c r="W22">
        <v>272455.59000000003</v>
      </c>
      <c r="X22">
        <v>0.55420139999999996</v>
      </c>
      <c r="Y22">
        <v>2.1890230000000002</v>
      </c>
      <c r="Z22">
        <v>2.211967</v>
      </c>
      <c r="AA22">
        <v>2.1673149999999999</v>
      </c>
      <c r="AB22">
        <v>2.3752970000000002</v>
      </c>
      <c r="AC22">
        <v>2.3094920000000001</v>
      </c>
      <c r="AD22">
        <v>2.3938959999999998</v>
      </c>
      <c r="AE22">
        <v>1.3805620000000001</v>
      </c>
      <c r="AF22">
        <v>1.2463040000000001</v>
      </c>
      <c r="AG22">
        <v>1.5120960000000001</v>
      </c>
      <c r="AH22">
        <v>0.64044559999999995</v>
      </c>
      <c r="AI22">
        <v>0.50354710000000003</v>
      </c>
      <c r="AJ22">
        <v>650780.4</v>
      </c>
      <c r="AK22">
        <v>266009</v>
      </c>
      <c r="AL22">
        <v>384771.4</v>
      </c>
      <c r="AM22">
        <v>2.112463</v>
      </c>
      <c r="AN22">
        <v>1.5365329999999999</v>
      </c>
      <c r="AO22">
        <v>1.8377950000000001</v>
      </c>
      <c r="AP22">
        <v>1.366007</v>
      </c>
      <c r="AQ22">
        <v>2.29236</v>
      </c>
      <c r="AR22">
        <v>1.775542</v>
      </c>
      <c r="AS22">
        <v>190502</v>
      </c>
      <c r="AT22">
        <v>2.8466049999999998</v>
      </c>
      <c r="AU22">
        <v>1.543167</v>
      </c>
      <c r="AV22">
        <v>0.63549990000000001</v>
      </c>
      <c r="AW22">
        <v>0.36450009999999999</v>
      </c>
      <c r="AX22">
        <v>0.27926620000000002</v>
      </c>
      <c r="AY22">
        <v>0.72073379999999998</v>
      </c>
      <c r="AZ22">
        <v>3.2743340000000001</v>
      </c>
      <c r="BA22">
        <v>0.59320910000000004</v>
      </c>
      <c r="BB22">
        <v>0.40679090000000001</v>
      </c>
      <c r="BC22">
        <v>0.64724230000000005</v>
      </c>
      <c r="BD22">
        <v>0</v>
      </c>
      <c r="BE22">
        <v>2.1669659999999999</v>
      </c>
      <c r="BF22">
        <v>2.1669659999999999</v>
      </c>
      <c r="BG22">
        <v>1</v>
      </c>
      <c r="BH22">
        <v>0.83056479999999999</v>
      </c>
      <c r="BI22">
        <v>0.24612690000000001</v>
      </c>
      <c r="BJ22">
        <v>0.75387309999999996</v>
      </c>
      <c r="BK22">
        <v>0.29117480000000001</v>
      </c>
      <c r="BL22" s="1">
        <v>3.9300000000000004E-15</v>
      </c>
      <c r="BM22">
        <v>1.9985569999999999</v>
      </c>
      <c r="BN22">
        <v>1.9985569999999999</v>
      </c>
      <c r="BO22">
        <v>1</v>
      </c>
      <c r="BP22">
        <v>0.44890160000000001</v>
      </c>
      <c r="BQ22">
        <v>0.26453579999999999</v>
      </c>
      <c r="BR22">
        <v>0.73546420000000001</v>
      </c>
      <c r="BS22">
        <v>0.55497370000000001</v>
      </c>
      <c r="BT22">
        <v>0.69686530000000002</v>
      </c>
      <c r="BU22">
        <v>0.44306980000000001</v>
      </c>
      <c r="BV22">
        <v>1.696736</v>
      </c>
      <c r="BW22">
        <v>2.1889189999999998</v>
      </c>
      <c r="BX22">
        <v>1.290076</v>
      </c>
      <c r="BY22">
        <v>0</v>
      </c>
      <c r="BZ22">
        <v>0.6374725</v>
      </c>
      <c r="CA22">
        <v>0.3625275</v>
      </c>
      <c r="CB22">
        <v>0.2849255</v>
      </c>
      <c r="CC22">
        <v>0.71507449999999995</v>
      </c>
      <c r="CD22">
        <v>3.1847099999999999</v>
      </c>
      <c r="CE22">
        <v>2.5739960000000002</v>
      </c>
      <c r="CF22">
        <v>1.8455269999999999</v>
      </c>
      <c r="CG22">
        <v>2.1088450000000001</v>
      </c>
      <c r="CH22">
        <v>1.2582120000000001</v>
      </c>
      <c r="CI22">
        <v>1.1178079999999999</v>
      </c>
      <c r="CJ22">
        <v>0.88841029999999999</v>
      </c>
      <c r="CK22">
        <v>0.99570069999999999</v>
      </c>
      <c r="CL22">
        <v>0.56350199999999995</v>
      </c>
      <c r="CM22">
        <v>0.60514999999999997</v>
      </c>
      <c r="CN22">
        <v>0.53786230000000002</v>
      </c>
      <c r="CO22">
        <v>1.2512049999999999</v>
      </c>
      <c r="CP22">
        <v>1.3558760000000001</v>
      </c>
      <c r="CQ22">
        <v>1.1728700000000001</v>
      </c>
      <c r="CR22">
        <v>0.96231979999999995</v>
      </c>
      <c r="CS22">
        <v>1.2367159999999999</v>
      </c>
      <c r="CT22">
        <v>1.22085</v>
      </c>
      <c r="CU22">
        <v>1.2763659999999999</v>
      </c>
      <c r="CW22">
        <f t="shared" si="4"/>
        <v>545166.14209609199</v>
      </c>
      <c r="CX22">
        <f t="shared" si="10"/>
        <v>3.0136659046778647E-2</v>
      </c>
      <c r="CY22">
        <f t="shared" si="11"/>
        <v>6.0557816612924142E-2</v>
      </c>
      <c r="CZ22">
        <f t="shared" si="12"/>
        <v>1.0718110066358866E-2</v>
      </c>
      <c r="DA22">
        <f t="shared" si="13"/>
        <v>-2.3363832477428723E-3</v>
      </c>
      <c r="DB22">
        <f t="shared" si="5"/>
        <v>-2.3363832477428723E-3</v>
      </c>
      <c r="DC22" s="12">
        <f t="shared" si="6"/>
        <v>0.80336514902381673</v>
      </c>
      <c r="DD22" s="4">
        <f t="shared" si="7"/>
        <v>0.86512248229975508</v>
      </c>
      <c r="DE22" s="4">
        <f t="shared" si="8"/>
        <v>0.32249066264362625</v>
      </c>
      <c r="DF22" s="4">
        <f t="shared" si="9"/>
        <v>0.24401678236392951</v>
      </c>
      <c r="DG22" s="13">
        <f t="shared" si="14"/>
        <v>0.24401678236392951</v>
      </c>
      <c r="DH22" s="4">
        <f t="shared" si="0"/>
        <v>2.23304282078879</v>
      </c>
      <c r="DI22" s="4">
        <f t="shared" si="1"/>
        <v>1.276365750744249</v>
      </c>
      <c r="DJ22" s="4">
        <f t="shared" si="2"/>
        <v>2.3752970000000002</v>
      </c>
      <c r="DK22" s="4">
        <f t="shared" si="3"/>
        <v>1.3805620000000001</v>
      </c>
      <c r="DM22" s="4"/>
      <c r="DN22" s="17"/>
    </row>
    <row r="23" spans="1:118" x14ac:dyDescent="0.3">
      <c r="A23">
        <v>1968</v>
      </c>
      <c r="B23">
        <v>200745</v>
      </c>
      <c r="C23">
        <v>940651</v>
      </c>
      <c r="D23">
        <v>2.3551530000000001</v>
      </c>
      <c r="E23">
        <v>1.600063</v>
      </c>
      <c r="F23">
        <v>556852</v>
      </c>
      <c r="G23">
        <v>156923</v>
      </c>
      <c r="H23">
        <v>166280</v>
      </c>
      <c r="I23">
        <v>59246</v>
      </c>
      <c r="J23">
        <v>1350</v>
      </c>
      <c r="K23">
        <v>918084.4</v>
      </c>
      <c r="L23">
        <v>332157.5</v>
      </c>
      <c r="M23">
        <v>585926.9</v>
      </c>
      <c r="N23">
        <v>1.634034</v>
      </c>
      <c r="O23">
        <v>1.405381</v>
      </c>
      <c r="P23">
        <v>1.8033570000000001</v>
      </c>
      <c r="Q23">
        <v>131261</v>
      </c>
      <c r="R23">
        <v>196472</v>
      </c>
      <c r="S23">
        <v>75855</v>
      </c>
      <c r="T23">
        <v>514496.4</v>
      </c>
      <c r="U23">
        <v>511077.38</v>
      </c>
      <c r="V23">
        <v>212542.47</v>
      </c>
      <c r="W23">
        <v>298534.88</v>
      </c>
      <c r="X23">
        <v>0.5581969</v>
      </c>
      <c r="Y23">
        <v>2.3013870000000001</v>
      </c>
      <c r="Z23">
        <v>2.3360340000000002</v>
      </c>
      <c r="AA23">
        <v>2.2727020000000002</v>
      </c>
      <c r="AB23">
        <v>2.5099689999999999</v>
      </c>
      <c r="AC23">
        <v>2.4442870000000001</v>
      </c>
      <c r="AD23">
        <v>2.527965</v>
      </c>
      <c r="AE23">
        <v>1.405327</v>
      </c>
      <c r="AF23">
        <v>1.249485</v>
      </c>
      <c r="AG23">
        <v>1.556195</v>
      </c>
      <c r="AH23">
        <v>0.64330290000000001</v>
      </c>
      <c r="AI23">
        <v>0.50963930000000002</v>
      </c>
      <c r="AJ23">
        <v>710968.4</v>
      </c>
      <c r="AK23">
        <v>286356</v>
      </c>
      <c r="AL23">
        <v>424612.4</v>
      </c>
      <c r="AM23">
        <v>2.2178719999999998</v>
      </c>
      <c r="AN23">
        <v>1.6035870000000001</v>
      </c>
      <c r="AO23">
        <v>1.9280889999999999</v>
      </c>
      <c r="AP23">
        <v>1.4057729999999999</v>
      </c>
      <c r="AQ23">
        <v>2.4153850000000001</v>
      </c>
      <c r="AR23">
        <v>1.8650979999999999</v>
      </c>
      <c r="AS23">
        <v>207116</v>
      </c>
      <c r="AT23">
        <v>2.978939</v>
      </c>
      <c r="AU23">
        <v>1.603218</v>
      </c>
      <c r="AV23">
        <v>0.63375599999999999</v>
      </c>
      <c r="AW23">
        <v>0.36624400000000001</v>
      </c>
      <c r="AX23">
        <v>0.27634419999999998</v>
      </c>
      <c r="AY23">
        <v>0.72365579999999996</v>
      </c>
      <c r="AZ23">
        <v>3.5416500000000002</v>
      </c>
      <c r="BA23">
        <v>0.5884587</v>
      </c>
      <c r="BB23">
        <v>0.4115413</v>
      </c>
      <c r="BC23">
        <v>0.64724230000000005</v>
      </c>
      <c r="BD23">
        <v>0</v>
      </c>
      <c r="BE23">
        <v>2.2909139999999999</v>
      </c>
      <c r="BF23">
        <v>2.2909139999999999</v>
      </c>
      <c r="BG23">
        <v>1</v>
      </c>
      <c r="BH23">
        <v>0.83056479999999999</v>
      </c>
      <c r="BI23">
        <v>0.2424991</v>
      </c>
      <c r="BJ23">
        <v>0.75750090000000003</v>
      </c>
      <c r="BK23">
        <v>0.29117480000000001</v>
      </c>
      <c r="BL23" s="1">
        <v>3.9300000000000004E-15</v>
      </c>
      <c r="BM23">
        <v>2.0985330000000002</v>
      </c>
      <c r="BN23">
        <v>2.0985339999999999</v>
      </c>
      <c r="BO23">
        <v>1</v>
      </c>
      <c r="BP23">
        <v>0.44890160000000001</v>
      </c>
      <c r="BQ23">
        <v>0.25605549999999999</v>
      </c>
      <c r="BR23">
        <v>0.74394450000000001</v>
      </c>
      <c r="BS23">
        <v>0.55497370000000001</v>
      </c>
      <c r="BT23">
        <v>0.69686530000000002</v>
      </c>
      <c r="BU23">
        <v>0.44306980000000001</v>
      </c>
      <c r="BV23">
        <v>1.7503</v>
      </c>
      <c r="BW23">
        <v>2.3137850000000002</v>
      </c>
      <c r="BX23">
        <v>1.321936</v>
      </c>
      <c r="BY23">
        <v>0</v>
      </c>
      <c r="BZ23">
        <v>0.63462790000000002</v>
      </c>
      <c r="CA23">
        <v>0.36537209999999998</v>
      </c>
      <c r="CB23">
        <v>0.27780519999999997</v>
      </c>
      <c r="CC23">
        <v>0.72219480000000003</v>
      </c>
      <c r="CD23">
        <v>3.3683969999999999</v>
      </c>
      <c r="CE23">
        <v>2.6896360000000001</v>
      </c>
      <c r="CF23">
        <v>1.9462600000000001</v>
      </c>
      <c r="CG23">
        <v>2.2126679999999999</v>
      </c>
      <c r="CH23">
        <v>1.2831809999999999</v>
      </c>
      <c r="CI23">
        <v>1.1248359999999999</v>
      </c>
      <c r="CJ23">
        <v>0.87659980000000004</v>
      </c>
      <c r="CK23">
        <v>1.00023</v>
      </c>
      <c r="CL23">
        <v>0.56350199999999995</v>
      </c>
      <c r="CM23">
        <v>0.60514999999999997</v>
      </c>
      <c r="CN23">
        <v>0.53786230000000002</v>
      </c>
      <c r="CO23">
        <v>1.271342</v>
      </c>
      <c r="CP23">
        <v>1.3949009999999999</v>
      </c>
      <c r="CQ23">
        <v>1.1816949999999999</v>
      </c>
      <c r="CR23">
        <v>0.95636860000000001</v>
      </c>
      <c r="CS23">
        <v>1.2542139999999999</v>
      </c>
      <c r="CT23">
        <v>1.2367360000000001</v>
      </c>
      <c r="CU23">
        <v>1.295779</v>
      </c>
      <c r="CW23">
        <f t="shared" si="4"/>
        <v>572651.00566485652</v>
      </c>
      <c r="CX23">
        <f t="shared" si="10"/>
        <v>4.9185869912582447E-2</v>
      </c>
      <c r="CY23">
        <f t="shared" si="11"/>
        <v>5.514792017005854E-2</v>
      </c>
      <c r="CZ23">
        <f t="shared" si="12"/>
        <v>1.77793532758041E-2</v>
      </c>
      <c r="DA23">
        <f t="shared" si="13"/>
        <v>1.5095211924570071E-2</v>
      </c>
      <c r="DB23">
        <f t="shared" si="5"/>
        <v>1.5095211924570071E-2</v>
      </c>
      <c r="DC23" s="12">
        <f t="shared" si="6"/>
        <v>0.85255101893639917</v>
      </c>
      <c r="DD23" s="4">
        <f t="shared" si="7"/>
        <v>0.92027040246981362</v>
      </c>
      <c r="DE23" s="4">
        <f t="shared" si="8"/>
        <v>0.34027001591943035</v>
      </c>
      <c r="DF23" s="4">
        <f t="shared" si="9"/>
        <v>0.25911199428849957</v>
      </c>
      <c r="DG23" s="13">
        <f t="shared" si="14"/>
        <v>0.25911199428849957</v>
      </c>
      <c r="DH23" s="4">
        <f t="shared" si="0"/>
        <v>2.3456229546845035</v>
      </c>
      <c r="DI23" s="4">
        <f t="shared" si="1"/>
        <v>1.2957789165398659</v>
      </c>
      <c r="DJ23" s="4">
        <f t="shared" si="2"/>
        <v>2.5099689999999999</v>
      </c>
      <c r="DK23" s="4">
        <f t="shared" si="3"/>
        <v>1.405327</v>
      </c>
      <c r="DM23" s="4"/>
      <c r="DN23" s="17"/>
    </row>
    <row r="24" spans="1:118" x14ac:dyDescent="0.3">
      <c r="A24">
        <v>1969</v>
      </c>
      <c r="B24">
        <v>202736</v>
      </c>
      <c r="C24">
        <v>1017615</v>
      </c>
      <c r="D24">
        <v>2.4287540000000001</v>
      </c>
      <c r="E24">
        <v>1.6785239999999999</v>
      </c>
      <c r="F24">
        <v>603639</v>
      </c>
      <c r="G24">
        <v>173562</v>
      </c>
      <c r="H24">
        <v>179437</v>
      </c>
      <c r="I24">
        <v>59547</v>
      </c>
      <c r="J24">
        <v>1431</v>
      </c>
      <c r="K24">
        <v>992611.2</v>
      </c>
      <c r="L24">
        <v>352805.2</v>
      </c>
      <c r="M24">
        <v>639806.1</v>
      </c>
      <c r="N24">
        <v>1.7121059999999999</v>
      </c>
      <c r="O24">
        <v>1.4517580000000001</v>
      </c>
      <c r="P24">
        <v>1.9045859999999999</v>
      </c>
      <c r="Q24">
        <v>140907</v>
      </c>
      <c r="R24">
        <v>207857</v>
      </c>
      <c r="S24">
        <v>83028</v>
      </c>
      <c r="T24">
        <v>560819.19999999995</v>
      </c>
      <c r="U24">
        <v>563248.68999999994</v>
      </c>
      <c r="V24">
        <v>234578.59</v>
      </c>
      <c r="W24">
        <v>328670.09000000003</v>
      </c>
      <c r="X24">
        <v>0.56205970000000005</v>
      </c>
      <c r="Y24">
        <v>2.374743</v>
      </c>
      <c r="Z24">
        <v>2.4019819999999998</v>
      </c>
      <c r="AA24">
        <v>2.3497870000000001</v>
      </c>
      <c r="AB24">
        <v>2.648819</v>
      </c>
      <c r="AC24">
        <v>2.5789240000000002</v>
      </c>
      <c r="AD24">
        <v>2.66805</v>
      </c>
      <c r="AE24">
        <v>1.4378500000000001</v>
      </c>
      <c r="AF24">
        <v>1.2720769999999999</v>
      </c>
      <c r="AG24">
        <v>1.5978479999999999</v>
      </c>
      <c r="AH24">
        <v>0.65239009999999997</v>
      </c>
      <c r="AI24">
        <v>0.51160570000000005</v>
      </c>
      <c r="AJ24">
        <v>768676.2</v>
      </c>
      <c r="AK24">
        <v>305834</v>
      </c>
      <c r="AL24">
        <v>462842.2</v>
      </c>
      <c r="AM24">
        <v>2.2891180000000002</v>
      </c>
      <c r="AN24">
        <v>1.6810689999999999</v>
      </c>
      <c r="AO24">
        <v>1.986669</v>
      </c>
      <c r="AP24">
        <v>1.458234</v>
      </c>
      <c r="AQ24">
        <v>2.497296</v>
      </c>
      <c r="AR24">
        <v>1.9678329999999999</v>
      </c>
      <c r="AS24">
        <v>223935</v>
      </c>
      <c r="AT24">
        <v>3.0628449999999998</v>
      </c>
      <c r="AU24">
        <v>1.6859219999999999</v>
      </c>
      <c r="AV24">
        <v>0.62923169999999995</v>
      </c>
      <c r="AW24">
        <v>0.3707683</v>
      </c>
      <c r="AX24">
        <v>0.27040900000000001</v>
      </c>
      <c r="AY24">
        <v>0.72959099999999999</v>
      </c>
      <c r="AZ24">
        <v>3.7915130000000001</v>
      </c>
      <c r="BA24">
        <v>0.58308470000000001</v>
      </c>
      <c r="BB24">
        <v>0.41691529999999999</v>
      </c>
      <c r="BC24">
        <v>0.64724230000000005</v>
      </c>
      <c r="BD24">
        <v>0</v>
      </c>
      <c r="BE24">
        <v>2.3758409999999999</v>
      </c>
      <c r="BF24">
        <v>2.3758409999999999</v>
      </c>
      <c r="BG24">
        <v>1</v>
      </c>
      <c r="BH24">
        <v>0.83056479999999999</v>
      </c>
      <c r="BI24">
        <v>0.2384539</v>
      </c>
      <c r="BJ24">
        <v>0.7615461</v>
      </c>
      <c r="BK24">
        <v>0.29117480000000001</v>
      </c>
      <c r="BL24" s="1">
        <v>3.9300000000000004E-15</v>
      </c>
      <c r="BM24">
        <v>2.159748</v>
      </c>
      <c r="BN24">
        <v>2.159748</v>
      </c>
      <c r="BO24">
        <v>1</v>
      </c>
      <c r="BP24">
        <v>0.44890160000000001</v>
      </c>
      <c r="BQ24">
        <v>0.25024390000000002</v>
      </c>
      <c r="BR24">
        <v>0.74975610000000004</v>
      </c>
      <c r="BS24">
        <v>0.55497370000000001</v>
      </c>
      <c r="BT24">
        <v>0.69686530000000002</v>
      </c>
      <c r="BU24">
        <v>0.44306980000000001</v>
      </c>
      <c r="BV24">
        <v>1.7903370000000001</v>
      </c>
      <c r="BW24">
        <v>2.3871329999999999</v>
      </c>
      <c r="BX24">
        <v>1.3333429999999999</v>
      </c>
      <c r="BY24">
        <v>0</v>
      </c>
      <c r="BZ24">
        <v>0.63149379999999999</v>
      </c>
      <c r="CA24">
        <v>0.36850620000000001</v>
      </c>
      <c r="CB24">
        <v>0.27337660000000003</v>
      </c>
      <c r="CC24">
        <v>0.72662340000000003</v>
      </c>
      <c r="CD24">
        <v>3.5004179999999998</v>
      </c>
      <c r="CE24">
        <v>2.7875000000000001</v>
      </c>
      <c r="CF24">
        <v>1.993263</v>
      </c>
      <c r="CG24">
        <v>2.2836940000000001</v>
      </c>
      <c r="CH24">
        <v>1.311917</v>
      </c>
      <c r="CI24">
        <v>1.1296999999999999</v>
      </c>
      <c r="CJ24">
        <v>0.86110589999999998</v>
      </c>
      <c r="CK24">
        <v>0.99712100000000004</v>
      </c>
      <c r="CL24">
        <v>0.56350199999999995</v>
      </c>
      <c r="CM24">
        <v>0.60514999999999997</v>
      </c>
      <c r="CN24">
        <v>0.53786230000000002</v>
      </c>
      <c r="CO24">
        <v>1.2649790000000001</v>
      </c>
      <c r="CP24">
        <v>1.387025</v>
      </c>
      <c r="CQ24">
        <v>1.175718</v>
      </c>
      <c r="CR24">
        <v>0.9471638</v>
      </c>
      <c r="CS24">
        <v>1.2354149999999999</v>
      </c>
      <c r="CT24">
        <v>1.2302930000000001</v>
      </c>
      <c r="CU24">
        <v>1.2846249999999999</v>
      </c>
      <c r="CW24">
        <f t="shared" si="4"/>
        <v>588764.60476819216</v>
      </c>
      <c r="CX24">
        <f t="shared" si="10"/>
        <v>2.7749985421390733E-2</v>
      </c>
      <c r="CY24">
        <f t="shared" si="11"/>
        <v>5.3843477814858209E-2</v>
      </c>
      <c r="CZ24">
        <f t="shared" si="12"/>
        <v>2.2878926394786336E-2</v>
      </c>
      <c r="DA24">
        <f t="shared" si="13"/>
        <v>-8.6449057391541368E-3</v>
      </c>
      <c r="DB24">
        <f t="shared" si="5"/>
        <v>-8.6449057391541368E-3</v>
      </c>
      <c r="DC24" s="12">
        <f t="shared" si="6"/>
        <v>0.88030100435778991</v>
      </c>
      <c r="DD24" s="4">
        <f t="shared" si="7"/>
        <v>0.97411388028467183</v>
      </c>
      <c r="DE24" s="4">
        <f t="shared" si="8"/>
        <v>0.36314894231421668</v>
      </c>
      <c r="DF24" s="4">
        <f t="shared" si="9"/>
        <v>0.25046708854934541</v>
      </c>
      <c r="DG24" s="13">
        <f t="shared" si="14"/>
        <v>0.25046708854934541</v>
      </c>
      <c r="DH24" s="4">
        <f t="shared" si="0"/>
        <v>2.4116255069641195</v>
      </c>
      <c r="DI24" s="4">
        <f t="shared" si="1"/>
        <v>1.2846253103477678</v>
      </c>
      <c r="DJ24" s="4">
        <f t="shared" si="2"/>
        <v>2.648819</v>
      </c>
      <c r="DK24" s="4">
        <f t="shared" si="3"/>
        <v>1.4378500000000001</v>
      </c>
      <c r="DM24" s="4"/>
      <c r="DN24" s="17"/>
    </row>
    <row r="25" spans="1:118" x14ac:dyDescent="0.3">
      <c r="A25">
        <v>1970</v>
      </c>
      <c r="B25">
        <v>205089</v>
      </c>
      <c r="C25">
        <v>1073303</v>
      </c>
      <c r="D25">
        <v>2.4332240000000001</v>
      </c>
      <c r="E25">
        <v>1.7671269999999999</v>
      </c>
      <c r="F25">
        <v>646724</v>
      </c>
      <c r="G25">
        <v>170049</v>
      </c>
      <c r="H25">
        <v>192785</v>
      </c>
      <c r="I25">
        <v>59796</v>
      </c>
      <c r="J25">
        <v>3948</v>
      </c>
      <c r="K25">
        <v>1046070</v>
      </c>
      <c r="L25">
        <v>356139.4</v>
      </c>
      <c r="M25">
        <v>689930.8</v>
      </c>
      <c r="N25">
        <v>1.7982279999999999</v>
      </c>
      <c r="O25">
        <v>1.5029889999999999</v>
      </c>
      <c r="P25">
        <v>2.0158109999999998</v>
      </c>
      <c r="Q25">
        <v>141618</v>
      </c>
      <c r="R25">
        <v>210120</v>
      </c>
      <c r="S25">
        <v>86226</v>
      </c>
      <c r="T25">
        <v>608106.1</v>
      </c>
      <c r="U25">
        <v>610929.81000000006</v>
      </c>
      <c r="V25">
        <v>237534.92</v>
      </c>
      <c r="W25">
        <v>373394.91</v>
      </c>
      <c r="X25">
        <v>0.57573260000000004</v>
      </c>
      <c r="Y25">
        <v>2.3827820000000002</v>
      </c>
      <c r="Z25">
        <v>2.3420350000000001</v>
      </c>
      <c r="AA25">
        <v>2.3940670000000002</v>
      </c>
      <c r="AB25">
        <v>2.7715960000000002</v>
      </c>
      <c r="AC25">
        <v>2.6910400000000001</v>
      </c>
      <c r="AD25">
        <v>2.7946200000000001</v>
      </c>
      <c r="AE25">
        <v>1.4046099999999999</v>
      </c>
      <c r="AF25">
        <v>1.205657</v>
      </c>
      <c r="AG25">
        <v>1.593048</v>
      </c>
      <c r="AH25">
        <v>0.66593369999999996</v>
      </c>
      <c r="AI25">
        <v>0.52745450000000005</v>
      </c>
      <c r="AJ25">
        <v>818226.1</v>
      </c>
      <c r="AK25">
        <v>314509</v>
      </c>
      <c r="AL25">
        <v>503717.1</v>
      </c>
      <c r="AM25">
        <v>2.315426</v>
      </c>
      <c r="AN25">
        <v>1.7703930000000001</v>
      </c>
      <c r="AO25">
        <v>2.0210870000000001</v>
      </c>
      <c r="AP25">
        <v>1.475139</v>
      </c>
      <c r="AQ25">
        <v>2.5546519999999999</v>
      </c>
      <c r="AR25">
        <v>2.0950660000000001</v>
      </c>
      <c r="AS25">
        <v>227844</v>
      </c>
      <c r="AT25">
        <v>2.963622</v>
      </c>
      <c r="AU25">
        <v>1.7727820000000001</v>
      </c>
      <c r="AV25">
        <v>0.62155689999999997</v>
      </c>
      <c r="AW25">
        <v>0.37844319999999998</v>
      </c>
      <c r="AX25">
        <v>0.25679940000000001</v>
      </c>
      <c r="AY25">
        <v>0.74320059999999999</v>
      </c>
      <c r="AZ25">
        <v>3.9896150000000001</v>
      </c>
      <c r="BA25">
        <v>0.57770840000000001</v>
      </c>
      <c r="BB25">
        <v>0.42229159999999999</v>
      </c>
      <c r="BC25">
        <v>0.64724230000000005</v>
      </c>
      <c r="BD25">
        <v>0</v>
      </c>
      <c r="BE25">
        <v>2.420264</v>
      </c>
      <c r="BF25">
        <v>2.420264</v>
      </c>
      <c r="BG25">
        <v>1</v>
      </c>
      <c r="BH25">
        <v>0.83056479999999999</v>
      </c>
      <c r="BI25">
        <v>0.23446810000000001</v>
      </c>
      <c r="BJ25">
        <v>0.76553190000000004</v>
      </c>
      <c r="BK25">
        <v>0.29117480000000001</v>
      </c>
      <c r="BL25" s="1">
        <v>3.9300000000000004E-15</v>
      </c>
      <c r="BM25">
        <v>2.1834889999999998</v>
      </c>
      <c r="BN25">
        <v>2.1834880000000001</v>
      </c>
      <c r="BO25">
        <v>0.99999990000000005</v>
      </c>
      <c r="BP25">
        <v>0.44890160000000001</v>
      </c>
      <c r="BQ25">
        <v>0.24722169999999999</v>
      </c>
      <c r="BR25">
        <v>0.75277830000000001</v>
      </c>
      <c r="BS25">
        <v>0.55497370000000001</v>
      </c>
      <c r="BT25">
        <v>0.69686530000000002</v>
      </c>
      <c r="BU25">
        <v>0.44306980000000001</v>
      </c>
      <c r="BV25">
        <v>1.8185549999999999</v>
      </c>
      <c r="BW25">
        <v>2.410485</v>
      </c>
      <c r="BX25">
        <v>1.3254950000000001</v>
      </c>
      <c r="BY25">
        <v>0</v>
      </c>
      <c r="BZ25">
        <v>0.62539429999999996</v>
      </c>
      <c r="CA25">
        <v>0.37460569999999999</v>
      </c>
      <c r="CB25">
        <v>0.26360430000000001</v>
      </c>
      <c r="CC25">
        <v>0.73639580000000004</v>
      </c>
      <c r="CD25">
        <v>3.3981629999999998</v>
      </c>
      <c r="CE25">
        <v>2.7351390000000002</v>
      </c>
      <c r="CF25">
        <v>1.9462820000000001</v>
      </c>
      <c r="CG25">
        <v>2.3396189999999999</v>
      </c>
      <c r="CH25">
        <v>1.341202</v>
      </c>
      <c r="CI25">
        <v>1.137089</v>
      </c>
      <c r="CJ25">
        <v>0.84781340000000005</v>
      </c>
      <c r="CK25">
        <v>0.99865250000000005</v>
      </c>
      <c r="CL25">
        <v>0.56350199999999995</v>
      </c>
      <c r="CM25">
        <v>0.60514999999999997</v>
      </c>
      <c r="CN25">
        <v>0.53786230000000002</v>
      </c>
      <c r="CO25">
        <v>1.2609140000000001</v>
      </c>
      <c r="CP25">
        <v>1.3682460000000001</v>
      </c>
      <c r="CQ25">
        <v>1.1758740000000001</v>
      </c>
      <c r="CR25">
        <v>0.94028679999999998</v>
      </c>
      <c r="CS25">
        <v>1.2163470000000001</v>
      </c>
      <c r="CT25">
        <v>1.2260679999999999</v>
      </c>
      <c r="CU25">
        <v>1.279013</v>
      </c>
      <c r="CW25">
        <f t="shared" si="4"/>
        <v>590072.55263196491</v>
      </c>
      <c r="CX25">
        <f t="shared" si="10"/>
        <v>2.2190484788762177E-3</v>
      </c>
      <c r="CY25">
        <f t="shared" si="11"/>
        <v>4.530944727567765E-2</v>
      </c>
      <c r="CZ25">
        <f t="shared" si="12"/>
        <v>-2.3389258132160695E-2</v>
      </c>
      <c r="DA25">
        <f t="shared" si="13"/>
        <v>-4.3785409020737128E-3</v>
      </c>
      <c r="DB25">
        <f t="shared" si="5"/>
        <v>-4.3785409020737128E-3</v>
      </c>
      <c r="DC25" s="12">
        <f t="shared" si="6"/>
        <v>0.88252005283666612</v>
      </c>
      <c r="DD25" s="4">
        <f t="shared" si="7"/>
        <v>1.0194233275603495</v>
      </c>
      <c r="DE25" s="4">
        <f t="shared" si="8"/>
        <v>0.33975968418205599</v>
      </c>
      <c r="DF25" s="4">
        <f t="shared" si="9"/>
        <v>0.2460885476472717</v>
      </c>
      <c r="DG25" s="13">
        <f t="shared" si="14"/>
        <v>0.2460885476472717</v>
      </c>
      <c r="DH25" s="4">
        <f t="shared" si="0"/>
        <v>2.4169829629057751</v>
      </c>
      <c r="DI25" s="4">
        <f t="shared" si="1"/>
        <v>1.279012822103945</v>
      </c>
      <c r="DJ25" s="4">
        <f t="shared" si="2"/>
        <v>2.7715960000000002</v>
      </c>
      <c r="DK25" s="4">
        <f t="shared" si="3"/>
        <v>1.4046099999999999</v>
      </c>
      <c r="DM25" s="4"/>
      <c r="DN25" s="17"/>
    </row>
    <row r="26" spans="1:118" x14ac:dyDescent="0.3">
      <c r="A26">
        <v>1971</v>
      </c>
      <c r="B26">
        <v>207692</v>
      </c>
      <c r="C26">
        <v>1164850</v>
      </c>
      <c r="D26">
        <v>2.5133709999999998</v>
      </c>
      <c r="E26">
        <v>1.856697</v>
      </c>
      <c r="F26">
        <v>699937</v>
      </c>
      <c r="G26">
        <v>196824</v>
      </c>
      <c r="H26">
        <v>208960</v>
      </c>
      <c r="I26">
        <v>58509</v>
      </c>
      <c r="J26">
        <v>621</v>
      </c>
      <c r="K26">
        <v>1135308</v>
      </c>
      <c r="L26">
        <v>379330.5</v>
      </c>
      <c r="M26">
        <v>755977.2</v>
      </c>
      <c r="N26">
        <v>1.891087</v>
      </c>
      <c r="O26">
        <v>1.555018</v>
      </c>
      <c r="P26">
        <v>2.1375850000000001</v>
      </c>
      <c r="Q26">
        <v>150699</v>
      </c>
      <c r="R26">
        <v>224258</v>
      </c>
      <c r="S26">
        <v>96378</v>
      </c>
      <c r="T26">
        <v>663972.80000000005</v>
      </c>
      <c r="U26">
        <v>642072.13</v>
      </c>
      <c r="V26">
        <v>247685.98</v>
      </c>
      <c r="W26">
        <v>394386.16</v>
      </c>
      <c r="X26">
        <v>0.57478640000000003</v>
      </c>
      <c r="Y26">
        <v>2.4590670000000001</v>
      </c>
      <c r="Z26">
        <v>2.4110779999999998</v>
      </c>
      <c r="AA26">
        <v>2.473808</v>
      </c>
      <c r="AB26">
        <v>2.900725</v>
      </c>
      <c r="AC26">
        <v>2.8003269999999998</v>
      </c>
      <c r="AD26">
        <v>2.9310179999999999</v>
      </c>
      <c r="AE26">
        <v>1.40008</v>
      </c>
      <c r="AF26">
        <v>1.1783779999999999</v>
      </c>
      <c r="AG26">
        <v>1.6077619999999999</v>
      </c>
      <c r="AH26">
        <v>0.65996370000000004</v>
      </c>
      <c r="AI26">
        <v>0.53144840000000004</v>
      </c>
      <c r="AJ26">
        <v>888230.8</v>
      </c>
      <c r="AK26">
        <v>338751</v>
      </c>
      <c r="AL26">
        <v>549479.80000000005</v>
      </c>
      <c r="AM26">
        <v>2.394301</v>
      </c>
      <c r="AN26">
        <v>1.858509</v>
      </c>
      <c r="AO26">
        <v>2.0827059999999999</v>
      </c>
      <c r="AP26">
        <v>1.5418000000000001</v>
      </c>
      <c r="AQ26">
        <v>2.6183420000000002</v>
      </c>
      <c r="AR26">
        <v>2.229765</v>
      </c>
      <c r="AS26">
        <v>247077</v>
      </c>
      <c r="AT26">
        <v>3.0488789999999999</v>
      </c>
      <c r="AU26">
        <v>1.8686700000000001</v>
      </c>
      <c r="AV26">
        <v>0.60992729999999995</v>
      </c>
      <c r="AW26">
        <v>0.39007269999999999</v>
      </c>
      <c r="AX26">
        <v>0.25247720000000001</v>
      </c>
      <c r="AY26">
        <v>0.74752280000000004</v>
      </c>
      <c r="AZ26">
        <v>4.2766729999999997</v>
      </c>
      <c r="BA26">
        <v>0.57169000000000003</v>
      </c>
      <c r="BB26">
        <v>0.42831000000000002</v>
      </c>
      <c r="BC26">
        <v>0.64724230000000005</v>
      </c>
      <c r="BD26">
        <v>0</v>
      </c>
      <c r="BE26">
        <v>2.5129700000000001</v>
      </c>
      <c r="BF26">
        <v>2.5129700000000001</v>
      </c>
      <c r="BG26">
        <v>1</v>
      </c>
      <c r="BH26">
        <v>0.83056479999999999</v>
      </c>
      <c r="BI26">
        <v>0.23007730000000001</v>
      </c>
      <c r="BJ26">
        <v>0.76992269999999996</v>
      </c>
      <c r="BK26">
        <v>0.29117480000000001</v>
      </c>
      <c r="BL26" s="1">
        <v>3.9300000000000004E-15</v>
      </c>
      <c r="BM26">
        <v>2.2480899999999999</v>
      </c>
      <c r="BN26">
        <v>2.2480899999999999</v>
      </c>
      <c r="BO26">
        <v>1</v>
      </c>
      <c r="BP26">
        <v>0.44890160000000001</v>
      </c>
      <c r="BQ26">
        <v>0.2415602</v>
      </c>
      <c r="BR26">
        <v>0.7584398</v>
      </c>
      <c r="BS26">
        <v>0.55497370000000001</v>
      </c>
      <c r="BT26">
        <v>0.69686530000000002</v>
      </c>
      <c r="BU26">
        <v>0.44306980000000001</v>
      </c>
      <c r="BV26">
        <v>1.8643940000000001</v>
      </c>
      <c r="BW26">
        <v>2.4862069999999998</v>
      </c>
      <c r="BX26">
        <v>1.33352</v>
      </c>
      <c r="BY26">
        <v>0</v>
      </c>
      <c r="BZ26">
        <v>0.61574209999999996</v>
      </c>
      <c r="CA26">
        <v>0.38425789999999999</v>
      </c>
      <c r="CB26">
        <v>0.25463829999999998</v>
      </c>
      <c r="CC26">
        <v>0.74536170000000002</v>
      </c>
      <c r="CD26">
        <v>3.4950739999999998</v>
      </c>
      <c r="CE26">
        <v>2.8830049999999998</v>
      </c>
      <c r="CF26">
        <v>2.007736</v>
      </c>
      <c r="CG26">
        <v>2.4090310000000001</v>
      </c>
      <c r="CH26">
        <v>1.3746370000000001</v>
      </c>
      <c r="CI26">
        <v>1.143907</v>
      </c>
      <c r="CJ26">
        <v>0.83215229999999996</v>
      </c>
      <c r="CK26">
        <v>0.99456250000000002</v>
      </c>
      <c r="CL26">
        <v>0.56350199999999995</v>
      </c>
      <c r="CM26">
        <v>0.60514999999999997</v>
      </c>
      <c r="CN26">
        <v>0.53786230000000002</v>
      </c>
      <c r="CO26">
        <v>1.277997</v>
      </c>
      <c r="CP26">
        <v>1.4022859999999999</v>
      </c>
      <c r="CQ26">
        <v>1.183878</v>
      </c>
      <c r="CR26">
        <v>0.93169069999999998</v>
      </c>
      <c r="CS26">
        <v>1.226667</v>
      </c>
      <c r="CT26">
        <v>1.240119</v>
      </c>
      <c r="CU26">
        <v>1.2933269999999999</v>
      </c>
      <c r="CW26">
        <f t="shared" si="4"/>
        <v>607548.68435839389</v>
      </c>
      <c r="CX26">
        <f t="shared" si="10"/>
        <v>2.9186810963153675E-2</v>
      </c>
      <c r="CY26">
        <f t="shared" si="11"/>
        <v>4.5537378187286315E-2</v>
      </c>
      <c r="CZ26">
        <f t="shared" si="12"/>
        <v>-3.2303063362910667E-3</v>
      </c>
      <c r="DA26">
        <f t="shared" si="13"/>
        <v>1.1130120540272258E-2</v>
      </c>
      <c r="DB26">
        <f t="shared" si="5"/>
        <v>1.1130120540272258E-2</v>
      </c>
      <c r="DC26" s="12">
        <f t="shared" si="6"/>
        <v>0.9117068637998198</v>
      </c>
      <c r="DD26" s="4">
        <f t="shared" si="7"/>
        <v>1.0649607057476358</v>
      </c>
      <c r="DE26" s="4">
        <f t="shared" si="8"/>
        <v>0.33652937784576492</v>
      </c>
      <c r="DF26" s="4">
        <f t="shared" si="9"/>
        <v>0.25721866818754396</v>
      </c>
      <c r="DG26" s="13">
        <f t="shared" si="14"/>
        <v>0.25721866818754396</v>
      </c>
      <c r="DH26" s="4">
        <f t="shared" si="0"/>
        <v>2.4885665545367908</v>
      </c>
      <c r="DI26" s="4">
        <f t="shared" si="1"/>
        <v>1.2933279055098663</v>
      </c>
      <c r="DJ26" s="4">
        <f t="shared" si="2"/>
        <v>2.9007250000000004</v>
      </c>
      <c r="DK26" s="4">
        <f t="shared" si="3"/>
        <v>1.40008</v>
      </c>
      <c r="DM26" s="4"/>
      <c r="DN26" s="17"/>
    </row>
    <row r="27" spans="1:118" x14ac:dyDescent="0.3">
      <c r="A27">
        <v>1972</v>
      </c>
      <c r="B27">
        <v>209924</v>
      </c>
      <c r="C27">
        <v>1279110</v>
      </c>
      <c r="D27">
        <v>2.6455649999999999</v>
      </c>
      <c r="E27">
        <v>1.936944</v>
      </c>
      <c r="F27">
        <v>768153</v>
      </c>
      <c r="G27">
        <v>228140</v>
      </c>
      <c r="H27">
        <v>225498</v>
      </c>
      <c r="I27">
        <v>60691</v>
      </c>
      <c r="J27">
        <v>-3372</v>
      </c>
      <c r="K27">
        <v>1248337</v>
      </c>
      <c r="L27">
        <v>419217.6</v>
      </c>
      <c r="M27">
        <v>829119</v>
      </c>
      <c r="N27">
        <v>1.9750920000000001</v>
      </c>
      <c r="O27">
        <v>1.6121909999999999</v>
      </c>
      <c r="P27">
        <v>2.240828</v>
      </c>
      <c r="Q27">
        <v>170733</v>
      </c>
      <c r="R27">
        <v>243396</v>
      </c>
      <c r="S27">
        <v>108991</v>
      </c>
      <c r="T27">
        <v>725216.6</v>
      </c>
      <c r="U27">
        <v>709898.75</v>
      </c>
      <c r="V27">
        <v>274307.28000000003</v>
      </c>
      <c r="W27">
        <v>435591.44</v>
      </c>
      <c r="X27">
        <v>0.56711230000000001</v>
      </c>
      <c r="Y27">
        <v>2.5888840000000002</v>
      </c>
      <c r="Z27">
        <v>2.570112</v>
      </c>
      <c r="AA27">
        <v>2.5881479999999999</v>
      </c>
      <c r="AB27">
        <v>3.020489</v>
      </c>
      <c r="AC27">
        <v>2.8997069999999998</v>
      </c>
      <c r="AD27">
        <v>3.0582799999999999</v>
      </c>
      <c r="AE27">
        <v>1.4323699999999999</v>
      </c>
      <c r="AF27">
        <v>1.2160599999999999</v>
      </c>
      <c r="AG27">
        <v>1.635891</v>
      </c>
      <c r="AH27">
        <v>0.65364359999999999</v>
      </c>
      <c r="AI27">
        <v>0.52352860000000001</v>
      </c>
      <c r="AJ27">
        <v>968612.6</v>
      </c>
      <c r="AK27">
        <v>366917</v>
      </c>
      <c r="AL27">
        <v>601695.6</v>
      </c>
      <c r="AM27">
        <v>2.5037530000000001</v>
      </c>
      <c r="AN27">
        <v>1.9353070000000001</v>
      </c>
      <c r="AO27">
        <v>2.2106050000000002</v>
      </c>
      <c r="AP27">
        <v>1.571105</v>
      </c>
      <c r="AQ27">
        <v>2.71245</v>
      </c>
      <c r="AR27">
        <v>2.3535400000000002</v>
      </c>
      <c r="AS27">
        <v>279724</v>
      </c>
      <c r="AT27">
        <v>3.2868560000000002</v>
      </c>
      <c r="AU27">
        <v>1.9624090000000001</v>
      </c>
      <c r="AV27">
        <v>0.61036239999999997</v>
      </c>
      <c r="AW27">
        <v>0.38963759999999997</v>
      </c>
      <c r="AX27">
        <v>0.25128309999999998</v>
      </c>
      <c r="AY27">
        <v>0.74871690000000002</v>
      </c>
      <c r="AZ27">
        <v>4.6141110000000003</v>
      </c>
      <c r="BA27">
        <v>0.56897929999999997</v>
      </c>
      <c r="BB27">
        <v>0.43102069999999998</v>
      </c>
      <c r="BC27">
        <v>0.64724230000000005</v>
      </c>
      <c r="BD27">
        <v>0</v>
      </c>
      <c r="BE27">
        <v>2.630671</v>
      </c>
      <c r="BF27">
        <v>2.630671</v>
      </c>
      <c r="BG27">
        <v>1</v>
      </c>
      <c r="BH27">
        <v>0.83056479999999999</v>
      </c>
      <c r="BI27">
        <v>0.22812370000000001</v>
      </c>
      <c r="BJ27">
        <v>0.77187629999999996</v>
      </c>
      <c r="BK27">
        <v>0.29117480000000001</v>
      </c>
      <c r="BL27" s="1">
        <v>3.9300000000000004E-15</v>
      </c>
      <c r="BM27">
        <v>2.3445170000000002</v>
      </c>
      <c r="BN27">
        <v>2.3445170000000002</v>
      </c>
      <c r="BO27">
        <v>1</v>
      </c>
      <c r="BP27">
        <v>0.44890160000000001</v>
      </c>
      <c r="BQ27">
        <v>0.2359077</v>
      </c>
      <c r="BR27">
        <v>0.76409229999999995</v>
      </c>
      <c r="BS27">
        <v>0.55497370000000001</v>
      </c>
      <c r="BT27">
        <v>0.69686530000000002</v>
      </c>
      <c r="BU27">
        <v>0.44306980000000001</v>
      </c>
      <c r="BV27">
        <v>1.9151279999999999</v>
      </c>
      <c r="BW27">
        <v>2.6055609999999998</v>
      </c>
      <c r="BX27">
        <v>1.3605160000000001</v>
      </c>
      <c r="BY27">
        <v>0</v>
      </c>
      <c r="BZ27">
        <v>0.61014480000000004</v>
      </c>
      <c r="CA27">
        <v>0.38985520000000001</v>
      </c>
      <c r="CB27">
        <v>0.2518801</v>
      </c>
      <c r="CC27">
        <v>0.7481198</v>
      </c>
      <c r="CD27">
        <v>3.8192879999999998</v>
      </c>
      <c r="CE27">
        <v>3.1100910000000002</v>
      </c>
      <c r="CF27">
        <v>2.1017980000000001</v>
      </c>
      <c r="CG27">
        <v>2.5100069999999999</v>
      </c>
      <c r="CH27">
        <v>1.3899269999999999</v>
      </c>
      <c r="CI27">
        <v>1.1418759999999999</v>
      </c>
      <c r="CJ27">
        <v>0.82153670000000001</v>
      </c>
      <c r="CK27">
        <v>0.98618919999999999</v>
      </c>
      <c r="CL27">
        <v>0.56350199999999995</v>
      </c>
      <c r="CM27">
        <v>0.60514999999999997</v>
      </c>
      <c r="CN27">
        <v>0.53786230000000002</v>
      </c>
      <c r="CO27">
        <v>1.3050349999999999</v>
      </c>
      <c r="CP27">
        <v>1.4463159999999999</v>
      </c>
      <c r="CQ27">
        <v>1.204005</v>
      </c>
      <c r="CR27">
        <v>0.9237805</v>
      </c>
      <c r="CS27">
        <v>1.247512</v>
      </c>
      <c r="CT27">
        <v>1.2657510000000001</v>
      </c>
      <c r="CU27">
        <v>1.3134699999999999</v>
      </c>
      <c r="CW27">
        <f t="shared" si="4"/>
        <v>636124.78336575092</v>
      </c>
      <c r="CX27">
        <f t="shared" si="10"/>
        <v>4.5962433490672083E-2</v>
      </c>
      <c r="CY27">
        <f t="shared" si="11"/>
        <v>4.0458033061229637E-2</v>
      </c>
      <c r="CZ27">
        <f t="shared" si="12"/>
        <v>2.280103720662241E-2</v>
      </c>
      <c r="DA27">
        <f t="shared" si="13"/>
        <v>1.5454152907505327E-2</v>
      </c>
      <c r="DB27">
        <f t="shared" si="5"/>
        <v>1.5454152907505327E-2</v>
      </c>
      <c r="DC27" s="12">
        <f t="shared" si="6"/>
        <v>0.95766929729049188</v>
      </c>
      <c r="DD27" s="4">
        <f t="shared" si="7"/>
        <v>1.1054187388088654</v>
      </c>
      <c r="DE27" s="4">
        <f t="shared" si="8"/>
        <v>0.35933041505238733</v>
      </c>
      <c r="DF27" s="4">
        <f t="shared" si="9"/>
        <v>0.27267282109504931</v>
      </c>
      <c r="DG27" s="13">
        <f t="shared" si="14"/>
        <v>0.27267282109504931</v>
      </c>
      <c r="DH27" s="4">
        <f t="shared" si="0"/>
        <v>2.6056164734645879</v>
      </c>
      <c r="DI27" s="4">
        <f t="shared" si="1"/>
        <v>1.3134704346976604</v>
      </c>
      <c r="DJ27" s="4">
        <f t="shared" si="2"/>
        <v>3.0204889999999995</v>
      </c>
      <c r="DK27" s="4">
        <f t="shared" si="3"/>
        <v>1.4323699999999999</v>
      </c>
      <c r="DM27" s="4"/>
      <c r="DN27" s="17"/>
    </row>
    <row r="28" spans="1:118" x14ac:dyDescent="0.3">
      <c r="A28">
        <v>1973</v>
      </c>
      <c r="B28">
        <v>211939</v>
      </c>
      <c r="C28">
        <v>1425376</v>
      </c>
      <c r="D28">
        <v>2.7949229999999998</v>
      </c>
      <c r="E28">
        <v>2.043088</v>
      </c>
      <c r="F28">
        <v>849575</v>
      </c>
      <c r="G28">
        <v>266925</v>
      </c>
      <c r="H28">
        <v>239125</v>
      </c>
      <c r="I28">
        <v>65640</v>
      </c>
      <c r="J28">
        <v>4111</v>
      </c>
      <c r="K28">
        <v>1389187</v>
      </c>
      <c r="L28">
        <v>480564</v>
      </c>
      <c r="M28">
        <v>908622.8</v>
      </c>
      <c r="N28">
        <v>2.0898289999999999</v>
      </c>
      <c r="O28">
        <v>1.744631</v>
      </c>
      <c r="P28">
        <v>2.3435980000000001</v>
      </c>
      <c r="Q28">
        <v>194387</v>
      </c>
      <c r="R28">
        <v>279080</v>
      </c>
      <c r="S28">
        <v>122301</v>
      </c>
      <c r="T28">
        <v>793418.8</v>
      </c>
      <c r="U28">
        <v>795746.81</v>
      </c>
      <c r="V28">
        <v>314278.88</v>
      </c>
      <c r="W28">
        <v>481467.91</v>
      </c>
      <c r="X28">
        <v>0.57074530000000001</v>
      </c>
      <c r="Y28">
        <v>2.7228140000000001</v>
      </c>
      <c r="Z28">
        <v>2.7225549999999998</v>
      </c>
      <c r="AA28">
        <v>2.7119469999999999</v>
      </c>
      <c r="AB28">
        <v>3.152692</v>
      </c>
      <c r="AC28">
        <v>3.0202270000000002</v>
      </c>
      <c r="AD28">
        <v>3.194696</v>
      </c>
      <c r="AE28">
        <v>1.4917739999999999</v>
      </c>
      <c r="AF28">
        <v>1.281404</v>
      </c>
      <c r="AG28">
        <v>1.6909970000000001</v>
      </c>
      <c r="AH28">
        <v>0.65415540000000005</v>
      </c>
      <c r="AI28">
        <v>0.52762710000000002</v>
      </c>
      <c r="AJ28">
        <v>1072499</v>
      </c>
      <c r="AK28">
        <v>422195</v>
      </c>
      <c r="AL28">
        <v>650303.80000000005</v>
      </c>
      <c r="AM28">
        <v>2.6350899999999999</v>
      </c>
      <c r="AN28">
        <v>2.0399620000000001</v>
      </c>
      <c r="AO28">
        <v>2.381955</v>
      </c>
      <c r="AP28">
        <v>1.6809609999999999</v>
      </c>
      <c r="AQ28">
        <v>2.7892519999999998</v>
      </c>
      <c r="AR28">
        <v>2.4783590000000002</v>
      </c>
      <c r="AS28">
        <v>316688</v>
      </c>
      <c r="AT28">
        <v>3.5193150000000002</v>
      </c>
      <c r="AU28">
        <v>2.07498</v>
      </c>
      <c r="AV28">
        <v>0.61381229999999998</v>
      </c>
      <c r="AW28">
        <v>0.38618770000000002</v>
      </c>
      <c r="AX28">
        <v>0.26021470000000002</v>
      </c>
      <c r="AY28">
        <v>0.73978529999999998</v>
      </c>
      <c r="AZ28">
        <v>5.0604120000000004</v>
      </c>
      <c r="BA28">
        <v>0.57732329999999998</v>
      </c>
      <c r="BB28">
        <v>0.42267670000000002</v>
      </c>
      <c r="BC28">
        <v>0.64724230000000005</v>
      </c>
      <c r="BD28">
        <v>0</v>
      </c>
      <c r="BE28">
        <v>2.7311700000000001</v>
      </c>
      <c r="BF28">
        <v>2.7311700000000001</v>
      </c>
      <c r="BG28">
        <v>1</v>
      </c>
      <c r="BH28">
        <v>0.83056479999999999</v>
      </c>
      <c r="BI28">
        <v>0.234185</v>
      </c>
      <c r="BJ28">
        <v>0.76581500000000002</v>
      </c>
      <c r="BK28">
        <v>0.29117480000000001</v>
      </c>
      <c r="BL28" s="1">
        <v>3.9300000000000004E-15</v>
      </c>
      <c r="BM28">
        <v>2.4626450000000002</v>
      </c>
      <c r="BN28">
        <v>2.4626440000000001</v>
      </c>
      <c r="BO28">
        <v>0.99999990000000005</v>
      </c>
      <c r="BP28">
        <v>0.44890160000000001</v>
      </c>
      <c r="BQ28">
        <v>0.23529839999999999</v>
      </c>
      <c r="BR28">
        <v>0.76470150000000003</v>
      </c>
      <c r="BS28">
        <v>0.55497370000000001</v>
      </c>
      <c r="BT28">
        <v>0.69686530000000002</v>
      </c>
      <c r="BU28">
        <v>0.44306980000000001</v>
      </c>
      <c r="BV28">
        <v>1.954494</v>
      </c>
      <c r="BW28">
        <v>2.7607020000000002</v>
      </c>
      <c r="BX28">
        <v>1.41249</v>
      </c>
      <c r="BY28">
        <v>0</v>
      </c>
      <c r="BZ28">
        <v>0.61208739999999995</v>
      </c>
      <c r="CA28">
        <v>0.3879127</v>
      </c>
      <c r="CB28">
        <v>0.2557489</v>
      </c>
      <c r="CC28">
        <v>0.74425110000000005</v>
      </c>
      <c r="CD28">
        <v>4.0183249999999999</v>
      </c>
      <c r="CE28">
        <v>3.336859</v>
      </c>
      <c r="CF28">
        <v>2.2269950000000001</v>
      </c>
      <c r="CG28">
        <v>2.6256390000000001</v>
      </c>
      <c r="CH28">
        <v>1.3433200000000001</v>
      </c>
      <c r="CI28">
        <v>1.1294550000000001</v>
      </c>
      <c r="CJ28">
        <v>0.84079400000000004</v>
      </c>
      <c r="CK28">
        <v>0.98312319999999997</v>
      </c>
      <c r="CL28">
        <v>0.56350199999999995</v>
      </c>
      <c r="CM28">
        <v>0.60514999999999997</v>
      </c>
      <c r="CN28">
        <v>0.53786230000000002</v>
      </c>
      <c r="CO28">
        <v>1.3166260000000001</v>
      </c>
      <c r="CP28">
        <v>1.4613659999999999</v>
      </c>
      <c r="CQ28">
        <v>1.214898</v>
      </c>
      <c r="CR28">
        <v>0.93300810000000001</v>
      </c>
      <c r="CS28">
        <v>1.2724070000000001</v>
      </c>
      <c r="CT28">
        <v>1.277641</v>
      </c>
      <c r="CU28">
        <v>1.3260479999999999</v>
      </c>
      <c r="CW28">
        <f t="shared" si="4"/>
        <v>669494.16379916912</v>
      </c>
      <c r="CX28">
        <f t="shared" si="10"/>
        <v>5.1127703484327824E-2</v>
      </c>
      <c r="CY28">
        <f t="shared" si="11"/>
        <v>4.283795223790543E-2</v>
      </c>
      <c r="CZ28">
        <f t="shared" si="12"/>
        <v>4.0635600724925225E-2</v>
      </c>
      <c r="DA28">
        <f t="shared" si="13"/>
        <v>9.5307807286897639E-3</v>
      </c>
      <c r="DB28">
        <f t="shared" si="5"/>
        <v>9.5307807286897639E-3</v>
      </c>
      <c r="DC28" s="12">
        <f t="shared" si="6"/>
        <v>1.0087970007748197</v>
      </c>
      <c r="DD28" s="4">
        <f t="shared" si="7"/>
        <v>1.1482566910467709</v>
      </c>
      <c r="DE28" s="4">
        <f t="shared" si="8"/>
        <v>0.39996601577731256</v>
      </c>
      <c r="DF28" s="4">
        <f t="shared" si="9"/>
        <v>0.28220360182373905</v>
      </c>
      <c r="DG28" s="13">
        <f t="shared" si="14"/>
        <v>0.28220360182373905</v>
      </c>
      <c r="DH28" s="4">
        <f t="shared" si="0"/>
        <v>2.74230004505345</v>
      </c>
      <c r="DI28" s="4">
        <f t="shared" si="1"/>
        <v>1.3260486784331391</v>
      </c>
      <c r="DJ28" s="4">
        <f t="shared" si="2"/>
        <v>3.1526920000000005</v>
      </c>
      <c r="DK28" s="4">
        <f t="shared" si="3"/>
        <v>1.4917739999999999</v>
      </c>
      <c r="DM28" s="4"/>
      <c r="DN28" s="17"/>
    </row>
    <row r="29" spans="1:118" x14ac:dyDescent="0.3">
      <c r="A29">
        <v>1974</v>
      </c>
      <c r="B29">
        <v>213898</v>
      </c>
      <c r="C29">
        <v>1545243</v>
      </c>
      <c r="D29">
        <v>2.7798349999999998</v>
      </c>
      <c r="E29">
        <v>2.2269230000000002</v>
      </c>
      <c r="F29">
        <v>930161</v>
      </c>
      <c r="G29">
        <v>274526</v>
      </c>
      <c r="H29">
        <v>265205</v>
      </c>
      <c r="I29">
        <v>76166</v>
      </c>
      <c r="J29">
        <v>-815</v>
      </c>
      <c r="K29">
        <v>1507131</v>
      </c>
      <c r="L29">
        <v>511066.2</v>
      </c>
      <c r="M29">
        <v>996064.8</v>
      </c>
      <c r="N29">
        <v>2.2835109999999998</v>
      </c>
      <c r="O29">
        <v>1.9699660000000001</v>
      </c>
      <c r="P29">
        <v>2.5173580000000002</v>
      </c>
      <c r="Q29">
        <v>206592</v>
      </c>
      <c r="R29">
        <v>297784</v>
      </c>
      <c r="S29">
        <v>130110</v>
      </c>
      <c r="T29">
        <v>872645</v>
      </c>
      <c r="U29">
        <v>839624.31</v>
      </c>
      <c r="V29">
        <v>328322.81</v>
      </c>
      <c r="W29">
        <v>511301.53</v>
      </c>
      <c r="X29">
        <v>0.56495799999999996</v>
      </c>
      <c r="Y29">
        <v>2.703436</v>
      </c>
      <c r="Z29">
        <v>2.5641729999999998</v>
      </c>
      <c r="AA29">
        <v>2.767728</v>
      </c>
      <c r="AB29">
        <v>3.2913749999999999</v>
      </c>
      <c r="AC29">
        <v>3.157635</v>
      </c>
      <c r="AD29">
        <v>3.3333840000000001</v>
      </c>
      <c r="AE29">
        <v>1.488192</v>
      </c>
      <c r="AF29">
        <v>1.2593810000000001</v>
      </c>
      <c r="AG29">
        <v>1.7033240000000001</v>
      </c>
      <c r="AH29">
        <v>0.64820319999999998</v>
      </c>
      <c r="AI29">
        <v>0.52160450000000003</v>
      </c>
      <c r="AJ29">
        <v>1170429</v>
      </c>
      <c r="AK29">
        <v>449854</v>
      </c>
      <c r="AL29">
        <v>720575</v>
      </c>
      <c r="AM29">
        <v>2.6464110000000001</v>
      </c>
      <c r="AN29">
        <v>2.2141769999999998</v>
      </c>
      <c r="AO29">
        <v>2.347391</v>
      </c>
      <c r="AP29">
        <v>1.8153809999999999</v>
      </c>
      <c r="AQ29">
        <v>2.849777</v>
      </c>
      <c r="AR29">
        <v>2.6847799999999999</v>
      </c>
      <c r="AS29">
        <v>336702</v>
      </c>
      <c r="AT29">
        <v>3.3820250000000001</v>
      </c>
      <c r="AU29">
        <v>2.2956699999999999</v>
      </c>
      <c r="AV29">
        <v>0.61357519999999999</v>
      </c>
      <c r="AW29">
        <v>0.38642480000000001</v>
      </c>
      <c r="AX29">
        <v>0.25442300000000001</v>
      </c>
      <c r="AY29">
        <v>0.74557700000000005</v>
      </c>
      <c r="AZ29">
        <v>5.471902</v>
      </c>
      <c r="BA29">
        <v>0.58946299999999996</v>
      </c>
      <c r="BB29">
        <v>0.41053699999999999</v>
      </c>
      <c r="BC29">
        <v>0.64724230000000005</v>
      </c>
      <c r="BD29">
        <v>0</v>
      </c>
      <c r="BE29">
        <v>2.6951269999999998</v>
      </c>
      <c r="BF29">
        <v>2.6951269999999998</v>
      </c>
      <c r="BG29">
        <v>1</v>
      </c>
      <c r="BH29">
        <v>0.83056479999999999</v>
      </c>
      <c r="BI29">
        <v>0.2432619</v>
      </c>
      <c r="BJ29">
        <v>0.75673809999999997</v>
      </c>
      <c r="BK29">
        <v>0.29117480000000001</v>
      </c>
      <c r="BL29" s="1">
        <v>3.9300000000000004E-15</v>
      </c>
      <c r="BM29">
        <v>2.47235</v>
      </c>
      <c r="BN29">
        <v>2.47235</v>
      </c>
      <c r="BO29">
        <v>1</v>
      </c>
      <c r="BP29">
        <v>0.44890160000000001</v>
      </c>
      <c r="BQ29">
        <v>0.2427349</v>
      </c>
      <c r="BR29">
        <v>0.75726510000000002</v>
      </c>
      <c r="BS29">
        <v>0.55497370000000001</v>
      </c>
      <c r="BT29">
        <v>0.69686530000000002</v>
      </c>
      <c r="BU29">
        <v>0.44306980000000001</v>
      </c>
      <c r="BV29">
        <v>1.94868</v>
      </c>
      <c r="BW29">
        <v>2.7775509999999999</v>
      </c>
      <c r="BX29">
        <v>1.4253499999999999</v>
      </c>
      <c r="BY29">
        <v>0</v>
      </c>
      <c r="BZ29">
        <v>0.61369379999999996</v>
      </c>
      <c r="CA29">
        <v>0.38630619999999999</v>
      </c>
      <c r="CB29">
        <v>0.25731890000000002</v>
      </c>
      <c r="CC29">
        <v>0.74268109999999998</v>
      </c>
      <c r="CD29">
        <v>3.782127</v>
      </c>
      <c r="CE29">
        <v>3.304888</v>
      </c>
      <c r="CF29">
        <v>2.104441</v>
      </c>
      <c r="CG29">
        <v>2.6884890000000001</v>
      </c>
      <c r="CH29">
        <v>1.277868</v>
      </c>
      <c r="CI29">
        <v>1.096568</v>
      </c>
      <c r="CJ29">
        <v>0.85812250000000001</v>
      </c>
      <c r="CK29">
        <v>0.9645011</v>
      </c>
      <c r="CL29">
        <v>0.56350199999999995</v>
      </c>
      <c r="CM29">
        <v>0.60514999999999997</v>
      </c>
      <c r="CN29">
        <v>0.53786230000000002</v>
      </c>
      <c r="CO29">
        <v>1.2846599999999999</v>
      </c>
      <c r="CP29">
        <v>1.3631329999999999</v>
      </c>
      <c r="CQ29">
        <v>1.2121280000000001</v>
      </c>
      <c r="CR29">
        <v>0.93403879999999995</v>
      </c>
      <c r="CS29">
        <v>1.219622</v>
      </c>
      <c r="CT29">
        <v>1.2525299999999999</v>
      </c>
      <c r="CU29">
        <v>1.2778560000000001</v>
      </c>
      <c r="CW29">
        <f t="shared" si="4"/>
        <v>656510.2998253234</v>
      </c>
      <c r="CX29">
        <f t="shared" si="10"/>
        <v>-1.958406522537004E-2</v>
      </c>
      <c r="CY29">
        <f t="shared" si="11"/>
        <v>4.3048719551483483E-2</v>
      </c>
      <c r="CZ29">
        <f t="shared" si="12"/>
        <v>-2.4040554322937169E-3</v>
      </c>
      <c r="DA29">
        <f t="shared" si="13"/>
        <v>-3.7020055167945105E-2</v>
      </c>
      <c r="DB29">
        <f t="shared" si="5"/>
        <v>-3.7020055167945105E-2</v>
      </c>
      <c r="DC29" s="12">
        <f t="shared" si="6"/>
        <v>0.98921293554944967</v>
      </c>
      <c r="DD29" s="4">
        <f t="shared" si="7"/>
        <v>1.1913054105982543</v>
      </c>
      <c r="DE29" s="4">
        <f t="shared" si="8"/>
        <v>0.39756196034501884</v>
      </c>
      <c r="DF29" s="4">
        <f t="shared" si="9"/>
        <v>0.24518354665579395</v>
      </c>
      <c r="DG29" s="13">
        <f t="shared" si="14"/>
        <v>0.24518354665579395</v>
      </c>
      <c r="DH29" s="4">
        <f t="shared" si="0"/>
        <v>2.6891171307194464</v>
      </c>
      <c r="DI29" s="4">
        <f t="shared" si="1"/>
        <v>1.2778558378467448</v>
      </c>
      <c r="DJ29" s="4">
        <f t="shared" si="2"/>
        <v>3.2913749999999999</v>
      </c>
      <c r="DK29" s="4">
        <f t="shared" si="3"/>
        <v>1.488192</v>
      </c>
      <c r="DM29" s="4"/>
      <c r="DN29" s="17"/>
    </row>
    <row r="30" spans="1:118" x14ac:dyDescent="0.3">
      <c r="A30">
        <v>1975</v>
      </c>
      <c r="B30">
        <v>215981</v>
      </c>
      <c r="C30">
        <v>1684904</v>
      </c>
      <c r="D30">
        <v>2.7740879999999999</v>
      </c>
      <c r="E30">
        <v>2.433227</v>
      </c>
      <c r="F30">
        <v>1030547</v>
      </c>
      <c r="G30">
        <v>257253</v>
      </c>
      <c r="H30">
        <v>296725</v>
      </c>
      <c r="I30">
        <v>84403</v>
      </c>
      <c r="J30">
        <v>15977</v>
      </c>
      <c r="K30">
        <v>1637062</v>
      </c>
      <c r="L30">
        <v>545225.30000000005</v>
      </c>
      <c r="M30">
        <v>1091837</v>
      </c>
      <c r="N30">
        <v>2.4887130000000002</v>
      </c>
      <c r="O30">
        <v>2.2042199999999998</v>
      </c>
      <c r="P30">
        <v>2.7072829999999999</v>
      </c>
      <c r="Q30">
        <v>210506</v>
      </c>
      <c r="R30">
        <v>326650</v>
      </c>
      <c r="S30">
        <v>137406</v>
      </c>
      <c r="T30">
        <v>962500.3</v>
      </c>
      <c r="U30">
        <v>911870.06</v>
      </c>
      <c r="V30">
        <v>342504.88</v>
      </c>
      <c r="W30">
        <v>569365.18999999994</v>
      </c>
      <c r="X30">
        <v>0.55705859999999996</v>
      </c>
      <c r="Y30">
        <v>2.6943779999999999</v>
      </c>
      <c r="Z30">
        <v>2.4448379999999998</v>
      </c>
      <c r="AA30">
        <v>2.8210109999999999</v>
      </c>
      <c r="AB30">
        <v>3.4009369999999999</v>
      </c>
      <c r="AC30">
        <v>3.2862990000000001</v>
      </c>
      <c r="AD30">
        <v>3.4348800000000002</v>
      </c>
      <c r="AE30">
        <v>1.448504</v>
      </c>
      <c r="AF30">
        <v>1.1641680000000001</v>
      </c>
      <c r="AG30">
        <v>1.7119180000000001</v>
      </c>
      <c r="AH30">
        <v>0.6353084</v>
      </c>
      <c r="AI30">
        <v>0.51739809999999997</v>
      </c>
      <c r="AJ30">
        <v>1289150</v>
      </c>
      <c r="AK30">
        <v>480728</v>
      </c>
      <c r="AL30">
        <v>808422.3</v>
      </c>
      <c r="AM30">
        <v>2.6939380000000002</v>
      </c>
      <c r="AN30">
        <v>2.406298</v>
      </c>
      <c r="AO30">
        <v>2.4205299999999998</v>
      </c>
      <c r="AP30">
        <v>1.8896409999999999</v>
      </c>
      <c r="AQ30">
        <v>2.952528</v>
      </c>
      <c r="AR30">
        <v>2.9200719999999998</v>
      </c>
      <c r="AS30">
        <v>347912</v>
      </c>
      <c r="AT30">
        <v>3.1350380000000002</v>
      </c>
      <c r="AU30">
        <v>2.5589819999999999</v>
      </c>
      <c r="AV30">
        <v>0.60505529999999996</v>
      </c>
      <c r="AW30">
        <v>0.39494469999999998</v>
      </c>
      <c r="AX30">
        <v>0.253384</v>
      </c>
      <c r="AY30">
        <v>0.7466161</v>
      </c>
      <c r="AZ30">
        <v>5.9688129999999999</v>
      </c>
      <c r="BA30">
        <v>0.59901610000000005</v>
      </c>
      <c r="BB30">
        <v>0.4009839</v>
      </c>
      <c r="BC30">
        <v>0.64724230000000005</v>
      </c>
      <c r="BD30">
        <v>0</v>
      </c>
      <c r="BE30">
        <v>2.6960229999999998</v>
      </c>
      <c r="BF30">
        <v>2.6960229999999998</v>
      </c>
      <c r="BG30">
        <v>1</v>
      </c>
      <c r="BH30">
        <v>0.83056479999999999</v>
      </c>
      <c r="BI30">
        <v>0.25062960000000001</v>
      </c>
      <c r="BJ30">
        <v>0.74937039999999999</v>
      </c>
      <c r="BK30">
        <v>0.29117480000000001</v>
      </c>
      <c r="BL30" s="1">
        <v>3.9300000000000004E-15</v>
      </c>
      <c r="BM30">
        <v>2.5074399999999999</v>
      </c>
      <c r="BN30">
        <v>2.5074399999999999</v>
      </c>
      <c r="BO30">
        <v>1</v>
      </c>
      <c r="BP30">
        <v>0.44890160000000001</v>
      </c>
      <c r="BQ30">
        <v>0.2475735</v>
      </c>
      <c r="BR30">
        <v>0.75242640000000005</v>
      </c>
      <c r="BS30">
        <v>0.55497370000000001</v>
      </c>
      <c r="BT30">
        <v>0.69686530000000002</v>
      </c>
      <c r="BU30">
        <v>0.44306980000000001</v>
      </c>
      <c r="BV30">
        <v>1.9564779999999999</v>
      </c>
      <c r="BW30">
        <v>2.826492</v>
      </c>
      <c r="BX30">
        <v>1.4446840000000001</v>
      </c>
      <c r="BY30">
        <v>0</v>
      </c>
      <c r="BZ30">
        <v>0.6093153</v>
      </c>
      <c r="CA30">
        <v>0.3906848</v>
      </c>
      <c r="CB30">
        <v>0.2539034</v>
      </c>
      <c r="CC30">
        <v>0.7460966</v>
      </c>
      <c r="CD30">
        <v>3.4442210000000002</v>
      </c>
      <c r="CE30">
        <v>3.2453609999999999</v>
      </c>
      <c r="CF30">
        <v>2.0631080000000002</v>
      </c>
      <c r="CG30">
        <v>2.7572920000000001</v>
      </c>
      <c r="CH30">
        <v>1.2282280000000001</v>
      </c>
      <c r="CI30">
        <v>1.0579529999999999</v>
      </c>
      <c r="CJ30">
        <v>0.86136590000000002</v>
      </c>
      <c r="CK30">
        <v>0.94033409999999995</v>
      </c>
      <c r="CL30">
        <v>0.56350199999999995</v>
      </c>
      <c r="CM30">
        <v>0.60514999999999997</v>
      </c>
      <c r="CN30">
        <v>0.53786230000000002</v>
      </c>
      <c r="CO30">
        <v>1.281558</v>
      </c>
      <c r="CP30">
        <v>1.3350839999999999</v>
      </c>
      <c r="CQ30">
        <v>1.21594</v>
      </c>
      <c r="CR30">
        <v>0.92316759999999998</v>
      </c>
      <c r="CS30">
        <v>1.1913279999999999</v>
      </c>
      <c r="CT30">
        <v>1.2483789999999999</v>
      </c>
      <c r="CU30">
        <v>1.246367</v>
      </c>
      <c r="CW30">
        <f t="shared" si="4"/>
        <v>639731.73707357072</v>
      </c>
      <c r="CX30">
        <f t="shared" si="10"/>
        <v>-2.588945495622319E-2</v>
      </c>
      <c r="CY30">
        <f t="shared" si="11"/>
        <v>3.2745571291693087E-2</v>
      </c>
      <c r="CZ30">
        <f t="shared" si="12"/>
        <v>-2.7030660644173254E-2</v>
      </c>
      <c r="DA30">
        <f t="shared" si="13"/>
        <v>-2.4950999999591727E-2</v>
      </c>
      <c r="DB30">
        <f t="shared" si="5"/>
        <v>-2.4950999999591727E-2</v>
      </c>
      <c r="DC30" s="12">
        <f t="shared" si="6"/>
        <v>0.96332348059322648</v>
      </c>
      <c r="DD30" s="4">
        <f t="shared" si="7"/>
        <v>1.2240509818899474</v>
      </c>
      <c r="DE30" s="4">
        <f t="shared" si="8"/>
        <v>0.37053129970084558</v>
      </c>
      <c r="DF30" s="4">
        <f t="shared" si="9"/>
        <v>0.22023254665620223</v>
      </c>
      <c r="DG30" s="13">
        <f t="shared" si="14"/>
        <v>0.22023254665620223</v>
      </c>
      <c r="DH30" s="4">
        <f t="shared" si="0"/>
        <v>2.6203908357373349</v>
      </c>
      <c r="DI30" s="4">
        <f t="shared" si="1"/>
        <v>1.246366535259698</v>
      </c>
      <c r="DJ30" s="4">
        <f t="shared" si="2"/>
        <v>3.4009369999999994</v>
      </c>
      <c r="DK30" s="4">
        <f t="shared" si="3"/>
        <v>1.448504</v>
      </c>
      <c r="DM30" s="4"/>
      <c r="DN30" s="17"/>
    </row>
    <row r="31" spans="1:118" x14ac:dyDescent="0.3">
      <c r="A31">
        <v>1976</v>
      </c>
      <c r="B31">
        <v>218086</v>
      </c>
      <c r="C31">
        <v>1873412</v>
      </c>
      <c r="D31">
        <v>2.9236049999999998</v>
      </c>
      <c r="E31">
        <v>2.5670959999999998</v>
      </c>
      <c r="F31">
        <v>1147666</v>
      </c>
      <c r="G31">
        <v>323224</v>
      </c>
      <c r="H31">
        <v>314508</v>
      </c>
      <c r="I31">
        <v>89645</v>
      </c>
      <c r="J31">
        <v>-1631</v>
      </c>
      <c r="K31">
        <v>1825310</v>
      </c>
      <c r="L31">
        <v>612529.19999999995</v>
      </c>
      <c r="M31">
        <v>1212781</v>
      </c>
      <c r="N31">
        <v>2.639659</v>
      </c>
      <c r="O31">
        <v>2.309879</v>
      </c>
      <c r="P31">
        <v>2.8889339999999999</v>
      </c>
      <c r="Q31">
        <v>240989</v>
      </c>
      <c r="R31">
        <v>363960</v>
      </c>
      <c r="S31">
        <v>154765</v>
      </c>
      <c r="T31">
        <v>1065596</v>
      </c>
      <c r="U31">
        <v>1030431.8</v>
      </c>
      <c r="V31">
        <v>388488.56</v>
      </c>
      <c r="W31">
        <v>641943.18999999994</v>
      </c>
      <c r="X31">
        <v>0.5607702</v>
      </c>
      <c r="Y31">
        <v>2.8324150000000001</v>
      </c>
      <c r="Z31">
        <v>2.6209980000000002</v>
      </c>
      <c r="AA31">
        <v>2.9364690000000002</v>
      </c>
      <c r="AB31">
        <v>3.4965700000000002</v>
      </c>
      <c r="AC31">
        <v>3.4023219999999998</v>
      </c>
      <c r="AD31">
        <v>3.5218829999999999</v>
      </c>
      <c r="AE31">
        <v>1.49011</v>
      </c>
      <c r="AF31">
        <v>1.2079549999999999</v>
      </c>
      <c r="AG31">
        <v>1.7519720000000001</v>
      </c>
      <c r="AH31">
        <v>0.63121320000000003</v>
      </c>
      <c r="AI31">
        <v>0.52539480000000005</v>
      </c>
      <c r="AJ31">
        <v>1429556</v>
      </c>
      <c r="AK31">
        <v>542034</v>
      </c>
      <c r="AL31">
        <v>887521.9</v>
      </c>
      <c r="AM31">
        <v>2.8206549999999999</v>
      </c>
      <c r="AN31">
        <v>2.53999</v>
      </c>
      <c r="AO31">
        <v>2.506418</v>
      </c>
      <c r="AP31">
        <v>2.050745</v>
      </c>
      <c r="AQ31">
        <v>3.0294150000000002</v>
      </c>
      <c r="AR31">
        <v>3.1139890000000001</v>
      </c>
      <c r="AS31">
        <v>395754</v>
      </c>
      <c r="AT31">
        <v>3.386755</v>
      </c>
      <c r="AU31">
        <v>2.6945239999999999</v>
      </c>
      <c r="AV31">
        <v>0.60893640000000004</v>
      </c>
      <c r="AW31">
        <v>0.39106360000000001</v>
      </c>
      <c r="AX31">
        <v>0.25459660000000001</v>
      </c>
      <c r="AY31">
        <v>0.7454035</v>
      </c>
      <c r="AZ31">
        <v>6.5550100000000002</v>
      </c>
      <c r="BA31">
        <v>0.59465590000000002</v>
      </c>
      <c r="BB31">
        <v>0.40534409999999998</v>
      </c>
      <c r="BC31">
        <v>0.64724230000000005</v>
      </c>
      <c r="BD31">
        <v>0</v>
      </c>
      <c r="BE31">
        <v>2.8321360000000002</v>
      </c>
      <c r="BF31">
        <v>2.8321360000000002</v>
      </c>
      <c r="BG31">
        <v>1</v>
      </c>
      <c r="BH31">
        <v>0.83056479999999999</v>
      </c>
      <c r="BI31">
        <v>0.24724170000000001</v>
      </c>
      <c r="BJ31">
        <v>0.75275829999999999</v>
      </c>
      <c r="BK31">
        <v>0.29117480000000001</v>
      </c>
      <c r="BL31" s="1">
        <v>3.9300000000000004E-15</v>
      </c>
      <c r="BM31">
        <v>2.6174789999999999</v>
      </c>
      <c r="BN31">
        <v>2.6174789999999999</v>
      </c>
      <c r="BO31">
        <v>1</v>
      </c>
      <c r="BP31">
        <v>0.44890160000000001</v>
      </c>
      <c r="BQ31">
        <v>0.2405987</v>
      </c>
      <c r="BR31">
        <v>0.75940129999999995</v>
      </c>
      <c r="BS31">
        <v>0.55497370000000001</v>
      </c>
      <c r="BT31">
        <v>0.69686530000000002</v>
      </c>
      <c r="BU31">
        <v>0.44306980000000001</v>
      </c>
      <c r="BV31">
        <v>2.011997</v>
      </c>
      <c r="BW31">
        <v>2.9644819999999998</v>
      </c>
      <c r="BX31">
        <v>1.473403</v>
      </c>
      <c r="BY31">
        <v>0</v>
      </c>
      <c r="BZ31">
        <v>0.60699579999999997</v>
      </c>
      <c r="CA31">
        <v>0.39300420000000003</v>
      </c>
      <c r="CB31">
        <v>0.2539903</v>
      </c>
      <c r="CC31">
        <v>0.74600979999999995</v>
      </c>
      <c r="CD31">
        <v>3.762613</v>
      </c>
      <c r="CE31">
        <v>3.4255170000000001</v>
      </c>
      <c r="CF31">
        <v>2.1936059999999999</v>
      </c>
      <c r="CG31">
        <v>2.8606880000000001</v>
      </c>
      <c r="CH31">
        <v>1.2506870000000001</v>
      </c>
      <c r="CI31">
        <v>1.0721499999999999</v>
      </c>
      <c r="CJ31">
        <v>0.85724909999999999</v>
      </c>
      <c r="CK31">
        <v>0.94264890000000001</v>
      </c>
      <c r="CL31">
        <v>0.56350199999999995</v>
      </c>
      <c r="CM31">
        <v>0.60514999999999997</v>
      </c>
      <c r="CN31">
        <v>0.53786230000000002</v>
      </c>
      <c r="CO31">
        <v>1.3099339999999999</v>
      </c>
      <c r="CP31">
        <v>1.3807400000000001</v>
      </c>
      <c r="CQ31">
        <v>1.235752</v>
      </c>
      <c r="CR31">
        <v>0.92532159999999997</v>
      </c>
      <c r="CS31">
        <v>1.2268509999999999</v>
      </c>
      <c r="CT31">
        <v>1.2747269999999999</v>
      </c>
      <c r="CU31">
        <v>1.283261</v>
      </c>
      <c r="CW31">
        <f t="shared" si="4"/>
        <v>677414.63798429701</v>
      </c>
      <c r="CX31">
        <f t="shared" si="10"/>
        <v>5.7234621561892851E-2</v>
      </c>
      <c r="CY31">
        <f t="shared" si="11"/>
        <v>2.7731506091459135E-2</v>
      </c>
      <c r="CZ31">
        <f t="shared" si="12"/>
        <v>2.8318643034909552E-2</v>
      </c>
      <c r="DA31">
        <f t="shared" si="13"/>
        <v>2.9172262628525517E-2</v>
      </c>
      <c r="DB31">
        <f t="shared" si="5"/>
        <v>2.9172262628525517E-2</v>
      </c>
      <c r="DC31" s="12">
        <f t="shared" si="6"/>
        <v>1.0205581021551193</v>
      </c>
      <c r="DD31" s="4">
        <f t="shared" si="7"/>
        <v>1.2517824879814066</v>
      </c>
      <c r="DE31" s="4">
        <f t="shared" si="8"/>
        <v>0.39884994273575514</v>
      </c>
      <c r="DF31" s="4">
        <f t="shared" si="9"/>
        <v>0.24940480928472775</v>
      </c>
      <c r="DG31" s="13">
        <f t="shared" si="14"/>
        <v>0.24940480928472775</v>
      </c>
      <c r="DH31" s="4">
        <f t="shared" si="0"/>
        <v>2.7747429219135911</v>
      </c>
      <c r="DI31" s="4">
        <f t="shared" si="1"/>
        <v>1.2832614040707178</v>
      </c>
      <c r="DJ31" s="4">
        <f t="shared" si="2"/>
        <v>3.4965700000000002</v>
      </c>
      <c r="DK31" s="4">
        <f t="shared" si="3"/>
        <v>1.49011</v>
      </c>
      <c r="DM31" s="4"/>
      <c r="DN31" s="17"/>
    </row>
    <row r="32" spans="1:118" x14ac:dyDescent="0.3">
      <c r="A32">
        <v>1977</v>
      </c>
      <c r="B32">
        <v>220289</v>
      </c>
      <c r="C32">
        <v>2081826</v>
      </c>
      <c r="D32">
        <v>3.0587529999999998</v>
      </c>
      <c r="E32">
        <v>2.726639</v>
      </c>
      <c r="F32">
        <v>1273975</v>
      </c>
      <c r="G32">
        <v>396613</v>
      </c>
      <c r="H32">
        <v>341169</v>
      </c>
      <c r="I32">
        <v>93162</v>
      </c>
      <c r="J32">
        <v>-23094</v>
      </c>
      <c r="K32">
        <v>2030516</v>
      </c>
      <c r="L32">
        <v>686541.6</v>
      </c>
      <c r="M32">
        <v>1343975</v>
      </c>
      <c r="N32">
        <v>2.8187859999999998</v>
      </c>
      <c r="O32">
        <v>2.4762170000000001</v>
      </c>
      <c r="P32">
        <v>3.0789019999999998</v>
      </c>
      <c r="Q32">
        <v>284651</v>
      </c>
      <c r="R32">
        <v>394075</v>
      </c>
      <c r="S32">
        <v>182801</v>
      </c>
      <c r="T32">
        <v>1168989</v>
      </c>
      <c r="U32">
        <v>1149704</v>
      </c>
      <c r="V32">
        <v>437670.38</v>
      </c>
      <c r="W32">
        <v>712033.63</v>
      </c>
      <c r="X32">
        <v>0.56536850000000005</v>
      </c>
      <c r="Y32">
        <v>2.950615</v>
      </c>
      <c r="Z32">
        <v>2.7403569999999999</v>
      </c>
      <c r="AA32">
        <v>3.0533459999999999</v>
      </c>
      <c r="AB32">
        <v>3.605124</v>
      </c>
      <c r="AC32">
        <v>3.5186250000000001</v>
      </c>
      <c r="AD32">
        <v>3.6268880000000001</v>
      </c>
      <c r="AE32">
        <v>1.5474870000000001</v>
      </c>
      <c r="AF32">
        <v>1.2612449999999999</v>
      </c>
      <c r="AG32">
        <v>1.813463</v>
      </c>
      <c r="AH32">
        <v>0.63586849999999995</v>
      </c>
      <c r="AI32">
        <v>0.52955600000000003</v>
      </c>
      <c r="AJ32">
        <v>1563064</v>
      </c>
      <c r="AK32">
        <v>579467</v>
      </c>
      <c r="AL32">
        <v>983597.3</v>
      </c>
      <c r="AM32">
        <v>2.90767</v>
      </c>
      <c r="AN32">
        <v>2.691951</v>
      </c>
      <c r="AO32">
        <v>2.5551010000000001</v>
      </c>
      <c r="AP32">
        <v>2.1488870000000002</v>
      </c>
      <c r="AQ32">
        <v>3.1297730000000001</v>
      </c>
      <c r="AR32">
        <v>3.3377629999999998</v>
      </c>
      <c r="AS32">
        <v>467452</v>
      </c>
      <c r="AT32">
        <v>3.7367949999999999</v>
      </c>
      <c r="AU32">
        <v>2.8845519999999998</v>
      </c>
      <c r="AV32">
        <v>0.60894170000000003</v>
      </c>
      <c r="AW32">
        <v>0.39105830000000003</v>
      </c>
      <c r="AX32">
        <v>0.25211689999999998</v>
      </c>
      <c r="AY32">
        <v>0.74788299999999996</v>
      </c>
      <c r="AZ32">
        <v>7.0955170000000001</v>
      </c>
      <c r="BA32">
        <v>0.59606559999999997</v>
      </c>
      <c r="BB32">
        <v>0.40393440000000003</v>
      </c>
      <c r="BC32">
        <v>0.64724230000000005</v>
      </c>
      <c r="BD32">
        <v>0</v>
      </c>
      <c r="BE32">
        <v>2.895467</v>
      </c>
      <c r="BF32">
        <v>2.895467</v>
      </c>
      <c r="BG32">
        <v>1</v>
      </c>
      <c r="BH32">
        <v>0.83056479999999999</v>
      </c>
      <c r="BI32">
        <v>0.24833240000000001</v>
      </c>
      <c r="BJ32">
        <v>0.75166759999999999</v>
      </c>
      <c r="BK32">
        <v>0.29117480000000001</v>
      </c>
      <c r="BL32" s="1">
        <v>3.9300000000000004E-15</v>
      </c>
      <c r="BM32">
        <v>2.6814580000000001</v>
      </c>
      <c r="BN32">
        <v>2.6814580000000001</v>
      </c>
      <c r="BO32">
        <v>1</v>
      </c>
      <c r="BP32">
        <v>0.44890160000000001</v>
      </c>
      <c r="BQ32">
        <v>0.23950630000000001</v>
      </c>
      <c r="BR32">
        <v>0.7604938</v>
      </c>
      <c r="BS32">
        <v>0.55497370000000001</v>
      </c>
      <c r="BT32">
        <v>0.69686530000000002</v>
      </c>
      <c r="BU32">
        <v>0.44306980000000001</v>
      </c>
      <c r="BV32">
        <v>2.042805</v>
      </c>
      <c r="BW32">
        <v>3.0457239999999999</v>
      </c>
      <c r="BX32">
        <v>1.4909520000000001</v>
      </c>
      <c r="BY32">
        <v>0</v>
      </c>
      <c r="BZ32">
        <v>0.60893900000000001</v>
      </c>
      <c r="CA32">
        <v>0.39106099999999999</v>
      </c>
      <c r="CB32">
        <v>0.25335679999999999</v>
      </c>
      <c r="CC32">
        <v>0.74664319999999995</v>
      </c>
      <c r="CD32">
        <v>4.145772</v>
      </c>
      <c r="CE32">
        <v>3.7964159999999998</v>
      </c>
      <c r="CF32">
        <v>2.2155640000000001</v>
      </c>
      <c r="CG32">
        <v>2.9446270000000001</v>
      </c>
      <c r="CH32">
        <v>1.2433890000000001</v>
      </c>
      <c r="CI32">
        <v>1.0673760000000001</v>
      </c>
      <c r="CJ32">
        <v>0.85844089999999995</v>
      </c>
      <c r="CK32">
        <v>0.93323009999999995</v>
      </c>
      <c r="CL32">
        <v>0.56350199999999995</v>
      </c>
      <c r="CM32">
        <v>0.60514999999999997</v>
      </c>
      <c r="CN32">
        <v>0.53786230000000002</v>
      </c>
      <c r="CO32">
        <v>1.318144</v>
      </c>
      <c r="CP32">
        <v>1.3884030000000001</v>
      </c>
      <c r="CQ32">
        <v>1.244143</v>
      </c>
      <c r="CR32">
        <v>0.92449000000000003</v>
      </c>
      <c r="CS32">
        <v>1.2331270000000001</v>
      </c>
      <c r="CT32">
        <v>1.282958</v>
      </c>
      <c r="CU32">
        <v>1.2880910000000001</v>
      </c>
      <c r="CW32">
        <f t="shared" si="4"/>
        <v>703927.68097090989</v>
      </c>
      <c r="CX32">
        <f t="shared" si="10"/>
        <v>3.8392075767172074E-2</v>
      </c>
      <c r="CY32">
        <f t="shared" si="11"/>
        <v>3.0573678835243756E-2</v>
      </c>
      <c r="CZ32">
        <f t="shared" si="12"/>
        <v>3.7782382159369854E-2</v>
      </c>
      <c r="DA32">
        <f t="shared" si="13"/>
        <v>3.7562781913766143E-3</v>
      </c>
      <c r="DB32">
        <f t="shared" si="5"/>
        <v>3.7562781913766143E-3</v>
      </c>
      <c r="DC32" s="12">
        <f t="shared" si="6"/>
        <v>1.0589501779222914</v>
      </c>
      <c r="DD32" s="4">
        <f t="shared" si="7"/>
        <v>1.2823561668166503</v>
      </c>
      <c r="DE32" s="4">
        <f t="shared" si="8"/>
        <v>0.43663232489512499</v>
      </c>
      <c r="DF32" s="4">
        <f t="shared" si="9"/>
        <v>0.25316108747610439</v>
      </c>
      <c r="DG32" s="13">
        <f t="shared" si="14"/>
        <v>0.25316108747610439</v>
      </c>
      <c r="DH32" s="4">
        <f t="shared" si="0"/>
        <v>2.8833424032953334</v>
      </c>
      <c r="DI32" s="4">
        <f t="shared" si="1"/>
        <v>1.2880907554118641</v>
      </c>
      <c r="DJ32" s="4">
        <f t="shared" si="2"/>
        <v>3.605124</v>
      </c>
      <c r="DK32" s="4">
        <f t="shared" si="3"/>
        <v>1.5474870000000001</v>
      </c>
      <c r="DM32" s="4"/>
      <c r="DN32" s="17"/>
    </row>
    <row r="33" spans="1:118" x14ac:dyDescent="0.3">
      <c r="A33">
        <v>1978</v>
      </c>
      <c r="B33">
        <v>222629</v>
      </c>
      <c r="C33">
        <v>2351599</v>
      </c>
      <c r="D33">
        <v>3.2280669999999998</v>
      </c>
      <c r="E33">
        <v>2.9184230000000002</v>
      </c>
      <c r="F33">
        <v>1422252</v>
      </c>
      <c r="G33">
        <v>478377</v>
      </c>
      <c r="H33">
        <v>370770</v>
      </c>
      <c r="I33">
        <v>105567</v>
      </c>
      <c r="J33">
        <v>-25367</v>
      </c>
      <c r="K33">
        <v>2293510</v>
      </c>
      <c r="L33">
        <v>775739.8</v>
      </c>
      <c r="M33">
        <v>1517771</v>
      </c>
      <c r="N33">
        <v>3.0304920000000002</v>
      </c>
      <c r="O33">
        <v>2.6883659999999998</v>
      </c>
      <c r="P33">
        <v>3.2936380000000001</v>
      </c>
      <c r="Q33">
        <v>338410</v>
      </c>
      <c r="R33">
        <v>428357</v>
      </c>
      <c r="S33">
        <v>219743</v>
      </c>
      <c r="T33">
        <v>1307000</v>
      </c>
      <c r="U33">
        <v>1298036.3</v>
      </c>
      <c r="V33">
        <v>495253.75</v>
      </c>
      <c r="W33">
        <v>802782.56</v>
      </c>
      <c r="X33">
        <v>0.5660866</v>
      </c>
      <c r="Y33">
        <v>3.0999569999999999</v>
      </c>
      <c r="Z33">
        <v>2.8520470000000002</v>
      </c>
      <c r="AA33">
        <v>3.223376</v>
      </c>
      <c r="AB33">
        <v>3.779957</v>
      </c>
      <c r="AC33">
        <v>3.6835040000000001</v>
      </c>
      <c r="AD33">
        <v>3.8051119999999998</v>
      </c>
      <c r="AE33">
        <v>1.621353</v>
      </c>
      <c r="AF33">
        <v>1.3303590000000001</v>
      </c>
      <c r="AG33">
        <v>1.892177</v>
      </c>
      <c r="AH33">
        <v>0.63796390000000003</v>
      </c>
      <c r="AI33">
        <v>0.52935960000000004</v>
      </c>
      <c r="AJ33">
        <v>1735357</v>
      </c>
      <c r="AK33">
        <v>640419</v>
      </c>
      <c r="AL33">
        <v>1094938</v>
      </c>
      <c r="AM33">
        <v>3.0253209999999999</v>
      </c>
      <c r="AN33">
        <v>2.8742529999999999</v>
      </c>
      <c r="AO33">
        <v>2.6634850000000001</v>
      </c>
      <c r="AP33">
        <v>2.279706</v>
      </c>
      <c r="AQ33">
        <v>3.2479930000000001</v>
      </c>
      <c r="AR33">
        <v>3.5826020000000001</v>
      </c>
      <c r="AS33">
        <v>558153</v>
      </c>
      <c r="AT33">
        <v>4.1348130000000003</v>
      </c>
      <c r="AU33">
        <v>3.1127050000000001</v>
      </c>
      <c r="AV33">
        <v>0.60630329999999999</v>
      </c>
      <c r="AW33">
        <v>0.39369670000000001</v>
      </c>
      <c r="AX33">
        <v>0.2468408</v>
      </c>
      <c r="AY33">
        <v>0.75315920000000003</v>
      </c>
      <c r="AZ33">
        <v>7.7948389999999996</v>
      </c>
      <c r="BA33">
        <v>0.59961960000000003</v>
      </c>
      <c r="BB33">
        <v>0.40038040000000003</v>
      </c>
      <c r="BC33">
        <v>0.64724230000000005</v>
      </c>
      <c r="BD33">
        <v>0</v>
      </c>
      <c r="BE33">
        <v>2.9786030000000001</v>
      </c>
      <c r="BF33">
        <v>2.9786030000000001</v>
      </c>
      <c r="BG33">
        <v>1</v>
      </c>
      <c r="BH33">
        <v>0.83056479999999999</v>
      </c>
      <c r="BI33">
        <v>0.25110189999999999</v>
      </c>
      <c r="BJ33">
        <v>0.74889810000000001</v>
      </c>
      <c r="BK33">
        <v>0.29117480000000001</v>
      </c>
      <c r="BL33" s="1">
        <v>3.9300000000000004E-15</v>
      </c>
      <c r="BM33">
        <v>2.772681</v>
      </c>
      <c r="BN33">
        <v>2.772681</v>
      </c>
      <c r="BO33">
        <v>1</v>
      </c>
      <c r="BP33">
        <v>0.44890160000000001</v>
      </c>
      <c r="BQ33">
        <v>0.23844290000000001</v>
      </c>
      <c r="BR33">
        <v>0.76155709999999999</v>
      </c>
      <c r="BS33">
        <v>0.55497370000000001</v>
      </c>
      <c r="BT33">
        <v>0.69686530000000002</v>
      </c>
      <c r="BU33">
        <v>0.44306980000000001</v>
      </c>
      <c r="BV33">
        <v>2.0797300000000001</v>
      </c>
      <c r="BW33">
        <v>3.1654059999999999</v>
      </c>
      <c r="BX33">
        <v>1.522027</v>
      </c>
      <c r="BY33">
        <v>0</v>
      </c>
      <c r="BZ33">
        <v>0.60762249999999995</v>
      </c>
      <c r="CA33">
        <v>0.39237749999999999</v>
      </c>
      <c r="CB33">
        <v>0.2494789</v>
      </c>
      <c r="CC33">
        <v>0.75052110000000005</v>
      </c>
      <c r="CD33">
        <v>4.5397939999999997</v>
      </c>
      <c r="CE33">
        <v>4.2660910000000003</v>
      </c>
      <c r="CF33">
        <v>2.2182550000000001</v>
      </c>
      <c r="CG33">
        <v>3.077623</v>
      </c>
      <c r="CH33">
        <v>1.2251449999999999</v>
      </c>
      <c r="CI33">
        <v>1.058127</v>
      </c>
      <c r="CJ33">
        <v>0.86367519999999998</v>
      </c>
      <c r="CK33">
        <v>0.92339380000000004</v>
      </c>
      <c r="CL33">
        <v>0.56350199999999995</v>
      </c>
      <c r="CM33">
        <v>0.60514999999999997</v>
      </c>
      <c r="CN33">
        <v>0.53786230000000002</v>
      </c>
      <c r="CO33">
        <v>1.3213490000000001</v>
      </c>
      <c r="CP33">
        <v>1.374447</v>
      </c>
      <c r="CQ33">
        <v>1.255779</v>
      </c>
      <c r="CR33">
        <v>0.92474789999999996</v>
      </c>
      <c r="CS33">
        <v>1.2300150000000001</v>
      </c>
      <c r="CT33">
        <v>1.2881629999999999</v>
      </c>
      <c r="CU33">
        <v>1.286449</v>
      </c>
      <c r="CW33">
        <f t="shared" si="4"/>
        <v>736822.15307907434</v>
      </c>
      <c r="CX33">
        <f t="shared" si="10"/>
        <v>4.5670926112444832E-2</v>
      </c>
      <c r="CY33">
        <f t="shared" si="11"/>
        <v>4.7356467088766951E-2</v>
      </c>
      <c r="CZ33">
        <f t="shared" si="12"/>
        <v>4.6628660961274715E-2</v>
      </c>
      <c r="DA33">
        <f t="shared" si="13"/>
        <v>-1.2754207678679907E-3</v>
      </c>
      <c r="DB33">
        <f t="shared" si="5"/>
        <v>-1.2754207678679907E-3</v>
      </c>
      <c r="DC33" s="12">
        <f t="shared" si="6"/>
        <v>1.1046211040347362</v>
      </c>
      <c r="DD33" s="4">
        <f t="shared" si="7"/>
        <v>1.3297126339054173</v>
      </c>
      <c r="DE33" s="4">
        <f t="shared" si="8"/>
        <v>0.48326098585639971</v>
      </c>
      <c r="DF33" s="4">
        <f t="shared" si="9"/>
        <v>0.25188566670823642</v>
      </c>
      <c r="DG33" s="13">
        <f t="shared" si="14"/>
        <v>0.25188566670823642</v>
      </c>
      <c r="DH33" s="4">
        <f t="shared" si="0"/>
        <v>3.0180807135329246</v>
      </c>
      <c r="DI33" s="4">
        <f t="shared" si="1"/>
        <v>1.2864489449336645</v>
      </c>
      <c r="DJ33" s="4">
        <f t="shared" si="2"/>
        <v>3.7799569999999996</v>
      </c>
      <c r="DK33" s="4">
        <f t="shared" si="3"/>
        <v>1.621353</v>
      </c>
      <c r="DM33" s="4"/>
      <c r="DN33" s="17"/>
    </row>
    <row r="34" spans="1:118" x14ac:dyDescent="0.3">
      <c r="A34">
        <v>1979</v>
      </c>
      <c r="B34">
        <v>225106</v>
      </c>
      <c r="C34">
        <v>2627333</v>
      </c>
      <c r="D34">
        <v>3.3303259999999999</v>
      </c>
      <c r="E34">
        <v>3.160501</v>
      </c>
      <c r="F34">
        <v>1585420</v>
      </c>
      <c r="G34">
        <v>539657</v>
      </c>
      <c r="H34">
        <v>404705</v>
      </c>
      <c r="I34">
        <v>120097</v>
      </c>
      <c r="J34">
        <v>-22545</v>
      </c>
      <c r="K34">
        <v>2561569</v>
      </c>
      <c r="L34">
        <v>869995.4</v>
      </c>
      <c r="M34">
        <v>1691574</v>
      </c>
      <c r="N34">
        <v>3.2847520000000001</v>
      </c>
      <c r="O34">
        <v>2.9946320000000002</v>
      </c>
      <c r="P34">
        <v>3.5203169999999999</v>
      </c>
      <c r="Q34">
        <v>385625</v>
      </c>
      <c r="R34">
        <v>473749</v>
      </c>
      <c r="S34">
        <v>256144</v>
      </c>
      <c r="T34">
        <v>1446051</v>
      </c>
      <c r="U34">
        <v>1481996.5</v>
      </c>
      <c r="V34">
        <v>559856.93999999994</v>
      </c>
      <c r="W34">
        <v>922139.5</v>
      </c>
      <c r="X34">
        <v>0.57225539999999997</v>
      </c>
      <c r="Y34">
        <v>3.1942699999999999</v>
      </c>
      <c r="Z34">
        <v>2.8714590000000002</v>
      </c>
      <c r="AA34">
        <v>3.3611650000000002</v>
      </c>
      <c r="AB34">
        <v>3.9663210000000002</v>
      </c>
      <c r="AC34">
        <v>3.8551690000000001</v>
      </c>
      <c r="AD34">
        <v>3.9968089999999998</v>
      </c>
      <c r="AE34">
        <v>1.6745509999999999</v>
      </c>
      <c r="AF34">
        <v>1.3723129999999999</v>
      </c>
      <c r="AG34">
        <v>1.955738</v>
      </c>
      <c r="AH34">
        <v>0.6409724</v>
      </c>
      <c r="AI34">
        <v>0.5370296</v>
      </c>
      <c r="AJ34">
        <v>1919800</v>
      </c>
      <c r="AK34">
        <v>706209</v>
      </c>
      <c r="AL34">
        <v>1213591</v>
      </c>
      <c r="AM34">
        <v>3.0972620000000002</v>
      </c>
      <c r="AN34">
        <v>3.1082360000000002</v>
      </c>
      <c r="AO34">
        <v>2.7629269999999999</v>
      </c>
      <c r="AP34">
        <v>2.4252549999999999</v>
      </c>
      <c r="AQ34">
        <v>3.3289970000000002</v>
      </c>
      <c r="AR34">
        <v>3.877132</v>
      </c>
      <c r="AS34">
        <v>641769</v>
      </c>
      <c r="AT34">
        <v>4.370425</v>
      </c>
      <c r="AU34">
        <v>3.3860679999999999</v>
      </c>
      <c r="AV34">
        <v>0.60087820000000003</v>
      </c>
      <c r="AW34">
        <v>0.39912180000000003</v>
      </c>
      <c r="AX34">
        <v>0.24676999999999999</v>
      </c>
      <c r="AY34">
        <v>0.75322999999999996</v>
      </c>
      <c r="AZ34">
        <v>8.5284259999999996</v>
      </c>
      <c r="BA34">
        <v>0.60949960000000003</v>
      </c>
      <c r="BB34">
        <v>0.39050040000000003</v>
      </c>
      <c r="BC34">
        <v>0.64724230000000005</v>
      </c>
      <c r="BD34">
        <v>0</v>
      </c>
      <c r="BE34">
        <v>3.0069240000000002</v>
      </c>
      <c r="BF34">
        <v>3.0069240000000002</v>
      </c>
      <c r="BG34">
        <v>1</v>
      </c>
      <c r="BH34">
        <v>0.83056479999999999</v>
      </c>
      <c r="BI34">
        <v>0.2589535</v>
      </c>
      <c r="BJ34">
        <v>0.74104650000000005</v>
      </c>
      <c r="BK34">
        <v>0.29117480000000001</v>
      </c>
      <c r="BL34" s="1">
        <v>3.9300000000000004E-15</v>
      </c>
      <c r="BM34">
        <v>2.8397739999999998</v>
      </c>
      <c r="BN34">
        <v>2.8397739999999998</v>
      </c>
      <c r="BO34">
        <v>1</v>
      </c>
      <c r="BP34">
        <v>0.44890160000000001</v>
      </c>
      <c r="BQ34">
        <v>0.24224580000000001</v>
      </c>
      <c r="BR34">
        <v>0.75775420000000004</v>
      </c>
      <c r="BS34">
        <v>0.55497370000000001</v>
      </c>
      <c r="BT34">
        <v>0.69686530000000002</v>
      </c>
      <c r="BU34">
        <v>0.44306980000000001</v>
      </c>
      <c r="BV34">
        <v>2.0984129999999999</v>
      </c>
      <c r="BW34">
        <v>3.2599909999999999</v>
      </c>
      <c r="BX34">
        <v>1.5535509999999999</v>
      </c>
      <c r="BY34">
        <v>0</v>
      </c>
      <c r="BZ34">
        <v>0.60359070000000004</v>
      </c>
      <c r="CA34">
        <v>0.39640920000000002</v>
      </c>
      <c r="CB34">
        <v>0.24680540000000001</v>
      </c>
      <c r="CC34">
        <v>0.75319460000000005</v>
      </c>
      <c r="CD34">
        <v>4.6441179999999997</v>
      </c>
      <c r="CE34">
        <v>4.6525749999999997</v>
      </c>
      <c r="CF34">
        <v>2.2024140000000001</v>
      </c>
      <c r="CG34">
        <v>3.1857920000000002</v>
      </c>
      <c r="CH34">
        <v>1.175543</v>
      </c>
      <c r="CI34">
        <v>1.039647</v>
      </c>
      <c r="CJ34">
        <v>0.88439800000000002</v>
      </c>
      <c r="CK34">
        <v>0.91794849999999995</v>
      </c>
      <c r="CL34">
        <v>0.56350199999999995</v>
      </c>
      <c r="CM34">
        <v>0.60514999999999997</v>
      </c>
      <c r="CN34">
        <v>0.53786230000000002</v>
      </c>
      <c r="CO34">
        <v>1.30921</v>
      </c>
      <c r="CP34">
        <v>1.333032</v>
      </c>
      <c r="CQ34">
        <v>1.258024</v>
      </c>
      <c r="CR34">
        <v>0.93154840000000005</v>
      </c>
      <c r="CS34">
        <v>1.2162040000000001</v>
      </c>
      <c r="CT34">
        <v>1.2789790000000001</v>
      </c>
      <c r="CU34">
        <v>1.2700370000000001</v>
      </c>
      <c r="CW34">
        <f t="shared" si="4"/>
        <v>756502.5274152793</v>
      </c>
      <c r="CX34">
        <f t="shared" si="10"/>
        <v>2.635932305489419E-2</v>
      </c>
      <c r="CY34">
        <f t="shared" si="11"/>
        <v>4.8126330889654456E-2</v>
      </c>
      <c r="CZ34">
        <f t="shared" si="12"/>
        <v>3.2284083784713868E-2</v>
      </c>
      <c r="DA34">
        <f t="shared" si="13"/>
        <v>-1.2839869906632037E-2</v>
      </c>
      <c r="DB34">
        <f t="shared" si="5"/>
        <v>-1.2839869906632037E-2</v>
      </c>
      <c r="DC34" s="12">
        <f t="shared" si="6"/>
        <v>1.1309804270896304</v>
      </c>
      <c r="DD34" s="4">
        <f t="shared" si="7"/>
        <v>1.3778389647950717</v>
      </c>
      <c r="DE34" s="4">
        <f t="shared" si="8"/>
        <v>0.51554506964111357</v>
      </c>
      <c r="DF34" s="4">
        <f t="shared" si="9"/>
        <v>0.23904579680160437</v>
      </c>
      <c r="DG34" s="13">
        <f t="shared" si="14"/>
        <v>0.23904579680160437</v>
      </c>
      <c r="DH34" s="4">
        <f t="shared" ref="DH34:DH66" si="15">EXP(DC34)</f>
        <v>3.0986930539341939</v>
      </c>
      <c r="DI34" s="4">
        <f t="shared" ref="DI34:DI65" si="16">EXP(DF34)</f>
        <v>1.2700366988707315</v>
      </c>
      <c r="DJ34" s="4">
        <f t="shared" ref="DJ34:DJ66" si="17">EXP(DD34)</f>
        <v>3.9663209999999998</v>
      </c>
      <c r="DK34" s="4">
        <f t="shared" ref="DK34:DK66" si="18">EXP(DE34)</f>
        <v>1.6745509999999999</v>
      </c>
      <c r="DM34" s="4"/>
      <c r="DN34" s="17"/>
    </row>
    <row r="35" spans="1:118" x14ac:dyDescent="0.3">
      <c r="A35">
        <v>1980</v>
      </c>
      <c r="B35">
        <v>227726</v>
      </c>
      <c r="C35">
        <v>2857307</v>
      </c>
      <c r="D35">
        <v>3.3217050000000001</v>
      </c>
      <c r="E35">
        <v>3.4460649999999999</v>
      </c>
      <c r="F35">
        <v>1750667</v>
      </c>
      <c r="G35">
        <v>530098</v>
      </c>
      <c r="H35">
        <v>453650</v>
      </c>
      <c r="I35">
        <v>135948</v>
      </c>
      <c r="J35">
        <v>-13056</v>
      </c>
      <c r="K35">
        <v>2790479</v>
      </c>
      <c r="L35">
        <v>919646.7</v>
      </c>
      <c r="M35">
        <v>1870832</v>
      </c>
      <c r="N35">
        <v>3.6030139999999999</v>
      </c>
      <c r="O35">
        <v>3.3257159999999999</v>
      </c>
      <c r="P35">
        <v>3.8374280000000001</v>
      </c>
      <c r="Q35">
        <v>406974</v>
      </c>
      <c r="R35">
        <v>507838</v>
      </c>
      <c r="S35">
        <v>265404</v>
      </c>
      <c r="T35">
        <v>1610263</v>
      </c>
      <c r="U35">
        <v>1646776.1</v>
      </c>
      <c r="V35">
        <v>590986.63</v>
      </c>
      <c r="W35">
        <v>1055789.5</v>
      </c>
      <c r="X35">
        <v>0.58434569999999997</v>
      </c>
      <c r="Y35">
        <v>3.1723490000000001</v>
      </c>
      <c r="Z35">
        <v>2.7331590000000001</v>
      </c>
      <c r="AA35">
        <v>3.410164</v>
      </c>
      <c r="AB35">
        <v>4.1551819999999999</v>
      </c>
      <c r="AC35">
        <v>4.0397720000000001</v>
      </c>
      <c r="AD35">
        <v>4.1866899999999996</v>
      </c>
      <c r="AE35">
        <v>1.6618550000000001</v>
      </c>
      <c r="AF35">
        <v>1.320125</v>
      </c>
      <c r="AG35">
        <v>1.976499</v>
      </c>
      <c r="AH35">
        <v>0.64307029999999998</v>
      </c>
      <c r="AI35">
        <v>0.55473969999999995</v>
      </c>
      <c r="AJ35">
        <v>2118101</v>
      </c>
      <c r="AK35">
        <v>751607</v>
      </c>
      <c r="AL35">
        <v>1366494</v>
      </c>
      <c r="AM35">
        <v>3.129712</v>
      </c>
      <c r="AN35">
        <v>3.3848630000000002</v>
      </c>
      <c r="AO35">
        <v>2.8465989999999999</v>
      </c>
      <c r="AP35">
        <v>2.498739</v>
      </c>
      <c r="AQ35">
        <v>3.3889230000000001</v>
      </c>
      <c r="AR35">
        <v>4.277215</v>
      </c>
      <c r="AS35">
        <v>672378</v>
      </c>
      <c r="AT35">
        <v>4.1829029999999996</v>
      </c>
      <c r="AU35">
        <v>3.706604</v>
      </c>
      <c r="AV35">
        <v>0.60527560000000002</v>
      </c>
      <c r="AW35">
        <v>0.39472439999999998</v>
      </c>
      <c r="AX35">
        <v>0.2397611</v>
      </c>
      <c r="AY35">
        <v>0.76023890000000005</v>
      </c>
      <c r="AZ35">
        <v>9.3010920000000006</v>
      </c>
      <c r="BA35">
        <v>0.61392040000000003</v>
      </c>
      <c r="BB35">
        <v>0.38607960000000002</v>
      </c>
      <c r="BC35">
        <v>0.64724230000000005</v>
      </c>
      <c r="BD35">
        <v>0</v>
      </c>
      <c r="BE35">
        <v>3.008915</v>
      </c>
      <c r="BF35">
        <v>3.008915</v>
      </c>
      <c r="BG35">
        <v>1</v>
      </c>
      <c r="BH35">
        <v>0.83056479999999999</v>
      </c>
      <c r="BI35">
        <v>0.26254110000000003</v>
      </c>
      <c r="BJ35">
        <v>0.73745879999999997</v>
      </c>
      <c r="BK35">
        <v>0.29117480000000001</v>
      </c>
      <c r="BL35" s="1">
        <v>3.9300000000000004E-15</v>
      </c>
      <c r="BM35">
        <v>2.8602780000000001</v>
      </c>
      <c r="BN35">
        <v>2.8602780000000001</v>
      </c>
      <c r="BO35">
        <v>0.99999990000000005</v>
      </c>
      <c r="BP35">
        <v>0.44890160000000001</v>
      </c>
      <c r="BQ35">
        <v>0.24534349999999999</v>
      </c>
      <c r="BR35">
        <v>0.75465649999999995</v>
      </c>
      <c r="BS35">
        <v>0.55497370000000001</v>
      </c>
      <c r="BT35">
        <v>0.69686530000000002</v>
      </c>
      <c r="BU35">
        <v>0.44306980000000001</v>
      </c>
      <c r="BV35">
        <v>2.1113390000000001</v>
      </c>
      <c r="BW35">
        <v>3.2860149999999999</v>
      </c>
      <c r="BX35">
        <v>1.556365</v>
      </c>
      <c r="BY35">
        <v>0</v>
      </c>
      <c r="BZ35">
        <v>0.60307690000000003</v>
      </c>
      <c r="CA35">
        <v>0.39692309999999997</v>
      </c>
      <c r="CB35">
        <v>0.2432655</v>
      </c>
      <c r="CC35">
        <v>0.75673449999999998</v>
      </c>
      <c r="CD35">
        <v>4.4132949999999997</v>
      </c>
      <c r="CE35">
        <v>4.4224019999999999</v>
      </c>
      <c r="CF35">
        <v>2.125858</v>
      </c>
      <c r="CG35">
        <v>3.2544089999999999</v>
      </c>
      <c r="CH35">
        <v>1.1538649999999999</v>
      </c>
      <c r="CI35">
        <v>1.0352950000000001</v>
      </c>
      <c r="CJ35">
        <v>0.8972405</v>
      </c>
      <c r="CK35">
        <v>0.91319779999999995</v>
      </c>
      <c r="CL35">
        <v>0.56350199999999995</v>
      </c>
      <c r="CM35">
        <v>0.60514999999999997</v>
      </c>
      <c r="CN35">
        <v>0.53786230000000002</v>
      </c>
      <c r="CO35">
        <v>1.2795669999999999</v>
      </c>
      <c r="CP35">
        <v>1.2706459999999999</v>
      </c>
      <c r="CQ35">
        <v>1.2433449999999999</v>
      </c>
      <c r="CR35">
        <v>0.9381195</v>
      </c>
      <c r="CS35">
        <v>1.182855</v>
      </c>
      <c r="CT35">
        <v>1.251172</v>
      </c>
      <c r="CU35">
        <v>1.243806</v>
      </c>
      <c r="CW35">
        <f t="shared" si="4"/>
        <v>752839.79621238203</v>
      </c>
      <c r="CX35">
        <f t="shared" si="10"/>
        <v>-4.8534230245991239E-3</v>
      </c>
      <c r="CY35">
        <f t="shared" si="11"/>
        <v>4.6517265200444635E-2</v>
      </c>
      <c r="CZ35">
        <f t="shared" si="12"/>
        <v>-7.6106212978561683E-3</v>
      </c>
      <c r="DA35">
        <f t="shared" si="13"/>
        <v>-2.0869515927478263E-2</v>
      </c>
      <c r="DB35">
        <f t="shared" si="5"/>
        <v>-2.0869515927478263E-2</v>
      </c>
      <c r="DC35" s="12">
        <f t="shared" ref="DC35:DC67" si="19">DC34+CX35</f>
        <v>1.1261270040650313</v>
      </c>
      <c r="DD35" s="4">
        <f t="shared" ref="DD35:DD67" si="20">DD34+CY35</f>
        <v>1.4243562299955164</v>
      </c>
      <c r="DE35" s="4">
        <f t="shared" ref="DE35:DE67" si="21">DE34+CZ35</f>
        <v>0.50793444834325741</v>
      </c>
      <c r="DF35" s="4">
        <f t="shared" ref="DF35:DF67" si="22">DF34+DA35</f>
        <v>0.21817628087412611</v>
      </c>
      <c r="DG35" s="13">
        <f t="shared" si="14"/>
        <v>0.21817628087412611</v>
      </c>
      <c r="DH35" s="4">
        <f t="shared" si="15"/>
        <v>3.0836902227134946</v>
      </c>
      <c r="DI35" s="4">
        <f t="shared" si="16"/>
        <v>1.2438063075577301</v>
      </c>
      <c r="DJ35" s="4">
        <f t="shared" si="17"/>
        <v>4.1551819999999999</v>
      </c>
      <c r="DK35" s="4">
        <f t="shared" si="18"/>
        <v>1.6618550000000001</v>
      </c>
      <c r="DM35" s="4"/>
      <c r="DN35" s="17"/>
    </row>
    <row r="36" spans="1:118" x14ac:dyDescent="0.3">
      <c r="A36">
        <v>1981</v>
      </c>
      <c r="B36">
        <v>230008</v>
      </c>
      <c r="C36">
        <v>3207041</v>
      </c>
      <c r="D36">
        <v>3.4060030000000001</v>
      </c>
      <c r="E36">
        <v>3.7721339999999999</v>
      </c>
      <c r="F36">
        <v>1933951</v>
      </c>
      <c r="G36">
        <v>631229</v>
      </c>
      <c r="H36">
        <v>507041</v>
      </c>
      <c r="I36">
        <v>147340</v>
      </c>
      <c r="J36">
        <v>-12520</v>
      </c>
      <c r="K36">
        <v>3121637</v>
      </c>
      <c r="L36">
        <v>1033850</v>
      </c>
      <c r="M36">
        <v>2087786</v>
      </c>
      <c r="N36">
        <v>3.9321980000000001</v>
      </c>
      <c r="O36">
        <v>3.6717979999999999</v>
      </c>
      <c r="P36">
        <v>4.1641940000000002</v>
      </c>
      <c r="Q36">
        <v>449155</v>
      </c>
      <c r="R36">
        <v>583411</v>
      </c>
      <c r="S36">
        <v>299605</v>
      </c>
      <c r="T36">
        <v>1789466</v>
      </c>
      <c r="U36">
        <v>1814615.1</v>
      </c>
      <c r="V36">
        <v>648645.43999999994</v>
      </c>
      <c r="W36">
        <v>1165969.8</v>
      </c>
      <c r="X36">
        <v>0.58572179999999996</v>
      </c>
      <c r="Y36">
        <v>3.2517339999999999</v>
      </c>
      <c r="Z36">
        <v>2.7829660000000001</v>
      </c>
      <c r="AA36">
        <v>3.5070000000000001</v>
      </c>
      <c r="AB36">
        <v>4.3158250000000002</v>
      </c>
      <c r="AC36">
        <v>4.1842569999999997</v>
      </c>
      <c r="AD36">
        <v>4.3535370000000002</v>
      </c>
      <c r="AE36">
        <v>1.6838329999999999</v>
      </c>
      <c r="AF36">
        <v>1.3217950000000001</v>
      </c>
      <c r="AG36">
        <v>2.015952</v>
      </c>
      <c r="AH36">
        <v>0.63501549999999995</v>
      </c>
      <c r="AI36">
        <v>0.56140710000000005</v>
      </c>
      <c r="AJ36">
        <v>2372877</v>
      </c>
      <c r="AK36">
        <v>846116</v>
      </c>
      <c r="AL36">
        <v>1526761</v>
      </c>
      <c r="AM36">
        <v>3.2152129999999999</v>
      </c>
      <c r="AN36">
        <v>3.7070630000000002</v>
      </c>
      <c r="AO36">
        <v>2.8572419999999998</v>
      </c>
      <c r="AP36">
        <v>2.8145220000000002</v>
      </c>
      <c r="AQ36">
        <v>3.447495</v>
      </c>
      <c r="AR36">
        <v>4.7178890000000004</v>
      </c>
      <c r="AS36">
        <v>748760</v>
      </c>
      <c r="AT36">
        <v>4.2626419999999996</v>
      </c>
      <c r="AU36">
        <v>4.0504600000000002</v>
      </c>
      <c r="AV36">
        <v>0.59986510000000004</v>
      </c>
      <c r="AW36">
        <v>0.40013490000000002</v>
      </c>
      <c r="AX36">
        <v>0.24586659999999999</v>
      </c>
      <c r="AY36">
        <v>0.75413339999999995</v>
      </c>
      <c r="AZ36">
        <v>10.3165</v>
      </c>
      <c r="BA36">
        <v>0.61800710000000003</v>
      </c>
      <c r="BB36">
        <v>0.38199290000000002</v>
      </c>
      <c r="BC36">
        <v>0.64724230000000005</v>
      </c>
      <c r="BD36">
        <v>0</v>
      </c>
      <c r="BE36">
        <v>3.0734509999999999</v>
      </c>
      <c r="BF36">
        <v>3.0734509999999999</v>
      </c>
      <c r="BG36">
        <v>1</v>
      </c>
      <c r="BH36">
        <v>0.83056479999999999</v>
      </c>
      <c r="BI36">
        <v>0.26589970000000002</v>
      </c>
      <c r="BJ36">
        <v>0.73410030000000004</v>
      </c>
      <c r="BK36">
        <v>0.29117480000000001</v>
      </c>
      <c r="BL36" s="1">
        <v>3.9300000000000004E-15</v>
      </c>
      <c r="BM36">
        <v>2.9394339999999999</v>
      </c>
      <c r="BN36">
        <v>2.9394339999999999</v>
      </c>
      <c r="BO36">
        <v>1</v>
      </c>
      <c r="BP36">
        <v>0.44890160000000001</v>
      </c>
      <c r="BQ36">
        <v>0.24531639999999999</v>
      </c>
      <c r="BR36">
        <v>0.75468360000000001</v>
      </c>
      <c r="BS36">
        <v>0.55497370000000001</v>
      </c>
      <c r="BT36">
        <v>0.69686530000000002</v>
      </c>
      <c r="BU36">
        <v>0.44306980000000001</v>
      </c>
      <c r="BV36">
        <v>2.1421260000000002</v>
      </c>
      <c r="BW36">
        <v>3.3925239999999999</v>
      </c>
      <c r="BX36">
        <v>1.583718</v>
      </c>
      <c r="BY36">
        <v>0</v>
      </c>
      <c r="BZ36">
        <v>0.60257039999999995</v>
      </c>
      <c r="CA36">
        <v>0.39742959999999999</v>
      </c>
      <c r="CB36">
        <v>0.2428138</v>
      </c>
      <c r="CC36">
        <v>0.75718620000000003</v>
      </c>
      <c r="CD36">
        <v>4.4116289999999996</v>
      </c>
      <c r="CE36">
        <v>4.600543</v>
      </c>
      <c r="CF36">
        <v>2.2120250000000001</v>
      </c>
      <c r="CG36">
        <v>3.3327909999999998</v>
      </c>
      <c r="CH36">
        <v>1.1341019999999999</v>
      </c>
      <c r="CI36">
        <v>1.028079</v>
      </c>
      <c r="CJ36">
        <v>0.90651369999999998</v>
      </c>
      <c r="CK36">
        <v>0.91522009999999998</v>
      </c>
      <c r="CL36">
        <v>0.56350199999999995</v>
      </c>
      <c r="CM36">
        <v>0.60514999999999997</v>
      </c>
      <c r="CN36">
        <v>0.53786230000000002</v>
      </c>
      <c r="CO36">
        <v>1.2805340000000001</v>
      </c>
      <c r="CP36">
        <v>1.2732000000000001</v>
      </c>
      <c r="CQ36">
        <v>1.2431030000000001</v>
      </c>
      <c r="CR36">
        <v>0.94132970000000005</v>
      </c>
      <c r="CS36">
        <v>1.1883520000000001</v>
      </c>
      <c r="CT36">
        <v>1.251719</v>
      </c>
      <c r="CU36">
        <v>1.2431460000000001</v>
      </c>
      <c r="CW36">
        <f t="shared" si="4"/>
        <v>770687.03307772451</v>
      </c>
      <c r="CX36">
        <f t="shared" si="10"/>
        <v>2.3429916648415983E-2</v>
      </c>
      <c r="CY36">
        <f t="shared" si="11"/>
        <v>3.7932269775733163E-2</v>
      </c>
      <c r="CZ36">
        <f t="shared" si="12"/>
        <v>1.313829391326149E-2</v>
      </c>
      <c r="DA36">
        <f t="shared" si="13"/>
        <v>-5.3089814086266802E-4</v>
      </c>
      <c r="DB36">
        <f t="shared" si="5"/>
        <v>-5.3089814086266802E-4</v>
      </c>
      <c r="DC36" s="12">
        <f t="shared" si="19"/>
        <v>1.1495569207134473</v>
      </c>
      <c r="DD36" s="4">
        <f t="shared" si="20"/>
        <v>1.4622884997712495</v>
      </c>
      <c r="DE36" s="4">
        <f t="shared" si="21"/>
        <v>0.52107274225651889</v>
      </c>
      <c r="DF36" s="4">
        <f t="shared" si="22"/>
        <v>0.21764538273326345</v>
      </c>
      <c r="DG36" s="13">
        <f t="shared" si="14"/>
        <v>0.21764538273326345</v>
      </c>
      <c r="DH36" s="4">
        <f t="shared" si="15"/>
        <v>3.156793889789804</v>
      </c>
      <c r="DI36" s="4">
        <f t="shared" si="16"/>
        <v>1.2431461483556066</v>
      </c>
      <c r="DJ36" s="4">
        <f t="shared" si="17"/>
        <v>4.3158250000000002</v>
      </c>
      <c r="DK36" s="4">
        <f t="shared" si="18"/>
        <v>1.6838329999999999</v>
      </c>
      <c r="DM36" s="4"/>
      <c r="DN36" s="17"/>
    </row>
    <row r="37" spans="1:118" x14ac:dyDescent="0.3">
      <c r="A37">
        <v>1982</v>
      </c>
      <c r="B37">
        <v>232218</v>
      </c>
      <c r="C37">
        <v>3343789</v>
      </c>
      <c r="D37">
        <v>3.3446150000000001</v>
      </c>
      <c r="E37">
        <v>4.0051639999999997</v>
      </c>
      <c r="F37">
        <v>2071256</v>
      </c>
      <c r="G37">
        <v>581034</v>
      </c>
      <c r="H37">
        <v>554529</v>
      </c>
      <c r="I37">
        <v>156944</v>
      </c>
      <c r="J37">
        <v>-19974</v>
      </c>
      <c r="K37">
        <v>3252701</v>
      </c>
      <c r="L37">
        <v>1029056</v>
      </c>
      <c r="M37">
        <v>2223646</v>
      </c>
      <c r="N37">
        <v>4.1762930000000003</v>
      </c>
      <c r="O37">
        <v>3.8480370000000002</v>
      </c>
      <c r="P37">
        <v>4.4510230000000002</v>
      </c>
      <c r="Q37">
        <v>445841</v>
      </c>
      <c r="R37">
        <v>579940</v>
      </c>
      <c r="S37">
        <v>307050</v>
      </c>
      <c r="T37">
        <v>1919870</v>
      </c>
      <c r="U37">
        <v>1911405.8</v>
      </c>
      <c r="V37">
        <v>653979.5</v>
      </c>
      <c r="W37">
        <v>1257426.3</v>
      </c>
      <c r="X37">
        <v>0.58446949999999998</v>
      </c>
      <c r="Y37">
        <v>3.190226</v>
      </c>
      <c r="Z37">
        <v>2.6431909999999998</v>
      </c>
      <c r="AA37">
        <v>3.4945119999999998</v>
      </c>
      <c r="AB37">
        <v>4.4880050000000002</v>
      </c>
      <c r="AC37">
        <v>4.3826479999999997</v>
      </c>
      <c r="AD37">
        <v>4.5141</v>
      </c>
      <c r="AE37">
        <v>1.6490050000000001</v>
      </c>
      <c r="AF37">
        <v>1.228459</v>
      </c>
      <c r="AG37">
        <v>2.0306250000000001</v>
      </c>
      <c r="AH37">
        <v>0.63146080000000004</v>
      </c>
      <c r="AI37">
        <v>0.56197569999999997</v>
      </c>
      <c r="AJ37">
        <v>2499810</v>
      </c>
      <c r="AK37">
        <v>826276</v>
      </c>
      <c r="AL37">
        <v>1673534</v>
      </c>
      <c r="AM37">
        <v>3.1881620000000002</v>
      </c>
      <c r="AN37">
        <v>3.9401980000000001</v>
      </c>
      <c r="AO37">
        <v>2.830943</v>
      </c>
      <c r="AP37">
        <v>2.775255</v>
      </c>
      <c r="AQ37">
        <v>3.5100509999999998</v>
      </c>
      <c r="AR37">
        <v>5.0814519999999996</v>
      </c>
      <c r="AS37">
        <v>752891</v>
      </c>
      <c r="AT37">
        <v>4.0510190000000001</v>
      </c>
      <c r="AU37">
        <v>4.2855679999999996</v>
      </c>
      <c r="AV37">
        <v>0.59217200000000003</v>
      </c>
      <c r="AW37">
        <v>0.40782800000000002</v>
      </c>
      <c r="AX37">
        <v>0.23199359999999999</v>
      </c>
      <c r="AY37">
        <v>0.76800639999999998</v>
      </c>
      <c r="AZ37">
        <v>10.76493</v>
      </c>
      <c r="BA37">
        <v>0.61333879999999996</v>
      </c>
      <c r="BB37">
        <v>0.38666119999999998</v>
      </c>
      <c r="BC37">
        <v>0.64724230000000005</v>
      </c>
      <c r="BD37">
        <v>0</v>
      </c>
      <c r="BE37">
        <v>3.0662289999999999</v>
      </c>
      <c r="BF37">
        <v>3.0662289999999999</v>
      </c>
      <c r="BG37">
        <v>1</v>
      </c>
      <c r="BH37">
        <v>0.83056479999999999</v>
      </c>
      <c r="BI37">
        <v>0.26206639999999998</v>
      </c>
      <c r="BJ37">
        <v>0.73793359999999997</v>
      </c>
      <c r="BK37">
        <v>0.29117480000000001</v>
      </c>
      <c r="BL37" s="1">
        <v>3.9300000000000004E-15</v>
      </c>
      <c r="BM37">
        <v>2.9122499999999998</v>
      </c>
      <c r="BN37">
        <v>2.9122499999999998</v>
      </c>
      <c r="BO37">
        <v>1</v>
      </c>
      <c r="BP37">
        <v>0.44890160000000001</v>
      </c>
      <c r="BQ37">
        <v>0.24521950000000001</v>
      </c>
      <c r="BR37">
        <v>0.75478049999999997</v>
      </c>
      <c r="BS37">
        <v>0.55497370000000001</v>
      </c>
      <c r="BT37">
        <v>0.69686530000000002</v>
      </c>
      <c r="BU37">
        <v>0.44306980000000001</v>
      </c>
      <c r="BV37">
        <v>2.1525080000000001</v>
      </c>
      <c r="BW37">
        <v>3.3441190000000001</v>
      </c>
      <c r="BX37">
        <v>1.5535920000000001</v>
      </c>
      <c r="BY37">
        <v>0</v>
      </c>
      <c r="BZ37">
        <v>0.59601859999999995</v>
      </c>
      <c r="CA37">
        <v>0.40398139999999999</v>
      </c>
      <c r="CB37">
        <v>0.23893010000000001</v>
      </c>
      <c r="CC37">
        <v>0.76106989999999997</v>
      </c>
      <c r="CD37">
        <v>4.1785170000000003</v>
      </c>
      <c r="CE37">
        <v>4.4110329999999998</v>
      </c>
      <c r="CF37">
        <v>2.098157</v>
      </c>
      <c r="CG37">
        <v>3.345243</v>
      </c>
      <c r="CH37">
        <v>1.1567000000000001</v>
      </c>
      <c r="CI37">
        <v>1.038608</v>
      </c>
      <c r="CJ37">
        <v>0.89790610000000004</v>
      </c>
      <c r="CK37">
        <v>0.91941110000000004</v>
      </c>
      <c r="CL37">
        <v>0.56350199999999995</v>
      </c>
      <c r="CM37">
        <v>0.60514999999999997</v>
      </c>
      <c r="CN37">
        <v>0.53786230000000002</v>
      </c>
      <c r="CO37">
        <v>1.249673</v>
      </c>
      <c r="CP37">
        <v>1.234972</v>
      </c>
      <c r="CQ37">
        <v>1.2142759999999999</v>
      </c>
      <c r="CR37">
        <v>0.93985249999999998</v>
      </c>
      <c r="CS37">
        <v>1.1537550000000001</v>
      </c>
      <c r="CT37">
        <v>1.2202299999999999</v>
      </c>
      <c r="CU37">
        <v>1.217808</v>
      </c>
      <c r="CW37">
        <f t="shared" si="4"/>
        <v>758989.47350736242</v>
      </c>
      <c r="CX37">
        <f t="shared" si="10"/>
        <v>-1.5294459376237413E-2</v>
      </c>
      <c r="CY37">
        <f t="shared" si="11"/>
        <v>3.9119782530521618E-2</v>
      </c>
      <c r="CZ37">
        <f t="shared" si="12"/>
        <v>-2.0900666542962631E-2</v>
      </c>
      <c r="DA37">
        <f t="shared" si="13"/>
        <v>-2.0592598812952514E-2</v>
      </c>
      <c r="DB37">
        <f t="shared" si="5"/>
        <v>-2.0592598812952514E-2</v>
      </c>
      <c r="DC37" s="12">
        <f t="shared" si="19"/>
        <v>1.1342624613372099</v>
      </c>
      <c r="DD37" s="4">
        <f t="shared" si="20"/>
        <v>1.5014082823017711</v>
      </c>
      <c r="DE37" s="4">
        <f t="shared" si="21"/>
        <v>0.50017207571355626</v>
      </c>
      <c r="DF37" s="4">
        <f t="shared" si="22"/>
        <v>0.19705278392031095</v>
      </c>
      <c r="DG37" s="13">
        <f t="shared" si="14"/>
        <v>0.19705278392031095</v>
      </c>
      <c r="DH37" s="4">
        <f t="shared" si="15"/>
        <v>3.1088797781046735</v>
      </c>
      <c r="DI37" s="4">
        <f t="shared" si="16"/>
        <v>1.217808319706746</v>
      </c>
      <c r="DJ37" s="4">
        <f t="shared" si="17"/>
        <v>4.4880050000000002</v>
      </c>
      <c r="DK37" s="4">
        <f t="shared" si="18"/>
        <v>1.6490050000000001</v>
      </c>
      <c r="DM37" s="4"/>
      <c r="DN37" s="17"/>
    </row>
    <row r="38" spans="1:118" x14ac:dyDescent="0.3">
      <c r="A38">
        <v>1983</v>
      </c>
      <c r="B38">
        <v>234333</v>
      </c>
      <c r="C38">
        <v>3634038</v>
      </c>
      <c r="D38">
        <v>3.4979640000000001</v>
      </c>
      <c r="E38">
        <v>4.1619960000000003</v>
      </c>
      <c r="F38">
        <v>2281605</v>
      </c>
      <c r="G38">
        <v>637518</v>
      </c>
      <c r="H38">
        <v>595393</v>
      </c>
      <c r="I38">
        <v>171164</v>
      </c>
      <c r="J38">
        <v>-51642</v>
      </c>
      <c r="K38">
        <v>3536684</v>
      </c>
      <c r="L38">
        <v>1081755</v>
      </c>
      <c r="M38">
        <v>2454930</v>
      </c>
      <c r="N38">
        <v>4.3330979999999997</v>
      </c>
      <c r="O38">
        <v>3.8769100000000001</v>
      </c>
      <c r="P38">
        <v>4.6798320000000002</v>
      </c>
      <c r="Q38">
        <v>463798</v>
      </c>
      <c r="R38">
        <v>606514</v>
      </c>
      <c r="S38">
        <v>350635</v>
      </c>
      <c r="T38">
        <v>2115737</v>
      </c>
      <c r="U38">
        <v>2042380.5</v>
      </c>
      <c r="V38">
        <v>670899.43999999994</v>
      </c>
      <c r="W38">
        <v>1371481.1</v>
      </c>
      <c r="X38">
        <v>0.58256050000000004</v>
      </c>
      <c r="Y38">
        <v>3.3432270000000002</v>
      </c>
      <c r="Z38">
        <v>2.7578589999999998</v>
      </c>
      <c r="AA38">
        <v>3.6693530000000001</v>
      </c>
      <c r="AB38">
        <v>4.6554460000000004</v>
      </c>
      <c r="AC38">
        <v>4.5598320000000001</v>
      </c>
      <c r="AD38">
        <v>4.6771219999999998</v>
      </c>
      <c r="AE38">
        <v>1.6745380000000001</v>
      </c>
      <c r="AF38">
        <v>1.2418979999999999</v>
      </c>
      <c r="AG38">
        <v>2.066738</v>
      </c>
      <c r="AH38">
        <v>0.62785489999999999</v>
      </c>
      <c r="AI38">
        <v>0.56207189999999996</v>
      </c>
      <c r="AJ38">
        <v>2722251</v>
      </c>
      <c r="AK38">
        <v>878005</v>
      </c>
      <c r="AL38">
        <v>1844246</v>
      </c>
      <c r="AM38">
        <v>3.3100309999999999</v>
      </c>
      <c r="AN38">
        <v>4.1301360000000003</v>
      </c>
      <c r="AO38">
        <v>2.8859349999999999</v>
      </c>
      <c r="AP38">
        <v>2.8909180000000001</v>
      </c>
      <c r="AQ38">
        <v>3.6571850000000001</v>
      </c>
      <c r="AR38">
        <v>5.3710060000000004</v>
      </c>
      <c r="AS38">
        <v>814433</v>
      </c>
      <c r="AT38">
        <v>4.3450839999999999</v>
      </c>
      <c r="AU38">
        <v>4.3221299999999996</v>
      </c>
      <c r="AV38">
        <v>0.56947349999999997</v>
      </c>
      <c r="AW38">
        <v>0.43052649999999998</v>
      </c>
      <c r="AX38">
        <v>0.22279869999999999</v>
      </c>
      <c r="AY38">
        <v>0.77720129999999998</v>
      </c>
      <c r="AZ38">
        <v>11.61702</v>
      </c>
      <c r="BA38">
        <v>0.60317580000000004</v>
      </c>
      <c r="BB38">
        <v>0.39682420000000002</v>
      </c>
      <c r="BC38">
        <v>0.64724230000000005</v>
      </c>
      <c r="BD38">
        <v>0</v>
      </c>
      <c r="BE38">
        <v>3.2592880000000002</v>
      </c>
      <c r="BF38">
        <v>3.2592889999999999</v>
      </c>
      <c r="BG38">
        <v>1</v>
      </c>
      <c r="BH38">
        <v>0.83056479999999999</v>
      </c>
      <c r="BI38">
        <v>0.25390200000000002</v>
      </c>
      <c r="BJ38">
        <v>0.74609800000000004</v>
      </c>
      <c r="BK38">
        <v>0.29117480000000001</v>
      </c>
      <c r="BL38" s="1">
        <v>3.9300000000000004E-15</v>
      </c>
      <c r="BM38">
        <v>3.049706</v>
      </c>
      <c r="BN38">
        <v>3.049706</v>
      </c>
      <c r="BO38">
        <v>1</v>
      </c>
      <c r="BP38">
        <v>0.44890160000000001</v>
      </c>
      <c r="BQ38">
        <v>0.23462150000000001</v>
      </c>
      <c r="BR38">
        <v>0.76537849999999996</v>
      </c>
      <c r="BS38">
        <v>0.55497370000000001</v>
      </c>
      <c r="BT38">
        <v>0.69686530000000002</v>
      </c>
      <c r="BU38">
        <v>0.44306980000000001</v>
      </c>
      <c r="BV38">
        <v>2.2260369999999998</v>
      </c>
      <c r="BW38">
        <v>3.5122710000000001</v>
      </c>
      <c r="BX38">
        <v>1.577814</v>
      </c>
      <c r="BY38">
        <v>0</v>
      </c>
      <c r="BZ38">
        <v>0.58082279999999997</v>
      </c>
      <c r="CA38">
        <v>0.41917720000000003</v>
      </c>
      <c r="CB38">
        <v>0.22739619999999999</v>
      </c>
      <c r="CC38">
        <v>0.77260390000000001</v>
      </c>
      <c r="CD38">
        <v>4.3144410000000004</v>
      </c>
      <c r="CE38">
        <v>4.7908869999999997</v>
      </c>
      <c r="CF38">
        <v>2.1779570000000001</v>
      </c>
      <c r="CG38">
        <v>3.506284</v>
      </c>
      <c r="CH38">
        <v>1.207104</v>
      </c>
      <c r="CI38">
        <v>1.0827610000000001</v>
      </c>
      <c r="CJ38">
        <v>0.89699079999999998</v>
      </c>
      <c r="CK38">
        <v>0.95557899999999996</v>
      </c>
      <c r="CL38">
        <v>0.56350199999999995</v>
      </c>
      <c r="CM38">
        <v>0.60514999999999997</v>
      </c>
      <c r="CN38">
        <v>0.53786230000000002</v>
      </c>
      <c r="CO38">
        <v>1.2777229999999999</v>
      </c>
      <c r="CP38">
        <v>1.258707</v>
      </c>
      <c r="CQ38">
        <v>1.2430289999999999</v>
      </c>
      <c r="CR38">
        <v>0.95582959999999995</v>
      </c>
      <c r="CS38">
        <v>1.1977800000000001</v>
      </c>
      <c r="CT38">
        <v>1.2475529999999999</v>
      </c>
      <c r="CU38">
        <v>1.280966</v>
      </c>
      <c r="CW38">
        <f t="shared" si="4"/>
        <v>818273.39760719833</v>
      </c>
      <c r="CX38">
        <f t="shared" si="10"/>
        <v>7.5208599262342801E-2</v>
      </c>
      <c r="CY38">
        <f t="shared" si="11"/>
        <v>3.6629434793644222E-2</v>
      </c>
      <c r="CZ38">
        <f t="shared" si="12"/>
        <v>1.5365230622371939E-2</v>
      </c>
      <c r="DA38">
        <f t="shared" si="13"/>
        <v>5.0561586047618852E-2</v>
      </c>
      <c r="DB38">
        <f t="shared" si="5"/>
        <v>5.0561586047618852E-2</v>
      </c>
      <c r="DC38" s="12">
        <f t="shared" si="19"/>
        <v>1.2094710605995527</v>
      </c>
      <c r="DD38" s="4">
        <f t="shared" si="20"/>
        <v>1.5380377170954154</v>
      </c>
      <c r="DE38" s="4">
        <f t="shared" si="21"/>
        <v>0.5155373063359282</v>
      </c>
      <c r="DF38" s="4">
        <f t="shared" si="22"/>
        <v>0.24761436996792979</v>
      </c>
      <c r="DG38" s="13">
        <f t="shared" si="14"/>
        <v>0.24761436996792979</v>
      </c>
      <c r="DH38" s="4">
        <f t="shared" si="15"/>
        <v>3.3517113314185476</v>
      </c>
      <c r="DI38" s="4">
        <f t="shared" si="16"/>
        <v>1.2809658580303132</v>
      </c>
      <c r="DJ38" s="4">
        <f t="shared" si="17"/>
        <v>4.6554460000000004</v>
      </c>
      <c r="DK38" s="4">
        <f t="shared" si="18"/>
        <v>1.6745380000000001</v>
      </c>
      <c r="DM38" s="4"/>
      <c r="DN38" s="17"/>
    </row>
    <row r="39" spans="1:118" x14ac:dyDescent="0.3">
      <c r="A39">
        <v>1984</v>
      </c>
      <c r="B39">
        <v>236394</v>
      </c>
      <c r="C39">
        <v>4037613</v>
      </c>
      <c r="D39">
        <v>3.7510970000000001</v>
      </c>
      <c r="E39">
        <v>4.3121510000000001</v>
      </c>
      <c r="F39">
        <v>2492340</v>
      </c>
      <c r="G39">
        <v>820089</v>
      </c>
      <c r="H39">
        <v>634728</v>
      </c>
      <c r="I39">
        <v>193182</v>
      </c>
      <c r="J39">
        <v>-102727</v>
      </c>
      <c r="K39">
        <v>3924396</v>
      </c>
      <c r="L39">
        <v>1215933</v>
      </c>
      <c r="M39">
        <v>2708463</v>
      </c>
      <c r="N39">
        <v>4.490958</v>
      </c>
      <c r="O39">
        <v>3.9630749999999999</v>
      </c>
      <c r="P39">
        <v>4.8801899999999998</v>
      </c>
      <c r="Q39">
        <v>539736</v>
      </c>
      <c r="R39">
        <v>664108</v>
      </c>
      <c r="S39">
        <v>408130</v>
      </c>
      <c r="T39">
        <v>2312422</v>
      </c>
      <c r="U39">
        <v>2272605.2999999998</v>
      </c>
      <c r="V39">
        <v>760622.44</v>
      </c>
      <c r="W39">
        <v>1511982.9</v>
      </c>
      <c r="X39">
        <v>0.57829079999999999</v>
      </c>
      <c r="Y39">
        <v>3.5793309999999998</v>
      </c>
      <c r="Z39">
        <v>3.0325380000000002</v>
      </c>
      <c r="AA39">
        <v>3.882101</v>
      </c>
      <c r="AB39">
        <v>4.8542589999999999</v>
      </c>
      <c r="AC39">
        <v>4.6733390000000004</v>
      </c>
      <c r="AD39">
        <v>4.9088859999999999</v>
      </c>
      <c r="AE39">
        <v>1.76894</v>
      </c>
      <c r="AF39">
        <v>1.3339049999999999</v>
      </c>
      <c r="AG39">
        <v>2.1653159999999998</v>
      </c>
      <c r="AH39">
        <v>0.62287099999999995</v>
      </c>
      <c r="AI39">
        <v>0.55845400000000001</v>
      </c>
      <c r="AJ39">
        <v>2976530</v>
      </c>
      <c r="AK39">
        <v>986550</v>
      </c>
      <c r="AL39">
        <v>1989980</v>
      </c>
      <c r="AM39">
        <v>3.4763709999999999</v>
      </c>
      <c r="AN39">
        <v>4.3092829999999998</v>
      </c>
      <c r="AO39">
        <v>2.9492340000000001</v>
      </c>
      <c r="AP39">
        <v>3.1855760000000002</v>
      </c>
      <c r="AQ39">
        <v>3.7582330000000002</v>
      </c>
      <c r="AR39">
        <v>5.6519880000000002</v>
      </c>
      <c r="AS39">
        <v>947866</v>
      </c>
      <c r="AT39">
        <v>4.9971839999999998</v>
      </c>
      <c r="AU39">
        <v>4.3738330000000003</v>
      </c>
      <c r="AV39">
        <v>0.56942219999999999</v>
      </c>
      <c r="AW39">
        <v>0.43057770000000001</v>
      </c>
      <c r="AX39">
        <v>0.2231149</v>
      </c>
      <c r="AY39">
        <v>0.77688520000000005</v>
      </c>
      <c r="AZ39">
        <v>12.591390000000001</v>
      </c>
      <c r="BA39">
        <v>0.59839339999999996</v>
      </c>
      <c r="BB39">
        <v>0.40160659999999998</v>
      </c>
      <c r="BC39">
        <v>0.64724230000000005</v>
      </c>
      <c r="BD39">
        <v>0</v>
      </c>
      <c r="BE39">
        <v>3.4586060000000001</v>
      </c>
      <c r="BF39">
        <v>3.4586060000000001</v>
      </c>
      <c r="BG39">
        <v>1</v>
      </c>
      <c r="BH39">
        <v>0.83056479999999999</v>
      </c>
      <c r="BI39">
        <v>0.25014310000000001</v>
      </c>
      <c r="BJ39">
        <v>0.74985679999999999</v>
      </c>
      <c r="BK39">
        <v>0.29117480000000001</v>
      </c>
      <c r="BL39" s="1">
        <v>3.9300000000000004E-15</v>
      </c>
      <c r="BM39">
        <v>3.2137790000000002</v>
      </c>
      <c r="BN39">
        <v>3.2137790000000002</v>
      </c>
      <c r="BO39">
        <v>1</v>
      </c>
      <c r="BP39">
        <v>0.44890160000000001</v>
      </c>
      <c r="BQ39">
        <v>0.22647729999999999</v>
      </c>
      <c r="BR39">
        <v>0.77352270000000001</v>
      </c>
      <c r="BS39">
        <v>0.55497370000000001</v>
      </c>
      <c r="BT39">
        <v>0.69686530000000002</v>
      </c>
      <c r="BU39">
        <v>0.44306980000000001</v>
      </c>
      <c r="BV39">
        <v>2.2983950000000002</v>
      </c>
      <c r="BW39">
        <v>3.7218629999999999</v>
      </c>
      <c r="BX39">
        <v>1.6193310000000001</v>
      </c>
      <c r="BY39">
        <v>0</v>
      </c>
      <c r="BZ39">
        <v>0.56944790000000001</v>
      </c>
      <c r="CA39">
        <v>0.43055209999999999</v>
      </c>
      <c r="CB39">
        <v>0.22295680000000001</v>
      </c>
      <c r="CC39">
        <v>0.77704320000000004</v>
      </c>
      <c r="CD39">
        <v>4.9116850000000003</v>
      </c>
      <c r="CE39">
        <v>5.3475250000000001</v>
      </c>
      <c r="CF39">
        <v>2.3329240000000002</v>
      </c>
      <c r="CG39">
        <v>3.674903</v>
      </c>
      <c r="CH39">
        <v>1.2314149999999999</v>
      </c>
      <c r="CI39">
        <v>1.1157699999999999</v>
      </c>
      <c r="CJ39">
        <v>0.90608739999999999</v>
      </c>
      <c r="CK39">
        <v>0.9852417</v>
      </c>
      <c r="CL39">
        <v>0.56350199999999995</v>
      </c>
      <c r="CM39">
        <v>0.60514999999999997</v>
      </c>
      <c r="CN39">
        <v>0.53786230000000002</v>
      </c>
      <c r="CO39">
        <v>1.302338</v>
      </c>
      <c r="CP39">
        <v>1.3152470000000001</v>
      </c>
      <c r="CQ39">
        <v>1.254259</v>
      </c>
      <c r="CR39">
        <v>0.97384789999999999</v>
      </c>
      <c r="CS39">
        <v>1.2592509999999999</v>
      </c>
      <c r="CT39">
        <v>1.271425</v>
      </c>
      <c r="CU39">
        <v>1.337213</v>
      </c>
      <c r="CW39">
        <f t="shared" si="4"/>
        <v>897244.13346371474</v>
      </c>
      <c r="CX39">
        <f t="shared" si="10"/>
        <v>9.2131483989350116E-2</v>
      </c>
      <c r="CY39">
        <f t="shared" si="11"/>
        <v>4.181874684071607E-2</v>
      </c>
      <c r="CZ39">
        <f t="shared" si="12"/>
        <v>5.4843190799013897E-2</v>
      </c>
      <c r="DA39">
        <f t="shared" si="13"/>
        <v>4.2973436929245303E-2</v>
      </c>
      <c r="DB39">
        <f t="shared" si="5"/>
        <v>4.2973436929245303E-2</v>
      </c>
      <c r="DC39" s="12">
        <f t="shared" si="19"/>
        <v>1.3016025445889028</v>
      </c>
      <c r="DD39" s="4">
        <f t="shared" si="20"/>
        <v>1.5798564639361314</v>
      </c>
      <c r="DE39" s="4">
        <f t="shared" si="21"/>
        <v>0.5703804971349421</v>
      </c>
      <c r="DF39" s="4">
        <f t="shared" si="22"/>
        <v>0.29058780689717512</v>
      </c>
      <c r="DG39" s="13">
        <f t="shared" si="14"/>
        <v>0.29058780689717512</v>
      </c>
      <c r="DH39" s="4">
        <f t="shared" si="15"/>
        <v>3.6751815933074781</v>
      </c>
      <c r="DI39" s="4">
        <f t="shared" si="16"/>
        <v>1.3372132802449257</v>
      </c>
      <c r="DJ39" s="4">
        <f t="shared" si="17"/>
        <v>4.8542589999999999</v>
      </c>
      <c r="DK39" s="4">
        <f t="shared" si="18"/>
        <v>1.76894</v>
      </c>
      <c r="DM39" s="4"/>
      <c r="DN39" s="17"/>
    </row>
    <row r="40" spans="1:118" x14ac:dyDescent="0.3">
      <c r="A40">
        <v>1985</v>
      </c>
      <c r="B40">
        <v>238506</v>
      </c>
      <c r="C40">
        <v>4338979</v>
      </c>
      <c r="D40">
        <v>3.9074800000000001</v>
      </c>
      <c r="E40">
        <v>4.4485489999999999</v>
      </c>
      <c r="F40">
        <v>2712830</v>
      </c>
      <c r="G40">
        <v>829650</v>
      </c>
      <c r="H40">
        <v>690640</v>
      </c>
      <c r="I40">
        <v>219876</v>
      </c>
      <c r="J40">
        <v>-114018</v>
      </c>
      <c r="K40">
        <v>4225331</v>
      </c>
      <c r="L40">
        <v>1265461</v>
      </c>
      <c r="M40">
        <v>2959870</v>
      </c>
      <c r="N40">
        <v>4.6316550000000003</v>
      </c>
      <c r="O40">
        <v>3.9274369999999998</v>
      </c>
      <c r="P40">
        <v>5.1217990000000002</v>
      </c>
      <c r="Q40">
        <v>575883</v>
      </c>
      <c r="R40">
        <v>678879</v>
      </c>
      <c r="S40">
        <v>451819</v>
      </c>
      <c r="T40">
        <v>2518750</v>
      </c>
      <c r="U40">
        <v>2468433.2999999998</v>
      </c>
      <c r="V40">
        <v>806297.56</v>
      </c>
      <c r="W40">
        <v>1662135.6</v>
      </c>
      <c r="X40">
        <v>0.5816479</v>
      </c>
      <c r="Y40">
        <v>3.7367379999999999</v>
      </c>
      <c r="Z40">
        <v>3.1846999999999999</v>
      </c>
      <c r="AA40">
        <v>4.0423220000000004</v>
      </c>
      <c r="AB40">
        <v>5.0852209999999998</v>
      </c>
      <c r="AC40">
        <v>4.8268800000000001</v>
      </c>
      <c r="AD40">
        <v>5.1692369999999999</v>
      </c>
      <c r="AE40">
        <v>1.80694</v>
      </c>
      <c r="AF40">
        <v>1.3505529999999999</v>
      </c>
      <c r="AG40">
        <v>2.2215229999999999</v>
      </c>
      <c r="AH40">
        <v>0.63135180000000002</v>
      </c>
      <c r="AI40">
        <v>0.55990050000000002</v>
      </c>
      <c r="AJ40">
        <v>3197629</v>
      </c>
      <c r="AK40">
        <v>1007808</v>
      </c>
      <c r="AL40">
        <v>2189821</v>
      </c>
      <c r="AM40">
        <v>3.5914069999999998</v>
      </c>
      <c r="AN40">
        <v>4.4703239999999997</v>
      </c>
      <c r="AO40">
        <v>3.0823969999999998</v>
      </c>
      <c r="AP40">
        <v>3.1061489999999998</v>
      </c>
      <c r="AQ40">
        <v>3.9409689999999999</v>
      </c>
      <c r="AR40">
        <v>5.9169320000000001</v>
      </c>
      <c r="AS40">
        <v>1027702</v>
      </c>
      <c r="AT40">
        <v>5.3472239999999998</v>
      </c>
      <c r="AU40">
        <v>4.4317929999999999</v>
      </c>
      <c r="AV40">
        <v>0.56035990000000002</v>
      </c>
      <c r="AW40">
        <v>0.43964009999999998</v>
      </c>
      <c r="AX40">
        <v>0.212307</v>
      </c>
      <c r="AY40">
        <v>0.78769299999999998</v>
      </c>
      <c r="AZ40">
        <v>13.40691</v>
      </c>
      <c r="BA40">
        <v>0.58453560000000004</v>
      </c>
      <c r="BB40">
        <v>0.41546440000000001</v>
      </c>
      <c r="BC40">
        <v>0.64724230000000005</v>
      </c>
      <c r="BD40">
        <v>0</v>
      </c>
      <c r="BE40">
        <v>3.6624029999999999</v>
      </c>
      <c r="BF40">
        <v>3.6624029999999999</v>
      </c>
      <c r="BG40">
        <v>1</v>
      </c>
      <c r="BH40">
        <v>0.83056479999999999</v>
      </c>
      <c r="BI40">
        <v>0.2395399</v>
      </c>
      <c r="BJ40">
        <v>0.76046009999999997</v>
      </c>
      <c r="BK40">
        <v>0.29117480000000001</v>
      </c>
      <c r="BL40" s="1">
        <v>3.9300000000000004E-15</v>
      </c>
      <c r="BM40">
        <v>3.3361540000000001</v>
      </c>
      <c r="BN40">
        <v>3.3361540000000001</v>
      </c>
      <c r="BO40">
        <v>1</v>
      </c>
      <c r="BP40">
        <v>0.44890160000000001</v>
      </c>
      <c r="BQ40">
        <v>0.21586759999999999</v>
      </c>
      <c r="BR40">
        <v>0.78413239999999995</v>
      </c>
      <c r="BS40">
        <v>0.55497370000000001</v>
      </c>
      <c r="BT40">
        <v>0.69686530000000002</v>
      </c>
      <c r="BU40">
        <v>0.44306980000000001</v>
      </c>
      <c r="BV40">
        <v>2.374806</v>
      </c>
      <c r="BW40">
        <v>3.8619690000000002</v>
      </c>
      <c r="BX40">
        <v>1.626225</v>
      </c>
      <c r="BY40">
        <v>0</v>
      </c>
      <c r="BZ40">
        <v>0.56489109999999998</v>
      </c>
      <c r="CA40">
        <v>0.43510890000000002</v>
      </c>
      <c r="CB40">
        <v>0.21771099999999999</v>
      </c>
      <c r="CC40">
        <v>0.78228900000000001</v>
      </c>
      <c r="CD40">
        <v>5.2881830000000001</v>
      </c>
      <c r="CE40">
        <v>5.6406999999999998</v>
      </c>
      <c r="CF40">
        <v>2.4064519999999998</v>
      </c>
      <c r="CG40">
        <v>3.813977</v>
      </c>
      <c r="CH40">
        <v>1.3041069999999999</v>
      </c>
      <c r="CI40">
        <v>1.155694</v>
      </c>
      <c r="CJ40">
        <v>0.88619599999999998</v>
      </c>
      <c r="CK40">
        <v>1.008694</v>
      </c>
      <c r="CL40">
        <v>0.56350199999999995</v>
      </c>
      <c r="CM40">
        <v>0.60514999999999997</v>
      </c>
      <c r="CN40">
        <v>0.53786230000000002</v>
      </c>
      <c r="CO40">
        <v>1.316441</v>
      </c>
      <c r="CP40">
        <v>1.3524020000000001</v>
      </c>
      <c r="CQ40">
        <v>1.2585869999999999</v>
      </c>
      <c r="CR40">
        <v>0.97653719999999999</v>
      </c>
      <c r="CS40">
        <v>1.286834</v>
      </c>
      <c r="CT40">
        <v>1.2845329999999999</v>
      </c>
      <c r="CU40">
        <v>1.3758090000000001</v>
      </c>
      <c r="CW40">
        <f t="shared" si="4"/>
        <v>953413.43785686744</v>
      </c>
      <c r="CX40">
        <f t="shared" si="10"/>
        <v>6.0720645685417907E-2</v>
      </c>
      <c r="CY40">
        <f t="shared" si="11"/>
        <v>4.6482025780258285E-2</v>
      </c>
      <c r="CZ40">
        <f t="shared" si="12"/>
        <v>2.1254309718011455E-2</v>
      </c>
      <c r="DA40">
        <f t="shared" si="13"/>
        <v>2.8454488361667838E-2</v>
      </c>
      <c r="DB40">
        <f t="shared" si="5"/>
        <v>2.8454488361667838E-2</v>
      </c>
      <c r="DC40" s="12">
        <f t="shared" si="19"/>
        <v>1.3623231902743207</v>
      </c>
      <c r="DD40" s="4">
        <f t="shared" si="20"/>
        <v>1.6263384897163897</v>
      </c>
      <c r="DE40" s="4">
        <f t="shared" si="21"/>
        <v>0.59163480685295355</v>
      </c>
      <c r="DF40" s="4">
        <f t="shared" si="22"/>
        <v>0.31904229525884298</v>
      </c>
      <c r="DG40" s="13">
        <f t="shared" si="14"/>
        <v>0.31904229525884298</v>
      </c>
      <c r="DH40" s="4">
        <f t="shared" si="15"/>
        <v>3.9052554226204523</v>
      </c>
      <c r="DI40" s="4">
        <f t="shared" si="16"/>
        <v>1.3758095138949804</v>
      </c>
      <c r="DJ40" s="4">
        <f t="shared" si="17"/>
        <v>5.0852209999999998</v>
      </c>
      <c r="DK40" s="4">
        <f t="shared" si="18"/>
        <v>1.80694</v>
      </c>
      <c r="DM40" s="4"/>
      <c r="DN40" s="17"/>
    </row>
    <row r="41" spans="1:118" x14ac:dyDescent="0.3">
      <c r="A41">
        <v>1986</v>
      </c>
      <c r="B41">
        <v>240683</v>
      </c>
      <c r="C41">
        <v>4579631</v>
      </c>
      <c r="D41">
        <v>4.0427869999999997</v>
      </c>
      <c r="E41">
        <v>4.5381330000000002</v>
      </c>
      <c r="F41">
        <v>2886278</v>
      </c>
      <c r="G41">
        <v>849146</v>
      </c>
      <c r="H41">
        <v>737989</v>
      </c>
      <c r="I41">
        <v>238087</v>
      </c>
      <c r="J41">
        <v>-131869</v>
      </c>
      <c r="K41">
        <v>4466133</v>
      </c>
      <c r="L41">
        <v>1281383</v>
      </c>
      <c r="M41">
        <v>3184750</v>
      </c>
      <c r="N41">
        <v>4.7225809999999999</v>
      </c>
      <c r="O41">
        <v>3.880814</v>
      </c>
      <c r="P41">
        <v>5.2907690000000001</v>
      </c>
      <c r="Q41">
        <v>594229</v>
      </c>
      <c r="R41">
        <v>674254</v>
      </c>
      <c r="S41">
        <v>486433</v>
      </c>
      <c r="T41">
        <v>2711217</v>
      </c>
      <c r="U41">
        <v>2613823</v>
      </c>
      <c r="V41">
        <v>832855.63</v>
      </c>
      <c r="W41">
        <v>1780967.3</v>
      </c>
      <c r="X41">
        <v>0.58472659999999999</v>
      </c>
      <c r="Y41">
        <v>3.8736489999999999</v>
      </c>
      <c r="Z41">
        <v>3.2635100000000001</v>
      </c>
      <c r="AA41">
        <v>4.2105350000000001</v>
      </c>
      <c r="AB41">
        <v>5.322603</v>
      </c>
      <c r="AC41">
        <v>4.9581489999999997</v>
      </c>
      <c r="AD41">
        <v>5.4448569999999998</v>
      </c>
      <c r="AE41">
        <v>1.820919</v>
      </c>
      <c r="AF41">
        <v>1.32504</v>
      </c>
      <c r="AG41">
        <v>2.2674470000000002</v>
      </c>
      <c r="AH41">
        <v>0.64356179999999996</v>
      </c>
      <c r="AI41">
        <v>0.56038719999999997</v>
      </c>
      <c r="AJ41">
        <v>3385471</v>
      </c>
      <c r="AK41">
        <v>1029137</v>
      </c>
      <c r="AL41">
        <v>2356334</v>
      </c>
      <c r="AM41">
        <v>3.7192919999999998</v>
      </c>
      <c r="AN41">
        <v>4.561293</v>
      </c>
      <c r="AO41">
        <v>3.205587</v>
      </c>
      <c r="AP41">
        <v>3.0440529999999999</v>
      </c>
      <c r="AQ41">
        <v>4.0981649999999998</v>
      </c>
      <c r="AR41">
        <v>6.1107189999999996</v>
      </c>
      <c r="AS41">
        <v>1080662</v>
      </c>
      <c r="AT41">
        <v>5.5154860000000001</v>
      </c>
      <c r="AU41">
        <v>4.5180049999999996</v>
      </c>
      <c r="AV41">
        <v>0.549875</v>
      </c>
      <c r="AW41">
        <v>0.450125</v>
      </c>
      <c r="AX41">
        <v>0.19916110000000001</v>
      </c>
      <c r="AY41">
        <v>0.80083890000000002</v>
      </c>
      <c r="AZ41">
        <v>14.0661</v>
      </c>
      <c r="BA41">
        <v>0.57371399999999995</v>
      </c>
      <c r="BB41">
        <v>0.426286</v>
      </c>
      <c r="BC41">
        <v>0.64724230000000005</v>
      </c>
      <c r="BD41">
        <v>0</v>
      </c>
      <c r="BE41">
        <v>3.8514840000000001</v>
      </c>
      <c r="BF41">
        <v>3.8514840000000001</v>
      </c>
      <c r="BG41">
        <v>1</v>
      </c>
      <c r="BH41">
        <v>0.83056479999999999</v>
      </c>
      <c r="BI41">
        <v>0.23154569999999999</v>
      </c>
      <c r="BJ41">
        <v>0.76845430000000003</v>
      </c>
      <c r="BK41">
        <v>0.29117480000000001</v>
      </c>
      <c r="BL41" s="1">
        <v>3.9300000000000004E-15</v>
      </c>
      <c r="BM41">
        <v>3.4552740000000002</v>
      </c>
      <c r="BN41">
        <v>3.4552740000000002</v>
      </c>
      <c r="BO41">
        <v>1</v>
      </c>
      <c r="BP41">
        <v>0.44890160000000001</v>
      </c>
      <c r="BQ41">
        <v>0.2074936</v>
      </c>
      <c r="BR41">
        <v>0.79250640000000006</v>
      </c>
      <c r="BS41">
        <v>0.55497370000000001</v>
      </c>
      <c r="BT41">
        <v>0.69686530000000002</v>
      </c>
      <c r="BU41">
        <v>0.44306980000000001</v>
      </c>
      <c r="BV41">
        <v>2.445811</v>
      </c>
      <c r="BW41">
        <v>4.0005249999999997</v>
      </c>
      <c r="BX41">
        <v>1.635664</v>
      </c>
      <c r="BY41">
        <v>0</v>
      </c>
      <c r="BZ41">
        <v>0.55511739999999998</v>
      </c>
      <c r="CA41">
        <v>0.44488250000000001</v>
      </c>
      <c r="CB41">
        <v>0.2057341</v>
      </c>
      <c r="CC41">
        <v>0.79426589999999997</v>
      </c>
      <c r="CD41">
        <v>5.5222040000000003</v>
      </c>
      <c r="CE41">
        <v>5.878889</v>
      </c>
      <c r="CF41">
        <v>2.418771</v>
      </c>
      <c r="CG41">
        <v>3.9743040000000001</v>
      </c>
      <c r="CH41">
        <v>1.3633139999999999</v>
      </c>
      <c r="CI41">
        <v>1.171041</v>
      </c>
      <c r="CJ41">
        <v>0.85896640000000002</v>
      </c>
      <c r="CK41">
        <v>1.0095810000000001</v>
      </c>
      <c r="CL41">
        <v>0.56350199999999995</v>
      </c>
      <c r="CM41">
        <v>0.60514999999999997</v>
      </c>
      <c r="CN41">
        <v>0.53786230000000002</v>
      </c>
      <c r="CO41">
        <v>1.331969</v>
      </c>
      <c r="CP41">
        <v>1.3845320000000001</v>
      </c>
      <c r="CQ41">
        <v>1.2668779999999999</v>
      </c>
      <c r="CR41">
        <v>0.96541399999999999</v>
      </c>
      <c r="CS41">
        <v>1.2942469999999999</v>
      </c>
      <c r="CT41">
        <v>1.2990200000000001</v>
      </c>
      <c r="CU41">
        <v>1.3922810000000001</v>
      </c>
      <c r="CW41">
        <f t="shared" si="4"/>
        <v>988518.82634038699</v>
      </c>
      <c r="CX41">
        <f t="shared" si="10"/>
        <v>3.6159050451550101E-2</v>
      </c>
      <c r="CY41">
        <f t="shared" si="11"/>
        <v>4.5623979690224692E-2</v>
      </c>
      <c r="CZ41">
        <f t="shared" si="12"/>
        <v>7.7065118488401918E-3</v>
      </c>
      <c r="DA41">
        <f t="shared" si="13"/>
        <v>1.1901639724881254E-2</v>
      </c>
      <c r="DB41">
        <f t="shared" si="5"/>
        <v>1.1901639724881254E-2</v>
      </c>
      <c r="DC41" s="12">
        <f t="shared" si="19"/>
        <v>1.3984822407258708</v>
      </c>
      <c r="DD41" s="4">
        <f t="shared" si="20"/>
        <v>1.6719624694066144</v>
      </c>
      <c r="DE41" s="4">
        <f t="shared" si="21"/>
        <v>0.59934131870179375</v>
      </c>
      <c r="DF41" s="4">
        <f t="shared" si="22"/>
        <v>0.33094393498372421</v>
      </c>
      <c r="DG41" s="13">
        <f t="shared" si="14"/>
        <v>0.33094393498372421</v>
      </c>
      <c r="DH41" s="4">
        <f t="shared" si="15"/>
        <v>4.0490498178899745</v>
      </c>
      <c r="DI41" s="4">
        <f t="shared" si="16"/>
        <v>1.3922817318220284</v>
      </c>
      <c r="DJ41" s="4">
        <f t="shared" si="17"/>
        <v>5.322603</v>
      </c>
      <c r="DK41" s="4">
        <f t="shared" si="18"/>
        <v>1.820919</v>
      </c>
      <c r="DM41" s="4"/>
      <c r="DN41" s="17"/>
    </row>
    <row r="42" spans="1:118" x14ac:dyDescent="0.3">
      <c r="A42">
        <v>1987</v>
      </c>
      <c r="B42">
        <v>242843</v>
      </c>
      <c r="C42">
        <v>4855215</v>
      </c>
      <c r="D42">
        <v>4.1826449999999999</v>
      </c>
      <c r="E42">
        <v>4.6503430000000003</v>
      </c>
      <c r="F42">
        <v>3076279</v>
      </c>
      <c r="G42">
        <v>892176</v>
      </c>
      <c r="H42">
        <v>776893</v>
      </c>
      <c r="I42">
        <v>254637</v>
      </c>
      <c r="J42">
        <v>-144770</v>
      </c>
      <c r="K42">
        <v>4753139</v>
      </c>
      <c r="L42">
        <v>1360537</v>
      </c>
      <c r="M42">
        <v>3392602</v>
      </c>
      <c r="N42">
        <v>4.8716410000000003</v>
      </c>
      <c r="O42">
        <v>3.907772</v>
      </c>
      <c r="P42">
        <v>5.5109709999999996</v>
      </c>
      <c r="Q42">
        <v>616978</v>
      </c>
      <c r="R42">
        <v>730233</v>
      </c>
      <c r="S42">
        <v>502686</v>
      </c>
      <c r="T42">
        <v>2903242</v>
      </c>
      <c r="U42">
        <v>2806064.5</v>
      </c>
      <c r="V42">
        <v>864301.31</v>
      </c>
      <c r="W42">
        <v>1941763</v>
      </c>
      <c r="X42">
        <v>0.58780730000000003</v>
      </c>
      <c r="Y42">
        <v>3.9964400000000002</v>
      </c>
      <c r="Z42">
        <v>3.441201</v>
      </c>
      <c r="AA42">
        <v>4.306114</v>
      </c>
      <c r="AB42">
        <v>5.5711399999999998</v>
      </c>
      <c r="AC42">
        <v>5.0682660000000004</v>
      </c>
      <c r="AD42">
        <v>5.743887</v>
      </c>
      <c r="AE42">
        <v>1.8855459999999999</v>
      </c>
      <c r="AF42">
        <v>1.3493040000000001</v>
      </c>
      <c r="AG42">
        <v>2.3659129999999999</v>
      </c>
      <c r="AH42">
        <v>0.64261570000000001</v>
      </c>
      <c r="AI42">
        <v>0.56578479999999998</v>
      </c>
      <c r="AJ42">
        <v>3633475</v>
      </c>
      <c r="AK42">
        <v>1103238</v>
      </c>
      <c r="AL42">
        <v>2530237</v>
      </c>
      <c r="AM42">
        <v>3.867302</v>
      </c>
      <c r="AN42">
        <v>4.6833299999999998</v>
      </c>
      <c r="AO42">
        <v>3.3036840000000001</v>
      </c>
      <c r="AP42">
        <v>3.1496979999999999</v>
      </c>
      <c r="AQ42">
        <v>4.2462119999999999</v>
      </c>
      <c r="AR42">
        <v>6.2996410000000003</v>
      </c>
      <c r="AS42">
        <v>1119664</v>
      </c>
      <c r="AT42">
        <v>5.6130190000000004</v>
      </c>
      <c r="AU42">
        <v>4.5997240000000001</v>
      </c>
      <c r="AV42">
        <v>0.55103849999999999</v>
      </c>
      <c r="AW42">
        <v>0.44896150000000001</v>
      </c>
      <c r="AX42">
        <v>0.20097370000000001</v>
      </c>
      <c r="AY42">
        <v>0.79902629999999997</v>
      </c>
      <c r="AZ42">
        <v>14.96224</v>
      </c>
      <c r="BA42">
        <v>0.56541439999999998</v>
      </c>
      <c r="BB42">
        <v>0.43458560000000002</v>
      </c>
      <c r="BC42">
        <v>0.64724230000000005</v>
      </c>
      <c r="BD42">
        <v>0</v>
      </c>
      <c r="BE42">
        <v>4.0457229999999997</v>
      </c>
      <c r="BF42">
        <v>4.0457229999999997</v>
      </c>
      <c r="BG42">
        <v>1</v>
      </c>
      <c r="BH42">
        <v>0.83056479999999999</v>
      </c>
      <c r="BI42">
        <v>0.22557669999999999</v>
      </c>
      <c r="BJ42">
        <v>0.77442330000000004</v>
      </c>
      <c r="BK42">
        <v>0.29117480000000001</v>
      </c>
      <c r="BL42" s="1">
        <v>3.9300000000000004E-15</v>
      </c>
      <c r="BM42">
        <v>3.587869</v>
      </c>
      <c r="BN42">
        <v>3.587869</v>
      </c>
      <c r="BO42">
        <v>1</v>
      </c>
      <c r="BP42">
        <v>0.44890160000000001</v>
      </c>
      <c r="BQ42">
        <v>0.20030919999999999</v>
      </c>
      <c r="BR42">
        <v>0.79969080000000003</v>
      </c>
      <c r="BS42">
        <v>0.55497370000000001</v>
      </c>
      <c r="BT42">
        <v>0.69686530000000002</v>
      </c>
      <c r="BU42">
        <v>0.44306980000000001</v>
      </c>
      <c r="BV42">
        <v>2.5166089999999999</v>
      </c>
      <c r="BW42">
        <v>4.1593939999999998</v>
      </c>
      <c r="BX42">
        <v>1.6527769999999999</v>
      </c>
      <c r="BY42">
        <v>0</v>
      </c>
      <c r="BZ42">
        <v>0.55045679999999997</v>
      </c>
      <c r="CA42">
        <v>0.44954319999999998</v>
      </c>
      <c r="CB42">
        <v>0.20006740000000001</v>
      </c>
      <c r="CC42">
        <v>0.79993259999999999</v>
      </c>
      <c r="CD42">
        <v>5.6940580000000001</v>
      </c>
      <c r="CE42">
        <v>5.8325670000000001</v>
      </c>
      <c r="CF42">
        <v>2.601515</v>
      </c>
      <c r="CG42">
        <v>4.0857400000000004</v>
      </c>
      <c r="CH42">
        <v>1.4102589999999999</v>
      </c>
      <c r="CI42">
        <v>1.1981090000000001</v>
      </c>
      <c r="CJ42">
        <v>0.84956670000000001</v>
      </c>
      <c r="CK42">
        <v>1.018176</v>
      </c>
      <c r="CL42">
        <v>0.56350199999999995</v>
      </c>
      <c r="CM42">
        <v>0.60514999999999997</v>
      </c>
      <c r="CN42">
        <v>0.53786230000000002</v>
      </c>
      <c r="CO42">
        <v>1.320873</v>
      </c>
      <c r="CP42">
        <v>1.4312750000000001</v>
      </c>
      <c r="CQ42">
        <v>1.2357899999999999</v>
      </c>
      <c r="CR42">
        <v>0.96949269999999999</v>
      </c>
      <c r="CS42">
        <v>1.3142720000000001</v>
      </c>
      <c r="CT42">
        <v>1.2869710000000001</v>
      </c>
      <c r="CU42">
        <v>1.398957</v>
      </c>
      <c r="CW42">
        <f t="shared" si="4"/>
        <v>1033353.0881418103</v>
      </c>
      <c r="CX42">
        <f t="shared" si="10"/>
        <v>4.4356531387618858E-2</v>
      </c>
      <c r="CY42">
        <f t="shared" si="11"/>
        <v>4.5637231454523031E-2</v>
      </c>
      <c r="CZ42">
        <f t="shared" si="12"/>
        <v>3.4876115428633558E-2</v>
      </c>
      <c r="DA42">
        <f t="shared" si="13"/>
        <v>4.7832103359165996E-3</v>
      </c>
      <c r="DB42">
        <f t="shared" si="5"/>
        <v>4.7832103359165996E-3</v>
      </c>
      <c r="DC42" s="12">
        <f t="shared" si="19"/>
        <v>1.4428387721134897</v>
      </c>
      <c r="DD42" s="4">
        <f t="shared" si="20"/>
        <v>1.7175997008611374</v>
      </c>
      <c r="DE42" s="4">
        <f t="shared" si="21"/>
        <v>0.6342174341304273</v>
      </c>
      <c r="DF42" s="4">
        <f t="shared" si="22"/>
        <v>0.33572714531964082</v>
      </c>
      <c r="DG42" s="13">
        <f t="shared" si="14"/>
        <v>0.33572714531964082</v>
      </c>
      <c r="DH42" s="4">
        <f t="shared" si="15"/>
        <v>4.2326944331921963</v>
      </c>
      <c r="DI42" s="4">
        <f t="shared" si="16"/>
        <v>1.398957260694033</v>
      </c>
      <c r="DJ42" s="4">
        <f t="shared" si="17"/>
        <v>5.5711399999999998</v>
      </c>
      <c r="DK42" s="4">
        <f t="shared" si="18"/>
        <v>1.8855459999999999</v>
      </c>
      <c r="DM42" s="4"/>
      <c r="DN42" s="17"/>
    </row>
    <row r="43" spans="1:118" x14ac:dyDescent="0.3">
      <c r="A43">
        <v>1988</v>
      </c>
      <c r="B43">
        <v>245061</v>
      </c>
      <c r="C43">
        <v>5236438</v>
      </c>
      <c r="D43">
        <v>4.3573880000000003</v>
      </c>
      <c r="E43">
        <v>4.8143459999999996</v>
      </c>
      <c r="F43">
        <v>3330012</v>
      </c>
      <c r="G43">
        <v>936963</v>
      </c>
      <c r="H43">
        <v>820454</v>
      </c>
      <c r="I43">
        <v>258401</v>
      </c>
      <c r="J43">
        <v>-109393</v>
      </c>
      <c r="K43">
        <v>5129092</v>
      </c>
      <c r="L43">
        <v>1458688</v>
      </c>
      <c r="M43">
        <v>3670404</v>
      </c>
      <c r="N43">
        <v>5.0456500000000002</v>
      </c>
      <c r="O43">
        <v>4.0140589999999996</v>
      </c>
      <c r="P43">
        <v>5.7266680000000001</v>
      </c>
      <c r="Q43">
        <v>650465</v>
      </c>
      <c r="R43">
        <v>794144</v>
      </c>
      <c r="S43">
        <v>526417</v>
      </c>
      <c r="T43">
        <v>3158066</v>
      </c>
      <c r="U43">
        <v>3071243.3</v>
      </c>
      <c r="V43">
        <v>933561.63</v>
      </c>
      <c r="W43">
        <v>2137681.5</v>
      </c>
      <c r="X43">
        <v>0.59457459999999995</v>
      </c>
      <c r="Y43">
        <v>4.1638159999999997</v>
      </c>
      <c r="Z43">
        <v>3.5917629999999998</v>
      </c>
      <c r="AA43">
        <v>4.4832460000000003</v>
      </c>
      <c r="AB43">
        <v>5.7736270000000003</v>
      </c>
      <c r="AC43">
        <v>5.0646699999999996</v>
      </c>
      <c r="AD43">
        <v>6.0273120000000002</v>
      </c>
      <c r="AE43">
        <v>1.9368700000000001</v>
      </c>
      <c r="AF43">
        <v>1.403661</v>
      </c>
      <c r="AG43">
        <v>2.4168090000000002</v>
      </c>
      <c r="AH43">
        <v>0.63763300000000001</v>
      </c>
      <c r="AI43">
        <v>0.57738129999999999</v>
      </c>
      <c r="AJ43">
        <v>3952210</v>
      </c>
      <c r="AK43">
        <v>1203044</v>
      </c>
      <c r="AL43">
        <v>2749166</v>
      </c>
      <c r="AM43">
        <v>4.0503960000000001</v>
      </c>
      <c r="AN43">
        <v>4.8594730000000004</v>
      </c>
      <c r="AO43">
        <v>3.5355210000000001</v>
      </c>
      <c r="AP43">
        <v>3.2065070000000002</v>
      </c>
      <c r="AQ43">
        <v>4.4187399999999997</v>
      </c>
      <c r="AR43">
        <v>6.5715029999999999</v>
      </c>
      <c r="AS43">
        <v>1176882</v>
      </c>
      <c r="AT43">
        <v>5.7427640000000002</v>
      </c>
      <c r="AU43">
        <v>4.7255520000000004</v>
      </c>
      <c r="AV43">
        <v>0.55270200000000003</v>
      </c>
      <c r="AW43">
        <v>0.44729799999999997</v>
      </c>
      <c r="AX43">
        <v>0.2009367</v>
      </c>
      <c r="AY43">
        <v>0.79906330000000003</v>
      </c>
      <c r="AZ43">
        <v>16.12745</v>
      </c>
      <c r="BA43">
        <v>0.56257230000000003</v>
      </c>
      <c r="BB43">
        <v>0.43742769999999997</v>
      </c>
      <c r="BC43">
        <v>0.64724230000000005</v>
      </c>
      <c r="BD43">
        <v>0</v>
      </c>
      <c r="BE43">
        <v>4.2625650000000004</v>
      </c>
      <c r="BF43">
        <v>4.2625650000000004</v>
      </c>
      <c r="BG43">
        <v>1</v>
      </c>
      <c r="BH43">
        <v>0.83056479999999999</v>
      </c>
      <c r="BI43">
        <v>0.22356409999999999</v>
      </c>
      <c r="BJ43">
        <v>0.77643600000000002</v>
      </c>
      <c r="BK43">
        <v>0.29117480000000001</v>
      </c>
      <c r="BL43" s="1">
        <v>3.9300000000000004E-15</v>
      </c>
      <c r="BM43">
        <v>3.765371</v>
      </c>
      <c r="BN43">
        <v>3.765371</v>
      </c>
      <c r="BO43">
        <v>1</v>
      </c>
      <c r="BP43">
        <v>0.44890160000000001</v>
      </c>
      <c r="BQ43">
        <v>0.19470699999999999</v>
      </c>
      <c r="BR43">
        <v>0.80529300000000004</v>
      </c>
      <c r="BS43">
        <v>0.55497370000000001</v>
      </c>
      <c r="BT43">
        <v>0.69686530000000002</v>
      </c>
      <c r="BU43">
        <v>0.44306980000000001</v>
      </c>
      <c r="BV43">
        <v>2.5903580000000002</v>
      </c>
      <c r="BW43">
        <v>4.3843560000000004</v>
      </c>
      <c r="BX43">
        <v>1.6925669999999999</v>
      </c>
      <c r="BY43">
        <v>0</v>
      </c>
      <c r="BZ43">
        <v>0.55187019999999998</v>
      </c>
      <c r="CA43">
        <v>0.44812970000000002</v>
      </c>
      <c r="CB43">
        <v>0.2009552</v>
      </c>
      <c r="CC43">
        <v>0.7990448</v>
      </c>
      <c r="CD43">
        <v>5.8441539999999996</v>
      </c>
      <c r="CE43">
        <v>5.8778550000000003</v>
      </c>
      <c r="CF43">
        <v>2.7542900000000001</v>
      </c>
      <c r="CG43">
        <v>4.2769560000000002</v>
      </c>
      <c r="CH43">
        <v>1.4266529999999999</v>
      </c>
      <c r="CI43">
        <v>1.2118519999999999</v>
      </c>
      <c r="CJ43">
        <v>0.84943690000000005</v>
      </c>
      <c r="CK43">
        <v>1.02834</v>
      </c>
      <c r="CL43">
        <v>0.56350199999999995</v>
      </c>
      <c r="CM43">
        <v>0.60514999999999997</v>
      </c>
      <c r="CN43">
        <v>0.53786230000000002</v>
      </c>
      <c r="CO43">
        <v>1.3345629999999999</v>
      </c>
      <c r="CP43">
        <v>1.46147</v>
      </c>
      <c r="CQ43">
        <v>1.244837</v>
      </c>
      <c r="CR43">
        <v>0.97437830000000003</v>
      </c>
      <c r="CS43">
        <v>1.3416619999999999</v>
      </c>
      <c r="CT43">
        <v>1.300988</v>
      </c>
      <c r="CU43">
        <v>1.424963</v>
      </c>
      <c r="CW43">
        <f t="shared" si="4"/>
        <v>1085395.3146637683</v>
      </c>
      <c r="CX43">
        <f t="shared" si="10"/>
        <v>4.9135325750173209E-2</v>
      </c>
      <c r="CY43">
        <f t="shared" si="11"/>
        <v>3.5700778362216523E-2</v>
      </c>
      <c r="CZ43">
        <f t="shared" si="12"/>
        <v>2.685583394822022E-2</v>
      </c>
      <c r="DA43">
        <f t="shared" si="13"/>
        <v>1.841869125513243E-2</v>
      </c>
      <c r="DB43">
        <f t="shared" si="5"/>
        <v>1.841869125513243E-2</v>
      </c>
      <c r="DC43" s="12">
        <f t="shared" si="19"/>
        <v>1.4919740978636629</v>
      </c>
      <c r="DD43" s="4">
        <f t="shared" si="20"/>
        <v>1.753300479223354</v>
      </c>
      <c r="DE43" s="4">
        <f t="shared" si="21"/>
        <v>0.66107326807864752</v>
      </c>
      <c r="DF43" s="4">
        <f t="shared" si="22"/>
        <v>0.35414583657477328</v>
      </c>
      <c r="DG43" s="13">
        <f t="shared" si="14"/>
        <v>0.35414583657477328</v>
      </c>
      <c r="DH43" s="4">
        <f t="shared" si="15"/>
        <v>4.4458634312996388</v>
      </c>
      <c r="DI43" s="4">
        <f t="shared" si="16"/>
        <v>1.4249629830479766</v>
      </c>
      <c r="DJ43" s="4">
        <f t="shared" si="17"/>
        <v>5.7736269999999994</v>
      </c>
      <c r="DK43" s="4">
        <f t="shared" si="18"/>
        <v>1.9368700000000001</v>
      </c>
      <c r="DM43" s="4"/>
      <c r="DN43" s="17"/>
    </row>
    <row r="44" spans="1:118" x14ac:dyDescent="0.3">
      <c r="A44">
        <v>1989</v>
      </c>
      <c r="B44">
        <v>247387</v>
      </c>
      <c r="C44">
        <v>5641580</v>
      </c>
      <c r="D44">
        <v>4.5173620000000003</v>
      </c>
      <c r="E44">
        <v>5.0031489999999996</v>
      </c>
      <c r="F44">
        <v>3576758</v>
      </c>
      <c r="G44">
        <v>999701</v>
      </c>
      <c r="H44">
        <v>881429</v>
      </c>
      <c r="I44">
        <v>270433</v>
      </c>
      <c r="J44">
        <v>-86741</v>
      </c>
      <c r="K44">
        <v>5519884</v>
      </c>
      <c r="L44">
        <v>1556168</v>
      </c>
      <c r="M44">
        <v>3963716</v>
      </c>
      <c r="N44">
        <v>5.2455769999999999</v>
      </c>
      <c r="O44">
        <v>4.220256</v>
      </c>
      <c r="P44">
        <v>5.9272200000000002</v>
      </c>
      <c r="Q44">
        <v>683806</v>
      </c>
      <c r="R44">
        <v>857264</v>
      </c>
      <c r="S44">
        <v>558635</v>
      </c>
      <c r="T44">
        <v>3420179</v>
      </c>
      <c r="U44">
        <v>3220815.3</v>
      </c>
      <c r="V44">
        <v>975114.63</v>
      </c>
      <c r="W44">
        <v>2245700.5</v>
      </c>
      <c r="X44">
        <v>0.59114120000000003</v>
      </c>
      <c r="Y44">
        <v>4.3102729999999996</v>
      </c>
      <c r="Z44">
        <v>3.644574</v>
      </c>
      <c r="AA44">
        <v>4.6776980000000004</v>
      </c>
      <c r="AB44">
        <v>5.9772540000000003</v>
      </c>
      <c r="AC44">
        <v>5.1489989999999999</v>
      </c>
      <c r="AD44">
        <v>6.2785520000000004</v>
      </c>
      <c r="AE44">
        <v>1.989333</v>
      </c>
      <c r="AF44">
        <v>1.4126369999999999</v>
      </c>
      <c r="AG44">
        <v>2.5043679999999999</v>
      </c>
      <c r="AH44">
        <v>0.63330679999999995</v>
      </c>
      <c r="AI44">
        <v>0.57448750000000004</v>
      </c>
      <c r="AJ44">
        <v>4277443</v>
      </c>
      <c r="AK44">
        <v>1304346</v>
      </c>
      <c r="AL44">
        <v>2973097</v>
      </c>
      <c r="AM44">
        <v>4.207732</v>
      </c>
      <c r="AN44">
        <v>5.069064</v>
      </c>
      <c r="AO44">
        <v>3.6864479999999999</v>
      </c>
      <c r="AP44">
        <v>3.338365</v>
      </c>
      <c r="AQ44">
        <v>4.570678</v>
      </c>
      <c r="AR44">
        <v>6.8791609999999999</v>
      </c>
      <c r="AS44">
        <v>1242441</v>
      </c>
      <c r="AT44">
        <v>5.9110259999999997</v>
      </c>
      <c r="AU44">
        <v>4.8467820000000001</v>
      </c>
      <c r="AV44">
        <v>0.550373</v>
      </c>
      <c r="AW44">
        <v>0.449627</v>
      </c>
      <c r="AX44">
        <v>0.20041510000000001</v>
      </c>
      <c r="AY44">
        <v>0.79958490000000004</v>
      </c>
      <c r="AZ44">
        <v>17.290489999999998</v>
      </c>
      <c r="BA44">
        <v>0.56642499999999996</v>
      </c>
      <c r="BB44">
        <v>0.43357499999999999</v>
      </c>
      <c r="BC44">
        <v>0.64724230000000005</v>
      </c>
      <c r="BD44">
        <v>0</v>
      </c>
      <c r="BE44">
        <v>4.4179839999999997</v>
      </c>
      <c r="BF44">
        <v>4.4179849999999998</v>
      </c>
      <c r="BG44">
        <v>1</v>
      </c>
      <c r="BH44">
        <v>0.83056479999999999</v>
      </c>
      <c r="BI44">
        <v>0.2262962</v>
      </c>
      <c r="BJ44">
        <v>0.77370380000000005</v>
      </c>
      <c r="BK44">
        <v>0.29117480000000001</v>
      </c>
      <c r="BL44" s="1">
        <v>3.9300000000000004E-15</v>
      </c>
      <c r="BM44">
        <v>3.923486</v>
      </c>
      <c r="BN44">
        <v>3.923486</v>
      </c>
      <c r="BO44">
        <v>1</v>
      </c>
      <c r="BP44">
        <v>0.44890160000000001</v>
      </c>
      <c r="BQ44">
        <v>0.1930356</v>
      </c>
      <c r="BR44">
        <v>0.80696429999999997</v>
      </c>
      <c r="BS44">
        <v>0.55497370000000001</v>
      </c>
      <c r="BT44">
        <v>0.69686530000000002</v>
      </c>
      <c r="BU44">
        <v>0.44306980000000001</v>
      </c>
      <c r="BV44">
        <v>2.643656</v>
      </c>
      <c r="BW44">
        <v>4.5941099999999997</v>
      </c>
      <c r="BX44">
        <v>1.737787</v>
      </c>
      <c r="BY44">
        <v>0</v>
      </c>
      <c r="BZ44">
        <v>0.55153750000000001</v>
      </c>
      <c r="CA44">
        <v>0.44846249999999999</v>
      </c>
      <c r="CB44">
        <v>0.20067589999999999</v>
      </c>
      <c r="CC44">
        <v>0.79932409999999998</v>
      </c>
      <c r="CD44">
        <v>5.843534</v>
      </c>
      <c r="CE44">
        <v>6.0265409999999999</v>
      </c>
      <c r="CF44">
        <v>2.8279380000000001</v>
      </c>
      <c r="CG44">
        <v>4.4752099999999997</v>
      </c>
      <c r="CH44">
        <v>1.404469</v>
      </c>
      <c r="CI44">
        <v>1.2229190000000001</v>
      </c>
      <c r="CJ44">
        <v>0.8707336</v>
      </c>
      <c r="CK44">
        <v>1.0458620000000001</v>
      </c>
      <c r="CL44">
        <v>0.56350199999999995</v>
      </c>
      <c r="CM44">
        <v>0.60514999999999997</v>
      </c>
      <c r="CN44">
        <v>0.53786230000000002</v>
      </c>
      <c r="CO44">
        <v>1.3404199999999999</v>
      </c>
      <c r="CP44">
        <v>1.4670289999999999</v>
      </c>
      <c r="CQ44">
        <v>1.2505500000000001</v>
      </c>
      <c r="CR44">
        <v>0.99181220000000003</v>
      </c>
      <c r="CS44">
        <v>1.3712800000000001</v>
      </c>
      <c r="CT44">
        <v>1.306694</v>
      </c>
      <c r="CU44">
        <v>1.4507110000000001</v>
      </c>
      <c r="CW44">
        <f t="shared" si="4"/>
        <v>1138876.0625091039</v>
      </c>
      <c r="CX44">
        <f t="shared" si="10"/>
        <v>4.809760005063346E-2</v>
      </c>
      <c r="CY44">
        <f t="shared" si="11"/>
        <v>3.4660785951393436E-2</v>
      </c>
      <c r="CZ44">
        <f t="shared" si="12"/>
        <v>2.6726138594366788E-2</v>
      </c>
      <c r="DA44">
        <f t="shared" si="13"/>
        <v>1.7908003754219252E-2</v>
      </c>
      <c r="DB44">
        <f t="shared" si="5"/>
        <v>1.7908003754219252E-2</v>
      </c>
      <c r="DC44" s="12">
        <f t="shared" si="19"/>
        <v>1.5400716979142963</v>
      </c>
      <c r="DD44" s="4">
        <f t="shared" si="20"/>
        <v>1.7879612651747474</v>
      </c>
      <c r="DE44" s="4">
        <f t="shared" si="21"/>
        <v>0.68779940667301431</v>
      </c>
      <c r="DF44" s="4">
        <f t="shared" si="22"/>
        <v>0.37205384032899252</v>
      </c>
      <c r="DG44" s="13">
        <f t="shared" si="14"/>
        <v>0.37205384032899252</v>
      </c>
      <c r="DH44" s="4">
        <f t="shared" si="15"/>
        <v>4.6649247243712644</v>
      </c>
      <c r="DI44" s="4">
        <f t="shared" si="16"/>
        <v>1.4507110859526904</v>
      </c>
      <c r="DJ44" s="4">
        <f t="shared" si="17"/>
        <v>5.9772540000000003</v>
      </c>
      <c r="DK44" s="4">
        <f t="shared" si="18"/>
        <v>1.989333</v>
      </c>
      <c r="DM44" s="4"/>
      <c r="DN44" s="17"/>
    </row>
    <row r="45" spans="1:118" x14ac:dyDescent="0.3">
      <c r="A45">
        <v>1990</v>
      </c>
      <c r="B45">
        <v>250181</v>
      </c>
      <c r="C45">
        <v>5963144</v>
      </c>
      <c r="D45">
        <v>4.602538</v>
      </c>
      <c r="E45">
        <v>5.1904560000000002</v>
      </c>
      <c r="F45">
        <v>3808994</v>
      </c>
      <c r="G45">
        <v>993448</v>
      </c>
      <c r="H45">
        <v>948186</v>
      </c>
      <c r="I45">
        <v>290370</v>
      </c>
      <c r="J45">
        <v>-77855</v>
      </c>
      <c r="K45">
        <v>5835095</v>
      </c>
      <c r="L45">
        <v>1600088</v>
      </c>
      <c r="M45">
        <v>4235007</v>
      </c>
      <c r="N45">
        <v>5.4440970000000002</v>
      </c>
      <c r="O45">
        <v>4.332306</v>
      </c>
      <c r="P45">
        <v>6.1775159999999998</v>
      </c>
      <c r="Q45">
        <v>686742</v>
      </c>
      <c r="R45">
        <v>899237</v>
      </c>
      <c r="S45">
        <v>582530</v>
      </c>
      <c r="T45">
        <v>3666586</v>
      </c>
      <c r="U45">
        <v>3418432.3</v>
      </c>
      <c r="V45">
        <v>990332.88</v>
      </c>
      <c r="W45">
        <v>2428099.5</v>
      </c>
      <c r="X45">
        <v>0.58466669999999998</v>
      </c>
      <c r="Y45">
        <v>4.3902590000000004</v>
      </c>
      <c r="Z45">
        <v>3.650512</v>
      </c>
      <c r="AA45">
        <v>4.7953580000000002</v>
      </c>
      <c r="AB45">
        <v>6.1940970000000002</v>
      </c>
      <c r="AC45">
        <v>5.2593199999999998</v>
      </c>
      <c r="AD45">
        <v>6.5381330000000002</v>
      </c>
      <c r="AE45">
        <v>2.0140189999999998</v>
      </c>
      <c r="AF45">
        <v>1.402695</v>
      </c>
      <c r="AG45">
        <v>2.5562290000000001</v>
      </c>
      <c r="AH45">
        <v>0.62276830000000005</v>
      </c>
      <c r="AI45">
        <v>0.56995240000000003</v>
      </c>
      <c r="AJ45">
        <v>4565823</v>
      </c>
      <c r="AK45">
        <v>1362820</v>
      </c>
      <c r="AL45">
        <v>3203003</v>
      </c>
      <c r="AM45">
        <v>4.3105070000000003</v>
      </c>
      <c r="AN45">
        <v>5.2797210000000003</v>
      </c>
      <c r="AO45">
        <v>3.7602180000000001</v>
      </c>
      <c r="AP45">
        <v>3.418247</v>
      </c>
      <c r="AQ45">
        <v>4.7092619999999998</v>
      </c>
      <c r="AR45">
        <v>7.1901869999999999</v>
      </c>
      <c r="AS45">
        <v>1269272</v>
      </c>
      <c r="AT45">
        <v>5.9048319999999999</v>
      </c>
      <c r="AU45">
        <v>4.9566439999999998</v>
      </c>
      <c r="AV45">
        <v>0.54105190000000003</v>
      </c>
      <c r="AW45">
        <v>0.45894810000000003</v>
      </c>
      <c r="AX45">
        <v>0.1969496</v>
      </c>
      <c r="AY45">
        <v>0.80305040000000005</v>
      </c>
      <c r="AZ45">
        <v>18.250080000000001</v>
      </c>
      <c r="BA45">
        <v>0.56269899999999995</v>
      </c>
      <c r="BB45">
        <v>0.437301</v>
      </c>
      <c r="BC45">
        <v>0.64724230000000005</v>
      </c>
      <c r="BD45">
        <v>0</v>
      </c>
      <c r="BE45">
        <v>4.5636510000000001</v>
      </c>
      <c r="BF45">
        <v>4.5636520000000003</v>
      </c>
      <c r="BG45">
        <v>1</v>
      </c>
      <c r="BH45">
        <v>0.83056479999999999</v>
      </c>
      <c r="BI45">
        <v>0.22365350000000001</v>
      </c>
      <c r="BJ45">
        <v>0.7763466</v>
      </c>
      <c r="BK45">
        <v>0.29117480000000001</v>
      </c>
      <c r="BL45" s="1">
        <v>3.9300000000000004E-15</v>
      </c>
      <c r="BM45">
        <v>4.0320419999999997</v>
      </c>
      <c r="BN45">
        <v>4.0320419999999997</v>
      </c>
      <c r="BO45">
        <v>1</v>
      </c>
      <c r="BP45">
        <v>0.44890160000000001</v>
      </c>
      <c r="BQ45">
        <v>0.18967110000000001</v>
      </c>
      <c r="BR45">
        <v>0.81032899999999997</v>
      </c>
      <c r="BS45">
        <v>0.55497370000000001</v>
      </c>
      <c r="BT45">
        <v>0.69686530000000002</v>
      </c>
      <c r="BU45">
        <v>0.44306980000000001</v>
      </c>
      <c r="BV45">
        <v>2.70099</v>
      </c>
      <c r="BW45">
        <v>4.7247680000000001</v>
      </c>
      <c r="BX45">
        <v>1.7492730000000001</v>
      </c>
      <c r="BY45">
        <v>0</v>
      </c>
      <c r="BZ45">
        <v>0.54571250000000004</v>
      </c>
      <c r="CA45">
        <v>0.45428760000000001</v>
      </c>
      <c r="CB45">
        <v>0.19868240000000001</v>
      </c>
      <c r="CC45">
        <v>0.80131759999999996</v>
      </c>
      <c r="CD45">
        <v>5.7168390000000002</v>
      </c>
      <c r="CE45">
        <v>6.0296969999999996</v>
      </c>
      <c r="CF45">
        <v>2.8896760000000001</v>
      </c>
      <c r="CG45">
        <v>4.6032400000000004</v>
      </c>
      <c r="CH45">
        <v>1.4259189999999999</v>
      </c>
      <c r="CI45">
        <v>1.24631</v>
      </c>
      <c r="CJ45">
        <v>0.87404009999999999</v>
      </c>
      <c r="CK45">
        <v>1.0651809999999999</v>
      </c>
      <c r="CL45">
        <v>0.56350199999999995</v>
      </c>
      <c r="CM45">
        <v>0.60514999999999997</v>
      </c>
      <c r="CN45">
        <v>0.53786230000000002</v>
      </c>
      <c r="CO45">
        <v>1.334913</v>
      </c>
      <c r="CP45">
        <v>1.4616899999999999</v>
      </c>
      <c r="CQ45">
        <v>1.2450699999999999</v>
      </c>
      <c r="CR45">
        <v>1.0024569999999999</v>
      </c>
      <c r="CS45">
        <v>1.3805529999999999</v>
      </c>
      <c r="CT45">
        <v>1.30122</v>
      </c>
      <c r="CU45">
        <v>1.4661930000000001</v>
      </c>
      <c r="CW45">
        <f t="shared" si="4"/>
        <v>1177226.9705066574</v>
      </c>
      <c r="CX45">
        <f t="shared" si="10"/>
        <v>3.3119781843092611E-2</v>
      </c>
      <c r="CY45">
        <f t="shared" si="11"/>
        <v>3.5635476570077484E-2</v>
      </c>
      <c r="CZ45">
        <f t="shared" si="12"/>
        <v>1.2332821541120698E-2</v>
      </c>
      <c r="DA45">
        <f t="shared" si="13"/>
        <v>1.061539798714233E-2</v>
      </c>
      <c r="DB45">
        <f t="shared" si="5"/>
        <v>1.061539798714233E-2</v>
      </c>
      <c r="DC45" s="12">
        <f t="shared" si="19"/>
        <v>1.5731914797573889</v>
      </c>
      <c r="DD45" s="4">
        <f t="shared" si="20"/>
        <v>1.8235967417448249</v>
      </c>
      <c r="DE45" s="4">
        <f t="shared" si="21"/>
        <v>0.70013222821413501</v>
      </c>
      <c r="DF45" s="4">
        <f t="shared" si="22"/>
        <v>0.38266923831613486</v>
      </c>
      <c r="DG45" s="13">
        <f t="shared" si="14"/>
        <v>0.38266923831613486</v>
      </c>
      <c r="DH45" s="4">
        <f t="shared" si="15"/>
        <v>4.8220130194099076</v>
      </c>
      <c r="DI45" s="4">
        <f t="shared" si="16"/>
        <v>1.4661929893943422</v>
      </c>
      <c r="DJ45" s="4">
        <f t="shared" si="17"/>
        <v>6.1940970000000002</v>
      </c>
      <c r="DK45" s="4">
        <f t="shared" si="18"/>
        <v>2.0140189999999998</v>
      </c>
      <c r="DM45" s="4"/>
      <c r="DN45" s="17"/>
    </row>
    <row r="46" spans="1:118" x14ac:dyDescent="0.3">
      <c r="A46">
        <v>1991</v>
      </c>
      <c r="B46">
        <v>253530</v>
      </c>
      <c r="C46">
        <v>6158129</v>
      </c>
      <c r="D46">
        <v>4.5975890000000001</v>
      </c>
      <c r="E46">
        <v>5.365945</v>
      </c>
      <c r="F46">
        <v>3943449</v>
      </c>
      <c r="G46">
        <v>944344</v>
      </c>
      <c r="H46">
        <v>1004857</v>
      </c>
      <c r="I46">
        <v>294094</v>
      </c>
      <c r="J46">
        <v>-28614</v>
      </c>
      <c r="K46">
        <v>6013992</v>
      </c>
      <c r="L46">
        <v>1580645</v>
      </c>
      <c r="M46">
        <v>4433346</v>
      </c>
      <c r="N46">
        <v>5.609432</v>
      </c>
      <c r="O46">
        <v>4.362406</v>
      </c>
      <c r="P46">
        <v>6.4190649999999998</v>
      </c>
      <c r="Q46">
        <v>655834</v>
      </c>
      <c r="R46">
        <v>910797</v>
      </c>
      <c r="S46">
        <v>582998</v>
      </c>
      <c r="T46">
        <v>3864363</v>
      </c>
      <c r="U46">
        <v>3577624.5</v>
      </c>
      <c r="V46">
        <v>998328.81</v>
      </c>
      <c r="W46">
        <v>2579295.7999999998</v>
      </c>
      <c r="X46">
        <v>0.59036180000000005</v>
      </c>
      <c r="Y46">
        <v>4.3914920000000004</v>
      </c>
      <c r="Z46">
        <v>3.5812719999999998</v>
      </c>
      <c r="AA46">
        <v>4.8310389999999996</v>
      </c>
      <c r="AB46">
        <v>6.3761599999999996</v>
      </c>
      <c r="AC46">
        <v>5.3583379999999998</v>
      </c>
      <c r="AD46">
        <v>6.7529599999999999</v>
      </c>
      <c r="AE46">
        <v>1.9877480000000001</v>
      </c>
      <c r="AF46">
        <v>1.3529100000000001</v>
      </c>
      <c r="AG46">
        <v>2.5460569999999998</v>
      </c>
      <c r="AH46">
        <v>0.62525989999999998</v>
      </c>
      <c r="AI46">
        <v>0.57756730000000001</v>
      </c>
      <c r="AJ46">
        <v>4775160</v>
      </c>
      <c r="AK46">
        <v>1384659</v>
      </c>
      <c r="AL46">
        <v>3390501</v>
      </c>
      <c r="AM46">
        <v>4.3520289999999999</v>
      </c>
      <c r="AN46">
        <v>5.4804909999999998</v>
      </c>
      <c r="AO46">
        <v>3.7464520000000001</v>
      </c>
      <c r="AP46">
        <v>3.493039</v>
      </c>
      <c r="AQ46">
        <v>4.8027519999999999</v>
      </c>
      <c r="AR46">
        <v>7.4784689999999996</v>
      </c>
      <c r="AS46">
        <v>1238832</v>
      </c>
      <c r="AT46">
        <v>5.6623489999999999</v>
      </c>
      <c r="AU46">
        <v>5.0449440000000001</v>
      </c>
      <c r="AV46">
        <v>0.52939709999999995</v>
      </c>
      <c r="AW46">
        <v>0.47060299999999999</v>
      </c>
      <c r="AX46">
        <v>0.1907365</v>
      </c>
      <c r="AY46">
        <v>0.80926350000000002</v>
      </c>
      <c r="AZ46">
        <v>18.834689999999998</v>
      </c>
      <c r="BA46">
        <v>0.55494980000000005</v>
      </c>
      <c r="BB46">
        <v>0.44505020000000001</v>
      </c>
      <c r="BC46">
        <v>0.64724230000000005</v>
      </c>
      <c r="BD46">
        <v>0</v>
      </c>
      <c r="BE46">
        <v>4.6746800000000004</v>
      </c>
      <c r="BF46">
        <v>4.6746809999999996</v>
      </c>
      <c r="BG46">
        <v>1</v>
      </c>
      <c r="BH46">
        <v>0.83056479999999999</v>
      </c>
      <c r="BI46">
        <v>0.2182432</v>
      </c>
      <c r="BJ46">
        <v>0.78175680000000003</v>
      </c>
      <c r="BK46">
        <v>0.29117480000000001</v>
      </c>
      <c r="BL46" s="1">
        <v>3.9300000000000004E-15</v>
      </c>
      <c r="BM46">
        <v>4.0865039999999997</v>
      </c>
      <c r="BN46">
        <v>4.0865039999999997</v>
      </c>
      <c r="BO46">
        <v>1</v>
      </c>
      <c r="BP46">
        <v>0.44890160000000001</v>
      </c>
      <c r="BQ46">
        <v>0.18626580000000001</v>
      </c>
      <c r="BR46">
        <v>0.81373419999999996</v>
      </c>
      <c r="BS46">
        <v>0.55497370000000001</v>
      </c>
      <c r="BT46">
        <v>0.69686530000000002</v>
      </c>
      <c r="BU46">
        <v>0.44306980000000001</v>
      </c>
      <c r="BV46">
        <v>2.7549709999999998</v>
      </c>
      <c r="BW46">
        <v>4.7754310000000002</v>
      </c>
      <c r="BX46">
        <v>1.733387</v>
      </c>
      <c r="BY46">
        <v>0</v>
      </c>
      <c r="BZ46">
        <v>0.53522440000000004</v>
      </c>
      <c r="CA46">
        <v>0.46477550000000001</v>
      </c>
      <c r="CB46">
        <v>0.19384299999999999</v>
      </c>
      <c r="CC46">
        <v>0.80615689999999995</v>
      </c>
      <c r="CD46">
        <v>5.4218719999999996</v>
      </c>
      <c r="CE46">
        <v>5.807461</v>
      </c>
      <c r="CF46">
        <v>2.9066290000000001</v>
      </c>
      <c r="CG46">
        <v>4.6689769999999999</v>
      </c>
      <c r="CH46">
        <v>1.4714510000000001</v>
      </c>
      <c r="CI46">
        <v>1.272376</v>
      </c>
      <c r="CJ46">
        <v>0.86470860000000005</v>
      </c>
      <c r="CK46">
        <v>1.086333</v>
      </c>
      <c r="CL46">
        <v>0.56350199999999995</v>
      </c>
      <c r="CM46">
        <v>0.60514999999999997</v>
      </c>
      <c r="CN46">
        <v>0.53786230000000002</v>
      </c>
      <c r="CO46">
        <v>1.328301</v>
      </c>
      <c r="CP46">
        <v>1.4516</v>
      </c>
      <c r="CQ46">
        <v>1.2395400000000001</v>
      </c>
      <c r="CR46">
        <v>1.0063489999999999</v>
      </c>
      <c r="CS46">
        <v>1.3776740000000001</v>
      </c>
      <c r="CT46">
        <v>1.294608</v>
      </c>
      <c r="CU46">
        <v>1.4769270000000001</v>
      </c>
      <c r="CW46">
        <f t="shared" si="4"/>
        <v>1192083.0042910287</v>
      </c>
      <c r="CX46">
        <f t="shared" si="10"/>
        <v>1.2540552850387243E-2</v>
      </c>
      <c r="CY46">
        <f t="shared" si="11"/>
        <v>2.8969293531122986E-2</v>
      </c>
      <c r="CZ46">
        <f t="shared" si="12"/>
        <v>-1.3129888577932181E-2</v>
      </c>
      <c r="DA46">
        <f t="shared" si="13"/>
        <v>7.2942326360810588E-3</v>
      </c>
      <c r="DB46">
        <f t="shared" si="5"/>
        <v>7.2942326360810588E-3</v>
      </c>
      <c r="DC46" s="12">
        <f t="shared" si="19"/>
        <v>1.5857320326077762</v>
      </c>
      <c r="DD46" s="4">
        <f t="shared" si="20"/>
        <v>1.8525660352759479</v>
      </c>
      <c r="DE46" s="4">
        <f t="shared" si="21"/>
        <v>0.68700233963620283</v>
      </c>
      <c r="DF46" s="4">
        <f t="shared" si="22"/>
        <v>0.3899634709522159</v>
      </c>
      <c r="DG46" s="13">
        <f t="shared" si="14"/>
        <v>0.3899634709522159</v>
      </c>
      <c r="DH46" s="4">
        <f t="shared" si="15"/>
        <v>4.8828644865608846</v>
      </c>
      <c r="DI46" s="4">
        <f t="shared" si="16"/>
        <v>1.4769268421660551</v>
      </c>
      <c r="DJ46" s="4">
        <f t="shared" si="17"/>
        <v>6.3761599999999996</v>
      </c>
      <c r="DK46" s="4">
        <f t="shared" si="18"/>
        <v>1.9877480000000001</v>
      </c>
      <c r="DM46" s="4"/>
      <c r="DN46" s="17"/>
    </row>
    <row r="47" spans="1:118" x14ac:dyDescent="0.3">
      <c r="A47">
        <v>1992</v>
      </c>
      <c r="B47">
        <v>256922</v>
      </c>
      <c r="C47">
        <v>6520327</v>
      </c>
      <c r="D47">
        <v>4.7595590000000003</v>
      </c>
      <c r="E47">
        <v>5.4882039999999996</v>
      </c>
      <c r="F47">
        <v>4197559</v>
      </c>
      <c r="G47">
        <v>1013006</v>
      </c>
      <c r="H47">
        <v>1048383</v>
      </c>
      <c r="I47">
        <v>296117</v>
      </c>
      <c r="J47">
        <v>-34738</v>
      </c>
      <c r="K47">
        <v>6370093</v>
      </c>
      <c r="L47">
        <v>1638974</v>
      </c>
      <c r="M47">
        <v>4731119</v>
      </c>
      <c r="N47">
        <v>5.744796</v>
      </c>
      <c r="O47">
        <v>4.3813579999999996</v>
      </c>
      <c r="P47">
        <v>6.6191979999999999</v>
      </c>
      <c r="Q47">
        <v>678417</v>
      </c>
      <c r="R47">
        <v>945527</v>
      </c>
      <c r="S47">
        <v>614379</v>
      </c>
      <c r="T47">
        <v>4131770</v>
      </c>
      <c r="U47">
        <v>3740753.8</v>
      </c>
      <c r="V47">
        <v>1033005.1</v>
      </c>
      <c r="W47">
        <v>2707748.8</v>
      </c>
      <c r="X47">
        <v>0.59106020000000004</v>
      </c>
      <c r="Y47">
        <v>4.5419179999999999</v>
      </c>
      <c r="Z47">
        <v>3.6973639999999999</v>
      </c>
      <c r="AA47">
        <v>4.9996460000000003</v>
      </c>
      <c r="AB47">
        <v>6.559717</v>
      </c>
      <c r="AC47">
        <v>5.4644529999999998</v>
      </c>
      <c r="AD47">
        <v>6.9660830000000002</v>
      </c>
      <c r="AE47">
        <v>1.9932829999999999</v>
      </c>
      <c r="AF47">
        <v>1.349669</v>
      </c>
      <c r="AG47">
        <v>2.558233</v>
      </c>
      <c r="AH47">
        <v>0.63093569999999999</v>
      </c>
      <c r="AI47">
        <v>0.57706089999999999</v>
      </c>
      <c r="AJ47">
        <v>5077297</v>
      </c>
      <c r="AK47">
        <v>1447156</v>
      </c>
      <c r="AL47">
        <v>3630141</v>
      </c>
      <c r="AM47">
        <v>4.4991089999999998</v>
      </c>
      <c r="AN47">
        <v>5.6334999999999997</v>
      </c>
      <c r="AO47">
        <v>3.8313769999999998</v>
      </c>
      <c r="AP47">
        <v>3.5677159999999999</v>
      </c>
      <c r="AQ47">
        <v>4.9629750000000001</v>
      </c>
      <c r="AR47">
        <v>7.7440709999999999</v>
      </c>
      <c r="AS47">
        <v>1292796</v>
      </c>
      <c r="AT47">
        <v>5.8944700000000001</v>
      </c>
      <c r="AU47">
        <v>5.0573829999999997</v>
      </c>
      <c r="AV47">
        <v>0.52476719999999999</v>
      </c>
      <c r="AW47">
        <v>0.47523280000000001</v>
      </c>
      <c r="AX47">
        <v>0.18622649999999999</v>
      </c>
      <c r="AY47">
        <v>0.81377350000000004</v>
      </c>
      <c r="AZ47">
        <v>19.76201</v>
      </c>
      <c r="BA47">
        <v>0.54842869999999999</v>
      </c>
      <c r="BB47">
        <v>0.45157130000000001</v>
      </c>
      <c r="BC47">
        <v>0.64724230000000005</v>
      </c>
      <c r="BD47">
        <v>0</v>
      </c>
      <c r="BE47">
        <v>4.8908050000000003</v>
      </c>
      <c r="BF47">
        <v>4.8908050000000003</v>
      </c>
      <c r="BG47">
        <v>1</v>
      </c>
      <c r="BH47">
        <v>0.83056479999999999</v>
      </c>
      <c r="BI47">
        <v>0.2137781</v>
      </c>
      <c r="BJ47">
        <v>0.78622190000000003</v>
      </c>
      <c r="BK47">
        <v>0.29117480000000001</v>
      </c>
      <c r="BL47" s="1">
        <v>3.9300000000000004E-15</v>
      </c>
      <c r="BM47">
        <v>4.2377609999999999</v>
      </c>
      <c r="BN47">
        <v>4.2377609999999999</v>
      </c>
      <c r="BO47">
        <v>1</v>
      </c>
      <c r="BP47">
        <v>0.44890160000000001</v>
      </c>
      <c r="BQ47">
        <v>0.18112120000000001</v>
      </c>
      <c r="BR47">
        <v>0.81887880000000002</v>
      </c>
      <c r="BS47">
        <v>0.55497370000000001</v>
      </c>
      <c r="BT47">
        <v>0.69686530000000002</v>
      </c>
      <c r="BU47">
        <v>0.44306980000000001</v>
      </c>
      <c r="BV47">
        <v>2.8360590000000001</v>
      </c>
      <c r="BW47">
        <v>4.9551939999999997</v>
      </c>
      <c r="BX47">
        <v>1.7472110000000001</v>
      </c>
      <c r="BY47">
        <v>0</v>
      </c>
      <c r="BZ47">
        <v>0.5270821</v>
      </c>
      <c r="CA47">
        <v>0.4729179</v>
      </c>
      <c r="CB47">
        <v>0.1884815</v>
      </c>
      <c r="CC47">
        <v>0.81151850000000003</v>
      </c>
      <c r="CD47">
        <v>5.5843100000000003</v>
      </c>
      <c r="CE47">
        <v>5.9350180000000003</v>
      </c>
      <c r="CF47">
        <v>3.0044110000000002</v>
      </c>
      <c r="CG47">
        <v>4.841126</v>
      </c>
      <c r="CH47">
        <v>1.510764</v>
      </c>
      <c r="CI47">
        <v>1.308819</v>
      </c>
      <c r="CJ47">
        <v>0.86632909999999996</v>
      </c>
      <c r="CK47">
        <v>1.1139159999999999</v>
      </c>
      <c r="CL47">
        <v>0.56350199999999995</v>
      </c>
      <c r="CM47">
        <v>0.60514999999999997</v>
      </c>
      <c r="CN47">
        <v>0.53786230000000002</v>
      </c>
      <c r="CO47">
        <v>1.354762</v>
      </c>
      <c r="CP47">
        <v>1.487892</v>
      </c>
      <c r="CQ47">
        <v>1.262122</v>
      </c>
      <c r="CR47">
        <v>1.020886</v>
      </c>
      <c r="CS47">
        <v>1.4288080000000001</v>
      </c>
      <c r="CT47">
        <v>1.3204629999999999</v>
      </c>
      <c r="CU47">
        <v>1.538905</v>
      </c>
      <c r="CW47">
        <f t="shared" si="4"/>
        <v>1259563.0981477972</v>
      </c>
      <c r="CX47">
        <f t="shared" si="10"/>
        <v>5.5062712639692535E-2</v>
      </c>
      <c r="CY47">
        <f t="shared" si="11"/>
        <v>2.8381426505580176E-2</v>
      </c>
      <c r="CZ47">
        <f t="shared" si="12"/>
        <v>2.7806885032997108E-3</v>
      </c>
      <c r="DA47">
        <f t="shared" si="13"/>
        <v>4.1107353199873402E-2</v>
      </c>
      <c r="DB47">
        <f t="shared" si="5"/>
        <v>4.1107353199873402E-2</v>
      </c>
      <c r="DC47" s="12">
        <f t="shared" si="19"/>
        <v>1.6407947452474687</v>
      </c>
      <c r="DD47" s="4">
        <f t="shared" si="20"/>
        <v>1.8809474617815281</v>
      </c>
      <c r="DE47" s="4">
        <f t="shared" si="21"/>
        <v>0.68978302813950254</v>
      </c>
      <c r="DF47" s="4">
        <f t="shared" si="22"/>
        <v>0.4310708241520893</v>
      </c>
      <c r="DG47" s="13">
        <f t="shared" si="14"/>
        <v>0.4310708241520893</v>
      </c>
      <c r="DH47" s="4">
        <f t="shared" si="15"/>
        <v>5.1592681871899124</v>
      </c>
      <c r="DI47" s="4">
        <f t="shared" si="16"/>
        <v>1.5389045377063666</v>
      </c>
      <c r="DJ47" s="4">
        <f t="shared" si="17"/>
        <v>6.5597169999999991</v>
      </c>
      <c r="DK47" s="4">
        <f t="shared" si="18"/>
        <v>1.9932829999999999</v>
      </c>
      <c r="DM47" s="4"/>
      <c r="DN47" s="17"/>
    </row>
    <row r="48" spans="1:118" x14ac:dyDescent="0.3">
      <c r="A48">
        <v>1993</v>
      </c>
      <c r="B48">
        <v>260282</v>
      </c>
      <c r="C48">
        <v>6858559</v>
      </c>
      <c r="D48">
        <v>4.8904759999999996</v>
      </c>
      <c r="E48">
        <v>5.6183569999999996</v>
      </c>
      <c r="F48">
        <v>4451984</v>
      </c>
      <c r="G48">
        <v>1106826</v>
      </c>
      <c r="H48">
        <v>1073040</v>
      </c>
      <c r="I48">
        <v>291883</v>
      </c>
      <c r="J48">
        <v>-65173</v>
      </c>
      <c r="K48">
        <v>6699666</v>
      </c>
      <c r="L48">
        <v>1691618</v>
      </c>
      <c r="M48">
        <v>5008048</v>
      </c>
      <c r="N48">
        <v>5.8893170000000001</v>
      </c>
      <c r="O48">
        <v>4.4226169999999998</v>
      </c>
      <c r="P48">
        <v>6.8217280000000002</v>
      </c>
      <c r="Q48">
        <v>719055</v>
      </c>
      <c r="R48">
        <v>958938</v>
      </c>
      <c r="S48">
        <v>658840</v>
      </c>
      <c r="T48">
        <v>4362833</v>
      </c>
      <c r="U48">
        <v>3962040.5</v>
      </c>
      <c r="V48">
        <v>1065297.3999999999</v>
      </c>
      <c r="W48">
        <v>2896743</v>
      </c>
      <c r="X48">
        <v>0.5893079</v>
      </c>
      <c r="Y48">
        <v>4.6596830000000002</v>
      </c>
      <c r="Z48">
        <v>3.7805240000000002</v>
      </c>
      <c r="AA48">
        <v>5.1351699999999996</v>
      </c>
      <c r="AB48">
        <v>6.7839729999999996</v>
      </c>
      <c r="AC48">
        <v>5.5819369999999999</v>
      </c>
      <c r="AD48">
        <v>7.230785</v>
      </c>
      <c r="AE48">
        <v>2.0386069999999998</v>
      </c>
      <c r="AF48">
        <v>1.372838</v>
      </c>
      <c r="AG48">
        <v>2.6217630000000001</v>
      </c>
      <c r="AH48">
        <v>0.63001309999999999</v>
      </c>
      <c r="AI48">
        <v>0.57537249999999995</v>
      </c>
      <c r="AJ48">
        <v>5321771</v>
      </c>
      <c r="AK48">
        <v>1493530</v>
      </c>
      <c r="AL48">
        <v>3828241</v>
      </c>
      <c r="AM48">
        <v>4.5969199999999999</v>
      </c>
      <c r="AN48">
        <v>5.7806199999999999</v>
      </c>
      <c r="AO48">
        <v>3.8978999999999999</v>
      </c>
      <c r="AP48">
        <v>3.6201449999999999</v>
      </c>
      <c r="AQ48">
        <v>5.0739159999999996</v>
      </c>
      <c r="AR48">
        <v>7.990183</v>
      </c>
      <c r="AS48">
        <v>1377895</v>
      </c>
      <c r="AT48">
        <v>6.1948420000000004</v>
      </c>
      <c r="AU48">
        <v>5.128927</v>
      </c>
      <c r="AV48">
        <v>0.52185029999999999</v>
      </c>
      <c r="AW48">
        <v>0.47814970000000001</v>
      </c>
      <c r="AX48">
        <v>0.1801915</v>
      </c>
      <c r="AY48">
        <v>0.81980850000000005</v>
      </c>
      <c r="AZ48">
        <v>20.446169999999999</v>
      </c>
      <c r="BA48">
        <v>0.54328089999999996</v>
      </c>
      <c r="BB48">
        <v>0.45671909999999999</v>
      </c>
      <c r="BC48">
        <v>0.64724230000000005</v>
      </c>
      <c r="BD48">
        <v>0</v>
      </c>
      <c r="BE48">
        <v>5.0308070000000003</v>
      </c>
      <c r="BF48">
        <v>5.0308080000000004</v>
      </c>
      <c r="BG48">
        <v>1</v>
      </c>
      <c r="BH48">
        <v>0.83056479999999999</v>
      </c>
      <c r="BI48">
        <v>0.21030860000000001</v>
      </c>
      <c r="BJ48">
        <v>0.78969140000000004</v>
      </c>
      <c r="BK48">
        <v>0.29117480000000001</v>
      </c>
      <c r="BL48" s="1">
        <v>3.9300000000000004E-15</v>
      </c>
      <c r="BM48">
        <v>4.3289580000000001</v>
      </c>
      <c r="BN48">
        <v>4.3289580000000001</v>
      </c>
      <c r="BO48">
        <v>1</v>
      </c>
      <c r="BP48">
        <v>0.44890160000000001</v>
      </c>
      <c r="BQ48">
        <v>0.1781336</v>
      </c>
      <c r="BR48">
        <v>0.8218664</v>
      </c>
      <c r="BS48">
        <v>0.55497370000000001</v>
      </c>
      <c r="BT48">
        <v>0.69686530000000002</v>
      </c>
      <c r="BU48">
        <v>0.44306980000000001</v>
      </c>
      <c r="BV48">
        <v>2.8963079999999999</v>
      </c>
      <c r="BW48">
        <v>5.0579780000000003</v>
      </c>
      <c r="BX48">
        <v>1.746354</v>
      </c>
      <c r="BY48">
        <v>0</v>
      </c>
      <c r="BZ48">
        <v>0.52330880000000002</v>
      </c>
      <c r="CA48">
        <v>0.47669119999999998</v>
      </c>
      <c r="CB48">
        <v>0.18320900000000001</v>
      </c>
      <c r="CC48">
        <v>0.81679100000000004</v>
      </c>
      <c r="CD48">
        <v>5.8635989999999998</v>
      </c>
      <c r="CE48">
        <v>6.1755630000000004</v>
      </c>
      <c r="CF48">
        <v>3.0185979999999999</v>
      </c>
      <c r="CG48">
        <v>4.9600929999999996</v>
      </c>
      <c r="CH48">
        <v>1.5424640000000001</v>
      </c>
      <c r="CI48">
        <v>1.33005</v>
      </c>
      <c r="CJ48">
        <v>0.86228899999999997</v>
      </c>
      <c r="CK48">
        <v>1.127062</v>
      </c>
      <c r="CL48">
        <v>0.56350199999999995</v>
      </c>
      <c r="CM48">
        <v>0.60514999999999997</v>
      </c>
      <c r="CN48">
        <v>0.53786230000000002</v>
      </c>
      <c r="CO48">
        <v>1.3524</v>
      </c>
      <c r="CP48">
        <v>1.4929079999999999</v>
      </c>
      <c r="CQ48">
        <v>1.2578940000000001</v>
      </c>
      <c r="CR48">
        <v>1.0262340000000001</v>
      </c>
      <c r="CS48">
        <v>1.437343</v>
      </c>
      <c r="CT48">
        <v>1.3183210000000001</v>
      </c>
      <c r="CU48">
        <v>1.5528999999999999</v>
      </c>
      <c r="CW48">
        <f t="shared" si="4"/>
        <v>1306250.9955786073</v>
      </c>
      <c r="CX48">
        <f t="shared" si="10"/>
        <v>3.6396285565311715E-2</v>
      </c>
      <c r="CY48">
        <f t="shared" si="11"/>
        <v>3.3615456747323691E-2</v>
      </c>
      <c r="CZ48">
        <f t="shared" si="12"/>
        <v>2.2483703335807181E-2</v>
      </c>
      <c r="DA48">
        <f t="shared" si="13"/>
        <v>9.0535941288843996E-3</v>
      </c>
      <c r="DB48">
        <f t="shared" si="5"/>
        <v>9.0535941288843996E-3</v>
      </c>
      <c r="DC48" s="12">
        <f t="shared" si="19"/>
        <v>1.6771910308127804</v>
      </c>
      <c r="DD48" s="4">
        <f t="shared" si="20"/>
        <v>1.9145629185288517</v>
      </c>
      <c r="DE48" s="4">
        <f t="shared" si="21"/>
        <v>0.71226673147530972</v>
      </c>
      <c r="DF48" s="4">
        <f t="shared" si="22"/>
        <v>0.44012441828097371</v>
      </c>
      <c r="DG48" s="13">
        <f t="shared" si="14"/>
        <v>0.44012441828097371</v>
      </c>
      <c r="DH48" s="4">
        <f t="shared" si="15"/>
        <v>5.350505437864987</v>
      </c>
      <c r="DI48" s="4">
        <f t="shared" si="16"/>
        <v>1.5529004156927</v>
      </c>
      <c r="DJ48" s="4">
        <f t="shared" si="17"/>
        <v>6.7839730000000005</v>
      </c>
      <c r="DK48" s="4">
        <f t="shared" si="18"/>
        <v>2.0386069999999998</v>
      </c>
      <c r="DM48" s="4"/>
      <c r="DN48" s="17"/>
    </row>
    <row r="49" spans="1:118" x14ac:dyDescent="0.3">
      <c r="A49">
        <v>1994</v>
      </c>
      <c r="B49">
        <v>263455</v>
      </c>
      <c r="C49">
        <v>7287236</v>
      </c>
      <c r="D49">
        <v>5.0875700000000004</v>
      </c>
      <c r="E49">
        <v>5.7382569999999999</v>
      </c>
      <c r="F49">
        <v>4720965</v>
      </c>
      <c r="G49">
        <v>1256484</v>
      </c>
      <c r="H49">
        <v>1108101</v>
      </c>
      <c r="I49">
        <v>294173</v>
      </c>
      <c r="J49">
        <v>-92487</v>
      </c>
      <c r="K49">
        <v>7110672</v>
      </c>
      <c r="L49">
        <v>1812615</v>
      </c>
      <c r="M49">
        <v>5298057</v>
      </c>
      <c r="N49">
        <v>6.010707</v>
      </c>
      <c r="O49">
        <v>4.4542039999999998</v>
      </c>
      <c r="P49">
        <v>6.9938520000000004</v>
      </c>
      <c r="Q49">
        <v>784635</v>
      </c>
      <c r="R49">
        <v>1012243</v>
      </c>
      <c r="S49">
        <v>702238</v>
      </c>
      <c r="T49">
        <v>4611556</v>
      </c>
      <c r="U49">
        <v>4108492.7999999998</v>
      </c>
      <c r="V49">
        <v>1109825.1000000001</v>
      </c>
      <c r="W49">
        <v>2998667.5</v>
      </c>
      <c r="X49">
        <v>0.58458569999999999</v>
      </c>
      <c r="Y49">
        <v>4.8456640000000002</v>
      </c>
      <c r="Z49">
        <v>4.0222069999999999</v>
      </c>
      <c r="AA49">
        <v>5.2988419999999996</v>
      </c>
      <c r="AB49">
        <v>7.0274169999999998</v>
      </c>
      <c r="AC49">
        <v>5.7040790000000001</v>
      </c>
      <c r="AD49">
        <v>7.5210249999999998</v>
      </c>
      <c r="AE49">
        <v>2.0909010000000001</v>
      </c>
      <c r="AF49">
        <v>1.4140090000000001</v>
      </c>
      <c r="AG49">
        <v>2.6848329999999998</v>
      </c>
      <c r="AH49">
        <v>0.62101450000000002</v>
      </c>
      <c r="AI49">
        <v>0.57220570000000004</v>
      </c>
      <c r="AJ49">
        <v>5623799</v>
      </c>
      <c r="AK49">
        <v>1601614</v>
      </c>
      <c r="AL49">
        <v>4022185</v>
      </c>
      <c r="AM49">
        <v>4.758267</v>
      </c>
      <c r="AN49">
        <v>5.9103669999999999</v>
      </c>
      <c r="AO49">
        <v>4.0324109999999997</v>
      </c>
      <c r="AP49">
        <v>3.7582360000000001</v>
      </c>
      <c r="AQ49">
        <v>5.1998579999999999</v>
      </c>
      <c r="AR49">
        <v>8.2038899999999995</v>
      </c>
      <c r="AS49">
        <v>1486873</v>
      </c>
      <c r="AT49">
        <v>6.5730380000000004</v>
      </c>
      <c r="AU49">
        <v>5.2161289999999996</v>
      </c>
      <c r="AV49">
        <v>0.52770819999999996</v>
      </c>
      <c r="AW49">
        <v>0.47229189999999999</v>
      </c>
      <c r="AX49">
        <v>0.17999270000000001</v>
      </c>
      <c r="AY49">
        <v>0.82000729999999999</v>
      </c>
      <c r="AZ49">
        <v>21.346340000000001</v>
      </c>
      <c r="BA49">
        <v>0.53886049999999996</v>
      </c>
      <c r="BB49">
        <v>0.46113949999999998</v>
      </c>
      <c r="BC49">
        <v>0.64724230000000005</v>
      </c>
      <c r="BD49">
        <v>0</v>
      </c>
      <c r="BE49">
        <v>5.2356720000000001</v>
      </c>
      <c r="BF49">
        <v>5.2356730000000002</v>
      </c>
      <c r="BG49">
        <v>1</v>
      </c>
      <c r="BH49">
        <v>0.83056479999999999</v>
      </c>
      <c r="BI49">
        <v>0.2073673</v>
      </c>
      <c r="BJ49">
        <v>0.79263269999999997</v>
      </c>
      <c r="BK49">
        <v>0.29117480000000001</v>
      </c>
      <c r="BL49" s="1">
        <v>3.9300000000000004E-15</v>
      </c>
      <c r="BM49">
        <v>4.4786739999999998</v>
      </c>
      <c r="BN49">
        <v>4.478675</v>
      </c>
      <c r="BO49">
        <v>1</v>
      </c>
      <c r="BP49">
        <v>0.44890160000000001</v>
      </c>
      <c r="BQ49">
        <v>0.17417260000000001</v>
      </c>
      <c r="BR49">
        <v>0.82582739999999999</v>
      </c>
      <c r="BS49">
        <v>0.55497370000000001</v>
      </c>
      <c r="BT49">
        <v>0.69686530000000002</v>
      </c>
      <c r="BU49">
        <v>0.44306980000000001</v>
      </c>
      <c r="BV49">
        <v>2.971403</v>
      </c>
      <c r="BW49">
        <v>5.2386160000000004</v>
      </c>
      <c r="BX49">
        <v>1.7630110000000001</v>
      </c>
      <c r="BY49">
        <v>0</v>
      </c>
      <c r="BZ49">
        <v>0.52477929999999995</v>
      </c>
      <c r="CA49">
        <v>0.4752207</v>
      </c>
      <c r="CB49">
        <v>0.1800921</v>
      </c>
      <c r="CC49">
        <v>0.81990779999999996</v>
      </c>
      <c r="CD49">
        <v>6.3530030000000002</v>
      </c>
      <c r="CE49">
        <v>6.4203530000000004</v>
      </c>
      <c r="CF49">
        <v>3.1637979999999999</v>
      </c>
      <c r="CG49">
        <v>5.1138349999999999</v>
      </c>
      <c r="CH49">
        <v>1.5701689999999999</v>
      </c>
      <c r="CI49">
        <v>1.340813</v>
      </c>
      <c r="CJ49">
        <v>0.85392900000000005</v>
      </c>
      <c r="CK49">
        <v>1.133095</v>
      </c>
      <c r="CL49">
        <v>0.56350199999999995</v>
      </c>
      <c r="CM49">
        <v>0.60514999999999997</v>
      </c>
      <c r="CN49">
        <v>0.53786230000000002</v>
      </c>
      <c r="CO49">
        <v>1.365275</v>
      </c>
      <c r="CP49">
        <v>1.5474300000000001</v>
      </c>
      <c r="CQ49">
        <v>1.258902</v>
      </c>
      <c r="CR49">
        <v>1.024918</v>
      </c>
      <c r="CS49">
        <v>1.467355</v>
      </c>
      <c r="CT49">
        <v>1.3311740000000001</v>
      </c>
      <c r="CU49">
        <v>1.573248</v>
      </c>
      <c r="CW49">
        <f t="shared" si="4"/>
        <v>1363208.6169648028</v>
      </c>
      <c r="CX49">
        <f t="shared" si="10"/>
        <v>4.2679999307084771E-2</v>
      </c>
      <c r="CY49">
        <f t="shared" si="11"/>
        <v>3.5256294456443182E-2</v>
      </c>
      <c r="CZ49">
        <f t="shared" si="12"/>
        <v>2.5328342082765354E-2</v>
      </c>
      <c r="DA49">
        <f t="shared" si="13"/>
        <v>1.3018125869113793E-2</v>
      </c>
      <c r="DB49">
        <f t="shared" si="5"/>
        <v>1.3018125869113793E-2</v>
      </c>
      <c r="DC49" s="12">
        <f t="shared" si="19"/>
        <v>1.7198710301198652</v>
      </c>
      <c r="DD49" s="4">
        <f t="shared" si="20"/>
        <v>1.9498192129852949</v>
      </c>
      <c r="DE49" s="4">
        <f t="shared" si="21"/>
        <v>0.73759507355807508</v>
      </c>
      <c r="DF49" s="4">
        <f t="shared" si="22"/>
        <v>0.45314254415008748</v>
      </c>
      <c r="DG49" s="13">
        <f t="shared" si="14"/>
        <v>0.45314254415008748</v>
      </c>
      <c r="DH49" s="4">
        <f t="shared" si="15"/>
        <v>5.5838082747517834</v>
      </c>
      <c r="DI49" s="4">
        <f t="shared" si="16"/>
        <v>1.5732484278916774</v>
      </c>
      <c r="DJ49" s="4">
        <f t="shared" si="17"/>
        <v>7.0274170000000007</v>
      </c>
      <c r="DK49" s="4">
        <f t="shared" si="18"/>
        <v>2.0909010000000001</v>
      </c>
      <c r="DM49" s="4"/>
      <c r="DN49" s="17"/>
    </row>
    <row r="50" spans="1:118" x14ac:dyDescent="0.3">
      <c r="A50">
        <v>1995</v>
      </c>
      <c r="B50">
        <v>266588</v>
      </c>
      <c r="C50">
        <v>7639749</v>
      </c>
      <c r="D50">
        <v>5.2240760000000002</v>
      </c>
      <c r="E50">
        <v>5.8586450000000001</v>
      </c>
      <c r="F50">
        <v>4962590</v>
      </c>
      <c r="G50">
        <v>1317489</v>
      </c>
      <c r="H50">
        <v>1141743</v>
      </c>
      <c r="I50">
        <v>307688</v>
      </c>
      <c r="J50">
        <v>-89761</v>
      </c>
      <c r="K50">
        <v>7465377</v>
      </c>
      <c r="L50">
        <v>1885911</v>
      </c>
      <c r="M50">
        <v>5579466</v>
      </c>
      <c r="N50">
        <v>6.1708780000000001</v>
      </c>
      <c r="O50">
        <v>4.5414680000000001</v>
      </c>
      <c r="P50">
        <v>7.1970830000000001</v>
      </c>
      <c r="Q50">
        <v>840555</v>
      </c>
      <c r="R50">
        <v>1030932</v>
      </c>
      <c r="S50">
        <v>753448</v>
      </c>
      <c r="T50">
        <v>4840442</v>
      </c>
      <c r="U50">
        <v>4331886.5</v>
      </c>
      <c r="V50">
        <v>1137367.5</v>
      </c>
      <c r="W50">
        <v>3194519</v>
      </c>
      <c r="X50">
        <v>0.57902810000000005</v>
      </c>
      <c r="Y50">
        <v>4.9553330000000004</v>
      </c>
      <c r="Z50">
        <v>4.1044390000000002</v>
      </c>
      <c r="AA50">
        <v>5.4227169999999996</v>
      </c>
      <c r="AB50">
        <v>7.3009060000000003</v>
      </c>
      <c r="AC50">
        <v>5.8766239999999996</v>
      </c>
      <c r="AD50">
        <v>7.8340290000000001</v>
      </c>
      <c r="AE50">
        <v>2.1437849999999998</v>
      </c>
      <c r="AF50">
        <v>1.4318299999999999</v>
      </c>
      <c r="AG50">
        <v>2.7652109999999999</v>
      </c>
      <c r="AH50">
        <v>0.60768259999999996</v>
      </c>
      <c r="AI50">
        <v>0.56927150000000004</v>
      </c>
      <c r="AJ50">
        <v>5871374</v>
      </c>
      <c r="AK50">
        <v>1633196</v>
      </c>
      <c r="AL50">
        <v>4238178</v>
      </c>
      <c r="AM50">
        <v>4.8558050000000001</v>
      </c>
      <c r="AN50">
        <v>6.0366609999999996</v>
      </c>
      <c r="AO50">
        <v>4.1631999999999998</v>
      </c>
      <c r="AP50">
        <v>3.7058409999999999</v>
      </c>
      <c r="AQ50">
        <v>5.3248369999999996</v>
      </c>
      <c r="AR50">
        <v>8.4276560000000007</v>
      </c>
      <c r="AS50">
        <v>1594003</v>
      </c>
      <c r="AT50">
        <v>6.9119270000000004</v>
      </c>
      <c r="AU50">
        <v>5.3177830000000004</v>
      </c>
      <c r="AV50">
        <v>0.5273234</v>
      </c>
      <c r="AW50">
        <v>0.47267670000000001</v>
      </c>
      <c r="AX50">
        <v>0.1755862</v>
      </c>
      <c r="AY50">
        <v>0.82441379999999997</v>
      </c>
      <c r="AZ50">
        <v>22.024149999999999</v>
      </c>
      <c r="BA50">
        <v>0.53656309999999996</v>
      </c>
      <c r="BB50">
        <v>0.46343689999999998</v>
      </c>
      <c r="BC50">
        <v>0.64724230000000005</v>
      </c>
      <c r="BD50">
        <v>0</v>
      </c>
      <c r="BE50">
        <v>5.3382719999999999</v>
      </c>
      <c r="BF50">
        <v>5.3382719999999999</v>
      </c>
      <c r="BG50">
        <v>1</v>
      </c>
      <c r="BH50">
        <v>0.83056479999999999</v>
      </c>
      <c r="BI50">
        <v>0.20585229999999999</v>
      </c>
      <c r="BJ50">
        <v>0.79414770000000001</v>
      </c>
      <c r="BK50">
        <v>0.29117480000000001</v>
      </c>
      <c r="BL50" s="1">
        <v>3.9300000000000004E-15</v>
      </c>
      <c r="BM50">
        <v>4.552486</v>
      </c>
      <c r="BN50">
        <v>4.552486</v>
      </c>
      <c r="BO50">
        <v>1</v>
      </c>
      <c r="BP50">
        <v>0.44890160000000001</v>
      </c>
      <c r="BQ50">
        <v>0.1728035</v>
      </c>
      <c r="BR50">
        <v>0.8271965</v>
      </c>
      <c r="BS50">
        <v>0.55497370000000001</v>
      </c>
      <c r="BT50">
        <v>0.69686530000000002</v>
      </c>
      <c r="BU50">
        <v>0.44306980000000001</v>
      </c>
      <c r="BV50">
        <v>3.0186860000000002</v>
      </c>
      <c r="BW50">
        <v>5.3236049999999997</v>
      </c>
      <c r="BX50">
        <v>1.7635510000000001</v>
      </c>
      <c r="BY50">
        <v>0</v>
      </c>
      <c r="BZ50">
        <v>0.52751579999999998</v>
      </c>
      <c r="CA50">
        <v>0.47248430000000002</v>
      </c>
      <c r="CB50">
        <v>0.17778939999999999</v>
      </c>
      <c r="CC50">
        <v>0.82221060000000001</v>
      </c>
      <c r="CD50">
        <v>6.675001</v>
      </c>
      <c r="CE50">
        <v>6.6940330000000001</v>
      </c>
      <c r="CF50">
        <v>3.1602969999999999</v>
      </c>
      <c r="CG50">
        <v>5.2160789999999997</v>
      </c>
      <c r="CH50">
        <v>1.584748</v>
      </c>
      <c r="CI50">
        <v>1.353399</v>
      </c>
      <c r="CJ50">
        <v>0.85401539999999998</v>
      </c>
      <c r="CK50">
        <v>1.135184</v>
      </c>
      <c r="CL50">
        <v>0.56350199999999995</v>
      </c>
      <c r="CM50">
        <v>0.60514999999999997</v>
      </c>
      <c r="CN50">
        <v>0.53786230000000002</v>
      </c>
      <c r="CO50">
        <v>1.353909</v>
      </c>
      <c r="CP50">
        <v>1.5476970000000001</v>
      </c>
      <c r="CQ50">
        <v>1.244742</v>
      </c>
      <c r="CR50">
        <v>1.0295080000000001</v>
      </c>
      <c r="CS50">
        <v>1.467381</v>
      </c>
      <c r="CT50">
        <v>1.319976</v>
      </c>
      <c r="CU50">
        <v>1.571107</v>
      </c>
      <c r="CW50">
        <f t="shared" si="4"/>
        <v>1403851.3794188292</v>
      </c>
      <c r="CX50">
        <f t="shared" si="10"/>
        <v>2.9378246682558284E-2</v>
      </c>
      <c r="CY50">
        <f t="shared" si="11"/>
        <v>3.8179237057133886E-2</v>
      </c>
      <c r="CZ50">
        <f t="shared" si="12"/>
        <v>2.4977884771373748E-2</v>
      </c>
      <c r="DA50">
        <f t="shared" si="13"/>
        <v>-1.3620019588451923E-3</v>
      </c>
      <c r="DB50">
        <f t="shared" si="5"/>
        <v>-1.3620019588451923E-3</v>
      </c>
      <c r="DC50" s="12">
        <f t="shared" si="19"/>
        <v>1.7492492768024235</v>
      </c>
      <c r="DD50" s="4">
        <f t="shared" si="20"/>
        <v>1.9879984500424288</v>
      </c>
      <c r="DE50" s="4">
        <f t="shared" si="21"/>
        <v>0.76257295832944882</v>
      </c>
      <c r="DF50" s="4">
        <f t="shared" si="22"/>
        <v>0.45178054219124231</v>
      </c>
      <c r="DG50" s="13">
        <f t="shared" si="14"/>
        <v>0.45178054219124231</v>
      </c>
      <c r="DH50" s="4">
        <f t="shared" si="15"/>
        <v>5.7502841834830942</v>
      </c>
      <c r="DI50" s="4">
        <f t="shared" si="16"/>
        <v>1.5711071190156001</v>
      </c>
      <c r="DJ50" s="4">
        <f t="shared" si="17"/>
        <v>7.3009060000000012</v>
      </c>
      <c r="DK50" s="4">
        <f t="shared" si="18"/>
        <v>2.1437849999999998</v>
      </c>
      <c r="DM50" s="4"/>
      <c r="DN50" s="17"/>
    </row>
    <row r="51" spans="1:118" x14ac:dyDescent="0.3">
      <c r="A51">
        <v>1996</v>
      </c>
      <c r="B51">
        <v>269714</v>
      </c>
      <c r="C51">
        <v>8073122</v>
      </c>
      <c r="D51">
        <v>5.42117</v>
      </c>
      <c r="E51">
        <v>5.9659009999999997</v>
      </c>
      <c r="F51">
        <v>5244596</v>
      </c>
      <c r="G51">
        <v>1432055</v>
      </c>
      <c r="H51">
        <v>1172889</v>
      </c>
      <c r="I51">
        <v>319959</v>
      </c>
      <c r="J51">
        <v>-96376</v>
      </c>
      <c r="K51">
        <v>7884917</v>
      </c>
      <c r="L51">
        <v>1986877</v>
      </c>
      <c r="M51">
        <v>5898041</v>
      </c>
      <c r="N51">
        <v>6.2631680000000003</v>
      </c>
      <c r="O51">
        <v>4.6086320000000001</v>
      </c>
      <c r="P51">
        <v>7.3051240000000002</v>
      </c>
      <c r="Q51">
        <v>896551</v>
      </c>
      <c r="R51">
        <v>1074668</v>
      </c>
      <c r="S51">
        <v>824663</v>
      </c>
      <c r="T51">
        <v>5089035</v>
      </c>
      <c r="U51">
        <v>4551839.5</v>
      </c>
      <c r="V51">
        <v>1193016.5</v>
      </c>
      <c r="W51">
        <v>3358822.8</v>
      </c>
      <c r="X51">
        <v>0.57877400000000001</v>
      </c>
      <c r="Y51">
        <v>5.1566929999999997</v>
      </c>
      <c r="Z51">
        <v>4.2611600000000003</v>
      </c>
      <c r="AA51">
        <v>5.6475609999999996</v>
      </c>
      <c r="AB51">
        <v>7.6035519999999996</v>
      </c>
      <c r="AC51">
        <v>6.0986029999999998</v>
      </c>
      <c r="AD51">
        <v>8.1678259999999998</v>
      </c>
      <c r="AE51">
        <v>2.177756</v>
      </c>
      <c r="AF51">
        <v>1.4549510000000001</v>
      </c>
      <c r="AG51">
        <v>2.8087339999999998</v>
      </c>
      <c r="AH51">
        <v>0.60176739999999995</v>
      </c>
      <c r="AI51">
        <v>0.57101519999999995</v>
      </c>
      <c r="AJ51">
        <v>6163703</v>
      </c>
      <c r="AK51">
        <v>1717368</v>
      </c>
      <c r="AL51">
        <v>4446335</v>
      </c>
      <c r="AM51">
        <v>4.9897919999999996</v>
      </c>
      <c r="AN51">
        <v>6.1720569999999997</v>
      </c>
      <c r="AO51">
        <v>4.3226290000000001</v>
      </c>
      <c r="AP51">
        <v>3.7561550000000001</v>
      </c>
      <c r="AQ51">
        <v>5.4498119999999997</v>
      </c>
      <c r="AR51">
        <v>8.6458340000000007</v>
      </c>
      <c r="AS51">
        <v>1721214</v>
      </c>
      <c r="AT51">
        <v>7.4409280000000004</v>
      </c>
      <c r="AU51">
        <v>5.3339429999999997</v>
      </c>
      <c r="AV51">
        <v>0.52088299999999998</v>
      </c>
      <c r="AW51">
        <v>0.47911710000000002</v>
      </c>
      <c r="AX51">
        <v>0.17435429999999999</v>
      </c>
      <c r="AY51">
        <v>0.82564570000000004</v>
      </c>
      <c r="AZ51">
        <v>22.852740000000001</v>
      </c>
      <c r="BA51">
        <v>0.53650850000000005</v>
      </c>
      <c r="BB51">
        <v>0.4634915</v>
      </c>
      <c r="BC51">
        <v>0.64724230000000005</v>
      </c>
      <c r="BD51">
        <v>0</v>
      </c>
      <c r="BE51">
        <v>5.5218259999999999</v>
      </c>
      <c r="BF51">
        <v>5.5218259999999999</v>
      </c>
      <c r="BG51">
        <v>1</v>
      </c>
      <c r="BH51">
        <v>0.83056479999999999</v>
      </c>
      <c r="BI51">
        <v>0.20581640000000001</v>
      </c>
      <c r="BJ51">
        <v>0.79418359999999999</v>
      </c>
      <c r="BK51">
        <v>0.29117480000000001</v>
      </c>
      <c r="BL51" s="1">
        <v>3.9300000000000004E-15</v>
      </c>
      <c r="BM51">
        <v>4.7086800000000002</v>
      </c>
      <c r="BN51">
        <v>4.7086800000000002</v>
      </c>
      <c r="BO51">
        <v>1</v>
      </c>
      <c r="BP51">
        <v>0.44890160000000001</v>
      </c>
      <c r="BQ51">
        <v>0.17067740000000001</v>
      </c>
      <c r="BR51">
        <v>0.82932260000000002</v>
      </c>
      <c r="BS51">
        <v>0.55497370000000001</v>
      </c>
      <c r="BT51">
        <v>0.69686530000000002</v>
      </c>
      <c r="BU51">
        <v>0.44306980000000001</v>
      </c>
      <c r="BV51">
        <v>3.0843790000000002</v>
      </c>
      <c r="BW51">
        <v>5.5201580000000003</v>
      </c>
      <c r="BX51">
        <v>1.7897149999999999</v>
      </c>
      <c r="BY51">
        <v>0</v>
      </c>
      <c r="BZ51">
        <v>0.52410319999999999</v>
      </c>
      <c r="CA51">
        <v>0.47589690000000001</v>
      </c>
      <c r="CB51">
        <v>0.17497019999999999</v>
      </c>
      <c r="CC51">
        <v>0.82502980000000004</v>
      </c>
      <c r="CD51">
        <v>7.0159159999999998</v>
      </c>
      <c r="CE51">
        <v>7.2183830000000002</v>
      </c>
      <c r="CF51">
        <v>3.2463579999999999</v>
      </c>
      <c r="CG51">
        <v>5.402857</v>
      </c>
      <c r="CH51">
        <v>1.5850960000000001</v>
      </c>
      <c r="CI51">
        <v>1.3695539999999999</v>
      </c>
      <c r="CJ51">
        <v>0.8640198</v>
      </c>
      <c r="CK51">
        <v>1.1571279999999999</v>
      </c>
      <c r="CL51">
        <v>0.56350199999999995</v>
      </c>
      <c r="CM51">
        <v>0.60514999999999997</v>
      </c>
      <c r="CN51">
        <v>0.53786230000000002</v>
      </c>
      <c r="CO51">
        <v>1.3719570000000001</v>
      </c>
      <c r="CP51">
        <v>1.566791</v>
      </c>
      <c r="CQ51">
        <v>1.261803</v>
      </c>
      <c r="CR51">
        <v>1.041677</v>
      </c>
      <c r="CS51">
        <v>1.5038640000000001</v>
      </c>
      <c r="CT51">
        <v>1.3376189999999999</v>
      </c>
      <c r="CU51">
        <v>1.610965</v>
      </c>
      <c r="CW51">
        <f t="shared" si="4"/>
        <v>1478252.954709115</v>
      </c>
      <c r="CX51">
        <f t="shared" si="10"/>
        <v>5.1641509619537729E-2</v>
      </c>
      <c r="CY51">
        <f t="shared" si="11"/>
        <v>4.0617056488306158E-2</v>
      </c>
      <c r="CZ51">
        <f t="shared" si="12"/>
        <v>1.572203052080301E-2</v>
      </c>
      <c r="DA51">
        <f t="shared" si="13"/>
        <v>2.505285005397153E-2</v>
      </c>
      <c r="DB51">
        <f t="shared" si="5"/>
        <v>2.505285005397153E-2</v>
      </c>
      <c r="DC51" s="12">
        <f t="shared" si="19"/>
        <v>1.8008907864219612</v>
      </c>
      <c r="DD51" s="4">
        <f t="shared" si="20"/>
        <v>2.028615506530735</v>
      </c>
      <c r="DE51" s="4">
        <f t="shared" si="21"/>
        <v>0.77829498885025183</v>
      </c>
      <c r="DF51" s="4">
        <f t="shared" si="22"/>
        <v>0.47683339224521382</v>
      </c>
      <c r="DG51" s="13">
        <f t="shared" si="14"/>
        <v>0.47683339224521382</v>
      </c>
      <c r="DH51" s="4">
        <f t="shared" si="15"/>
        <v>6.0550388091437357</v>
      </c>
      <c r="DI51" s="4">
        <f t="shared" si="16"/>
        <v>1.6109650224288736</v>
      </c>
      <c r="DJ51" s="4">
        <f t="shared" si="17"/>
        <v>7.6035519999999979</v>
      </c>
      <c r="DK51" s="4">
        <f t="shared" si="18"/>
        <v>2.177756</v>
      </c>
      <c r="DM51" s="4"/>
      <c r="DN51" s="17"/>
    </row>
    <row r="52" spans="1:118" x14ac:dyDescent="0.3">
      <c r="A52">
        <v>1997</v>
      </c>
      <c r="B52">
        <v>272958</v>
      </c>
      <c r="C52">
        <v>8577552</v>
      </c>
      <c r="D52">
        <v>5.6622490000000001</v>
      </c>
      <c r="E52">
        <v>6.0687879999999996</v>
      </c>
      <c r="F52">
        <v>5536790</v>
      </c>
      <c r="G52">
        <v>1595600</v>
      </c>
      <c r="H52">
        <v>1220528</v>
      </c>
      <c r="I52">
        <v>326605</v>
      </c>
      <c r="J52">
        <v>-101971</v>
      </c>
      <c r="K52">
        <v>8384974</v>
      </c>
      <c r="L52">
        <v>2085356</v>
      </c>
      <c r="M52">
        <v>6299618</v>
      </c>
      <c r="N52">
        <v>6.3539659999999998</v>
      </c>
      <c r="O52">
        <v>4.6014169999999996</v>
      </c>
      <c r="P52">
        <v>7.4506309999999996</v>
      </c>
      <c r="Q52">
        <v>964775</v>
      </c>
      <c r="R52">
        <v>1100389</v>
      </c>
      <c r="S52">
        <v>886504</v>
      </c>
      <c r="T52">
        <v>5433306</v>
      </c>
      <c r="U52">
        <v>4892870.5</v>
      </c>
      <c r="V52">
        <v>1244620.3999999999</v>
      </c>
      <c r="W52">
        <v>3648250.3</v>
      </c>
      <c r="X52">
        <v>0.58040639999999999</v>
      </c>
      <c r="Y52">
        <v>5.4053649999999998</v>
      </c>
      <c r="Z52">
        <v>4.4793760000000002</v>
      </c>
      <c r="AA52">
        <v>5.9142809999999999</v>
      </c>
      <c r="AB52">
        <v>7.9690060000000003</v>
      </c>
      <c r="AC52">
        <v>6.3500719999999999</v>
      </c>
      <c r="AD52">
        <v>8.5780399999999997</v>
      </c>
      <c r="AE52">
        <v>2.2414170000000002</v>
      </c>
      <c r="AF52">
        <v>1.487053</v>
      </c>
      <c r="AG52">
        <v>2.8978820000000001</v>
      </c>
      <c r="AH52">
        <v>0.59864340000000005</v>
      </c>
      <c r="AI52">
        <v>0.57430179999999997</v>
      </c>
      <c r="AJ52">
        <v>6533695</v>
      </c>
      <c r="AK52">
        <v>1837506</v>
      </c>
      <c r="AL52">
        <v>4696189</v>
      </c>
      <c r="AM52">
        <v>5.1750239999999996</v>
      </c>
      <c r="AN52">
        <v>6.3018830000000001</v>
      </c>
      <c r="AO52">
        <v>4.488378</v>
      </c>
      <c r="AP52">
        <v>3.8665229999999999</v>
      </c>
      <c r="AQ52">
        <v>5.6010470000000003</v>
      </c>
      <c r="AR52">
        <v>8.8759730000000001</v>
      </c>
      <c r="AS52">
        <v>1851279</v>
      </c>
      <c r="AT52">
        <v>7.9753360000000004</v>
      </c>
      <c r="AU52">
        <v>5.3525840000000002</v>
      </c>
      <c r="AV52">
        <v>0.52113969999999998</v>
      </c>
      <c r="AW52">
        <v>0.47886030000000002</v>
      </c>
      <c r="AX52">
        <v>0.1684176</v>
      </c>
      <c r="AY52">
        <v>0.83158240000000005</v>
      </c>
      <c r="AZ52">
        <v>23.936630000000001</v>
      </c>
      <c r="BA52">
        <v>0.53121059999999998</v>
      </c>
      <c r="BB52">
        <v>0.46878940000000002</v>
      </c>
      <c r="BC52">
        <v>0.64724230000000005</v>
      </c>
      <c r="BD52">
        <v>0</v>
      </c>
      <c r="BE52">
        <v>5.8045739999999997</v>
      </c>
      <c r="BF52">
        <v>5.8045749999999998</v>
      </c>
      <c r="BG52">
        <v>1</v>
      </c>
      <c r="BH52">
        <v>0.83056479999999999</v>
      </c>
      <c r="BI52">
        <v>0.20235829999999999</v>
      </c>
      <c r="BJ52">
        <v>0.79764159999999995</v>
      </c>
      <c r="BK52">
        <v>0.29117480000000001</v>
      </c>
      <c r="BL52" s="1">
        <v>3.9300000000000004E-15</v>
      </c>
      <c r="BM52">
        <v>4.9151619999999996</v>
      </c>
      <c r="BN52">
        <v>4.9151619999999996</v>
      </c>
      <c r="BO52">
        <v>0.99999990000000005</v>
      </c>
      <c r="BP52">
        <v>0.44890160000000001</v>
      </c>
      <c r="BQ52">
        <v>0.16569819999999999</v>
      </c>
      <c r="BR52">
        <v>0.83430179999999998</v>
      </c>
      <c r="BS52">
        <v>0.55497370000000001</v>
      </c>
      <c r="BT52">
        <v>0.69686530000000002</v>
      </c>
      <c r="BU52">
        <v>0.44306980000000001</v>
      </c>
      <c r="BV52">
        <v>3.1791209999999999</v>
      </c>
      <c r="BW52">
        <v>5.7716890000000003</v>
      </c>
      <c r="BX52">
        <v>1.8154980000000001</v>
      </c>
      <c r="BY52">
        <v>0</v>
      </c>
      <c r="BZ52">
        <v>0.52101129999999996</v>
      </c>
      <c r="CA52">
        <v>0.47898869999999999</v>
      </c>
      <c r="CB52">
        <v>0.17138590000000001</v>
      </c>
      <c r="CC52">
        <v>0.82861410000000002</v>
      </c>
      <c r="CD52">
        <v>7.5616380000000003</v>
      </c>
      <c r="CE52">
        <v>7.6081430000000001</v>
      </c>
      <c r="CF52">
        <v>3.3292679999999999</v>
      </c>
      <c r="CG52">
        <v>5.6557050000000002</v>
      </c>
      <c r="CH52">
        <v>1.6192040000000001</v>
      </c>
      <c r="CI52">
        <v>1.391969</v>
      </c>
      <c r="CJ52">
        <v>0.85966279999999995</v>
      </c>
      <c r="CK52">
        <v>1.1773530000000001</v>
      </c>
      <c r="CL52">
        <v>0.56350199999999995</v>
      </c>
      <c r="CM52">
        <v>0.60514999999999997</v>
      </c>
      <c r="CN52">
        <v>0.53786230000000002</v>
      </c>
      <c r="CO52">
        <v>1.3862570000000001</v>
      </c>
      <c r="CP52">
        <v>1.5984529999999999</v>
      </c>
      <c r="CQ52">
        <v>1.270856</v>
      </c>
      <c r="CR52">
        <v>1.0470470000000001</v>
      </c>
      <c r="CS52">
        <v>1.534151</v>
      </c>
      <c r="CT52">
        <v>1.3515079999999999</v>
      </c>
      <c r="CU52">
        <v>1.6456029999999999</v>
      </c>
      <c r="CW52">
        <f t="shared" si="4"/>
        <v>1566528.2413129807</v>
      </c>
      <c r="CX52">
        <f t="shared" si="10"/>
        <v>5.8000905030176853E-2</v>
      </c>
      <c r="CY52">
        <f t="shared" si="11"/>
        <v>4.6944260802148197E-2</v>
      </c>
      <c r="CZ52">
        <f t="shared" si="12"/>
        <v>2.8813266302149754E-2</v>
      </c>
      <c r="DA52">
        <f t="shared" si="13"/>
        <v>2.1273495890766776E-2</v>
      </c>
      <c r="DB52">
        <f t="shared" si="5"/>
        <v>2.1273495890766776E-2</v>
      </c>
      <c r="DC52" s="12">
        <f t="shared" si="19"/>
        <v>1.8588916914521381</v>
      </c>
      <c r="DD52" s="4">
        <f t="shared" si="20"/>
        <v>2.0755597673328832</v>
      </c>
      <c r="DE52" s="4">
        <f t="shared" si="21"/>
        <v>0.80710825515240159</v>
      </c>
      <c r="DF52" s="4">
        <f t="shared" si="22"/>
        <v>0.49810688813598059</v>
      </c>
      <c r="DG52" s="13">
        <f t="shared" si="14"/>
        <v>0.49810688813598059</v>
      </c>
      <c r="DH52" s="4">
        <f t="shared" si="15"/>
        <v>6.4166212328905994</v>
      </c>
      <c r="DI52" s="4">
        <f t="shared" si="16"/>
        <v>1.6456030094420835</v>
      </c>
      <c r="DJ52" s="4">
        <f t="shared" si="17"/>
        <v>7.9690060000000003</v>
      </c>
      <c r="DK52" s="4">
        <f t="shared" si="18"/>
        <v>2.2414170000000002</v>
      </c>
      <c r="DM52" s="4"/>
      <c r="DN52" s="17"/>
    </row>
    <row r="53" spans="1:118" x14ac:dyDescent="0.3">
      <c r="A53">
        <v>1998</v>
      </c>
      <c r="B53">
        <v>276154</v>
      </c>
      <c r="C53">
        <v>9062817</v>
      </c>
      <c r="D53">
        <v>5.9160209999999998</v>
      </c>
      <c r="E53">
        <v>6.1370699999999996</v>
      </c>
      <c r="F53">
        <v>5877248</v>
      </c>
      <c r="G53">
        <v>1736671</v>
      </c>
      <c r="H53">
        <v>1267607</v>
      </c>
      <c r="I53">
        <v>344001</v>
      </c>
      <c r="J53">
        <v>-162711</v>
      </c>
      <c r="K53">
        <v>8843244</v>
      </c>
      <c r="L53">
        <v>2142471</v>
      </c>
      <c r="M53">
        <v>6700773</v>
      </c>
      <c r="N53">
        <v>6.4304649999999999</v>
      </c>
      <c r="O53">
        <v>4.5718009999999998</v>
      </c>
      <c r="P53">
        <v>7.5856680000000001</v>
      </c>
      <c r="Q53">
        <v>1037787</v>
      </c>
      <c r="R53">
        <v>1082912</v>
      </c>
      <c r="S53">
        <v>979166</v>
      </c>
      <c r="T53">
        <v>5743379</v>
      </c>
      <c r="U53">
        <v>5330721.5</v>
      </c>
      <c r="V53">
        <v>1311015.3999999999</v>
      </c>
      <c r="W53">
        <v>4019706</v>
      </c>
      <c r="X53">
        <v>0.59316500000000005</v>
      </c>
      <c r="Y53">
        <v>5.6329690000000001</v>
      </c>
      <c r="Z53">
        <v>4.6318739999999998</v>
      </c>
      <c r="AA53">
        <v>6.1789100000000001</v>
      </c>
      <c r="AB53">
        <v>8.406917</v>
      </c>
      <c r="AC53">
        <v>6.6430439999999997</v>
      </c>
      <c r="AD53">
        <v>9.0732619999999997</v>
      </c>
      <c r="AE53">
        <v>2.30654</v>
      </c>
      <c r="AF53">
        <v>1.498397</v>
      </c>
      <c r="AG53">
        <v>3.0030839999999999</v>
      </c>
      <c r="AH53">
        <v>0.60437790000000002</v>
      </c>
      <c r="AI53">
        <v>0.58950469999999999</v>
      </c>
      <c r="AJ53">
        <v>6826291</v>
      </c>
      <c r="AK53">
        <v>1873703</v>
      </c>
      <c r="AL53">
        <v>4952588</v>
      </c>
      <c r="AM53">
        <v>5.3390449999999996</v>
      </c>
      <c r="AN53">
        <v>6.3985099999999999</v>
      </c>
      <c r="AO53">
        <v>4.6025239999999998</v>
      </c>
      <c r="AP53">
        <v>3.8549579999999999</v>
      </c>
      <c r="AQ53">
        <v>5.800433</v>
      </c>
      <c r="AR53">
        <v>9.0624369999999992</v>
      </c>
      <c r="AS53">
        <v>2016953</v>
      </c>
      <c r="AT53">
        <v>8.7165219999999994</v>
      </c>
      <c r="AU53">
        <v>5.3357210000000004</v>
      </c>
      <c r="AV53">
        <v>0.51453210000000005</v>
      </c>
      <c r="AW53">
        <v>0.48546790000000001</v>
      </c>
      <c r="AX53">
        <v>0.15863840000000001</v>
      </c>
      <c r="AY53">
        <v>0.84136160000000004</v>
      </c>
      <c r="AZ53">
        <v>24.719149999999999</v>
      </c>
      <c r="BA53">
        <v>0.52512530000000002</v>
      </c>
      <c r="BB53">
        <v>0.47487469999999998</v>
      </c>
      <c r="BC53">
        <v>0.64724230000000005</v>
      </c>
      <c r="BD53">
        <v>0</v>
      </c>
      <c r="BE53">
        <v>6.0338820000000002</v>
      </c>
      <c r="BF53">
        <v>6.0338830000000003</v>
      </c>
      <c r="BG53">
        <v>1</v>
      </c>
      <c r="BH53">
        <v>0.83056479999999999</v>
      </c>
      <c r="BI53">
        <v>0.1984455</v>
      </c>
      <c r="BJ53">
        <v>0.80155449999999995</v>
      </c>
      <c r="BK53">
        <v>0.29117480000000001</v>
      </c>
      <c r="BL53" s="1">
        <v>3.9300000000000004E-15</v>
      </c>
      <c r="BM53">
        <v>5.0686020000000003</v>
      </c>
      <c r="BN53">
        <v>5.0686030000000004</v>
      </c>
      <c r="BO53">
        <v>1</v>
      </c>
      <c r="BP53">
        <v>0.44890160000000001</v>
      </c>
      <c r="BQ53">
        <v>0.16162309999999999</v>
      </c>
      <c r="BR53">
        <v>0.83837689999999998</v>
      </c>
      <c r="BS53">
        <v>0.55497370000000001</v>
      </c>
      <c r="BT53">
        <v>0.69686530000000002</v>
      </c>
      <c r="BU53">
        <v>0.44306980000000001</v>
      </c>
      <c r="BV53">
        <v>3.2607910000000002</v>
      </c>
      <c r="BW53">
        <v>5.9517429999999996</v>
      </c>
      <c r="BX53">
        <v>1.825245</v>
      </c>
      <c r="BY53">
        <v>0</v>
      </c>
      <c r="BZ53">
        <v>0.51783590000000002</v>
      </c>
      <c r="CA53">
        <v>0.48216409999999998</v>
      </c>
      <c r="CB53">
        <v>0.16352800000000001</v>
      </c>
      <c r="CC53">
        <v>0.83647199999999999</v>
      </c>
      <c r="CD53">
        <v>8.1865780000000008</v>
      </c>
      <c r="CE53">
        <v>8.2537929999999999</v>
      </c>
      <c r="CF53">
        <v>3.2976160000000001</v>
      </c>
      <c r="CG53">
        <v>5.8720439999999998</v>
      </c>
      <c r="CH53">
        <v>1.65923</v>
      </c>
      <c r="CI53">
        <v>1.4216759999999999</v>
      </c>
      <c r="CJ53">
        <v>0.85682899999999995</v>
      </c>
      <c r="CK53">
        <v>1.199184</v>
      </c>
      <c r="CL53">
        <v>0.56350199999999995</v>
      </c>
      <c r="CM53">
        <v>0.60514999999999997</v>
      </c>
      <c r="CN53">
        <v>0.53786230000000002</v>
      </c>
      <c r="CO53">
        <v>1.388692</v>
      </c>
      <c r="CP53">
        <v>1.613723</v>
      </c>
      <c r="CQ53">
        <v>1.2698130000000001</v>
      </c>
      <c r="CR53">
        <v>1.055955</v>
      </c>
      <c r="CS53">
        <v>1.5554159999999999</v>
      </c>
      <c r="CT53">
        <v>1.353823</v>
      </c>
      <c r="CU53">
        <v>1.6736139999999999</v>
      </c>
      <c r="CW53">
        <f t="shared" si="4"/>
        <v>1657366.2678389668</v>
      </c>
      <c r="CX53">
        <f t="shared" si="10"/>
        <v>5.6367897233922548E-2</v>
      </c>
      <c r="CY53">
        <f t="shared" si="11"/>
        <v>5.3495052046431013E-2</v>
      </c>
      <c r="CZ53">
        <f t="shared" si="12"/>
        <v>2.8640311006479124E-2</v>
      </c>
      <c r="DA53">
        <f t="shared" si="13"/>
        <v>1.6878541472986501E-2</v>
      </c>
      <c r="DB53">
        <f t="shared" si="5"/>
        <v>1.6878541472986501E-2</v>
      </c>
      <c r="DC53" s="12">
        <f t="shared" si="19"/>
        <v>1.9152595886860606</v>
      </c>
      <c r="DD53" s="4">
        <f t="shared" si="20"/>
        <v>2.1290548193793142</v>
      </c>
      <c r="DE53" s="4">
        <f t="shared" si="21"/>
        <v>0.83574856615888071</v>
      </c>
      <c r="DF53" s="4">
        <f t="shared" si="22"/>
        <v>0.51498542960896709</v>
      </c>
      <c r="DG53" s="13">
        <f t="shared" si="14"/>
        <v>0.51498542960896709</v>
      </c>
      <c r="DH53" s="4">
        <f t="shared" si="15"/>
        <v>6.7887008382170864</v>
      </c>
      <c r="DI53" s="4">
        <f t="shared" si="16"/>
        <v>1.6736141164077634</v>
      </c>
      <c r="DJ53" s="4">
        <f t="shared" si="17"/>
        <v>8.406917</v>
      </c>
      <c r="DK53" s="4">
        <f t="shared" si="18"/>
        <v>2.30654</v>
      </c>
      <c r="DM53" s="4"/>
      <c r="DN53" s="17"/>
    </row>
    <row r="54" spans="1:118" x14ac:dyDescent="0.3">
      <c r="A54">
        <v>1999</v>
      </c>
      <c r="B54">
        <v>279328</v>
      </c>
      <c r="C54">
        <v>9631172</v>
      </c>
      <c r="D54">
        <v>6.199649</v>
      </c>
      <c r="E54">
        <v>6.2235709999999997</v>
      </c>
      <c r="F54">
        <v>6283758</v>
      </c>
      <c r="G54">
        <v>1887059</v>
      </c>
      <c r="H54">
        <v>1351427</v>
      </c>
      <c r="I54">
        <v>368478</v>
      </c>
      <c r="J54">
        <v>-259550</v>
      </c>
      <c r="K54">
        <v>9409659</v>
      </c>
      <c r="L54">
        <v>2253388</v>
      </c>
      <c r="M54">
        <v>7156271</v>
      </c>
      <c r="N54">
        <v>6.5414770000000004</v>
      </c>
      <c r="O54">
        <v>4.5739890000000001</v>
      </c>
      <c r="P54">
        <v>7.757466</v>
      </c>
      <c r="Q54">
        <v>1119435</v>
      </c>
      <c r="R54">
        <v>1110086</v>
      </c>
      <c r="S54">
        <v>1075286</v>
      </c>
      <c r="T54">
        <v>6104852</v>
      </c>
      <c r="U54">
        <v>5614821.5</v>
      </c>
      <c r="V54">
        <v>1375409.3</v>
      </c>
      <c r="W54">
        <v>4239412</v>
      </c>
      <c r="X54">
        <v>0.59975489999999998</v>
      </c>
      <c r="Y54">
        <v>5.8920469999999998</v>
      </c>
      <c r="Z54">
        <v>4.8693369999999998</v>
      </c>
      <c r="AA54">
        <v>6.4527910000000004</v>
      </c>
      <c r="AB54">
        <v>8.9096729999999997</v>
      </c>
      <c r="AC54">
        <v>6.9041860000000002</v>
      </c>
      <c r="AD54">
        <v>9.6734069999999992</v>
      </c>
      <c r="AE54">
        <v>2.350149</v>
      </c>
      <c r="AF54">
        <v>1.5101709999999999</v>
      </c>
      <c r="AG54">
        <v>3.0707339999999999</v>
      </c>
      <c r="AH54">
        <v>0.61114559999999996</v>
      </c>
      <c r="AI54">
        <v>0.59614599999999995</v>
      </c>
      <c r="AJ54">
        <v>7214938</v>
      </c>
      <c r="AK54">
        <v>1948567</v>
      </c>
      <c r="AL54">
        <v>5266371</v>
      </c>
      <c r="AM54">
        <v>5.5413759999999996</v>
      </c>
      <c r="AN54">
        <v>6.5066319999999997</v>
      </c>
      <c r="AO54">
        <v>4.7912239999999997</v>
      </c>
      <c r="AP54">
        <v>3.8456299999999999</v>
      </c>
      <c r="AQ54">
        <v>6.0192069999999998</v>
      </c>
      <c r="AR54">
        <v>9.2731879999999993</v>
      </c>
      <c r="AS54">
        <v>2194721</v>
      </c>
      <c r="AT54">
        <v>9.4421660000000003</v>
      </c>
      <c r="AU54">
        <v>5.3597960000000002</v>
      </c>
      <c r="AV54">
        <v>0.51005800000000001</v>
      </c>
      <c r="AW54">
        <v>0.48994199999999999</v>
      </c>
      <c r="AX54">
        <v>0.15385940000000001</v>
      </c>
      <c r="AY54">
        <v>0.84614060000000002</v>
      </c>
      <c r="AZ54">
        <v>25.829630000000002</v>
      </c>
      <c r="BA54">
        <v>0.51965720000000004</v>
      </c>
      <c r="BB54">
        <v>0.48034280000000001</v>
      </c>
      <c r="BC54">
        <v>0.64724230000000005</v>
      </c>
      <c r="BD54">
        <v>0</v>
      </c>
      <c r="BE54">
        <v>6.3079869999999998</v>
      </c>
      <c r="BF54">
        <v>6.3079869999999998</v>
      </c>
      <c r="BG54">
        <v>1</v>
      </c>
      <c r="BH54">
        <v>0.83056479999999999</v>
      </c>
      <c r="BI54">
        <v>0.1949824</v>
      </c>
      <c r="BJ54">
        <v>0.80501769999999995</v>
      </c>
      <c r="BK54">
        <v>0.29117480000000001</v>
      </c>
      <c r="BL54" s="1">
        <v>3.9300000000000004E-15</v>
      </c>
      <c r="BM54">
        <v>5.2611689999999998</v>
      </c>
      <c r="BN54">
        <v>5.2611689999999998</v>
      </c>
      <c r="BO54">
        <v>1</v>
      </c>
      <c r="BP54">
        <v>0.44890160000000001</v>
      </c>
      <c r="BQ54">
        <v>0.15728120000000001</v>
      </c>
      <c r="BR54">
        <v>0.84271879999999999</v>
      </c>
      <c r="BS54">
        <v>0.55497370000000001</v>
      </c>
      <c r="BT54">
        <v>0.69686530000000002</v>
      </c>
      <c r="BU54">
        <v>0.44306980000000001</v>
      </c>
      <c r="BV54">
        <v>3.352249</v>
      </c>
      <c r="BW54">
        <v>6.1831440000000004</v>
      </c>
      <c r="BX54">
        <v>1.844476</v>
      </c>
      <c r="BY54">
        <v>0</v>
      </c>
      <c r="BZ54">
        <v>0.51229499999999994</v>
      </c>
      <c r="CA54">
        <v>0.487705</v>
      </c>
      <c r="CB54">
        <v>0.1562489</v>
      </c>
      <c r="CC54">
        <v>0.84375109999999998</v>
      </c>
      <c r="CD54">
        <v>8.8264320000000005</v>
      </c>
      <c r="CE54">
        <v>8.8632930000000005</v>
      </c>
      <c r="CF54">
        <v>3.3787470000000002</v>
      </c>
      <c r="CG54">
        <v>6.1033869999999997</v>
      </c>
      <c r="CH54">
        <v>1.6959960000000001</v>
      </c>
      <c r="CI54">
        <v>1.447344</v>
      </c>
      <c r="CJ54">
        <v>0.8533887</v>
      </c>
      <c r="CK54">
        <v>1.21397</v>
      </c>
      <c r="CL54">
        <v>0.56350199999999995</v>
      </c>
      <c r="CM54">
        <v>0.60514999999999997</v>
      </c>
      <c r="CN54">
        <v>0.53786230000000002</v>
      </c>
      <c r="CO54">
        <v>1.40133</v>
      </c>
      <c r="CP54">
        <v>1.6608000000000001</v>
      </c>
      <c r="CQ54">
        <v>1.2734510000000001</v>
      </c>
      <c r="CR54">
        <v>1.0630170000000001</v>
      </c>
      <c r="CS54">
        <v>1.5943830000000001</v>
      </c>
      <c r="CT54">
        <v>1.366233</v>
      </c>
      <c r="CU54">
        <v>1.710283</v>
      </c>
      <c r="CW54">
        <f t="shared" si="4"/>
        <v>1755600.2131424404</v>
      </c>
      <c r="CX54">
        <f t="shared" si="10"/>
        <v>5.7581043469697946E-2</v>
      </c>
      <c r="CY54">
        <f t="shared" si="11"/>
        <v>5.8082721093229761E-2</v>
      </c>
      <c r="CZ54">
        <f t="shared" si="12"/>
        <v>1.8730164242541258E-2</v>
      </c>
      <c r="DA54">
        <f t="shared" si="13"/>
        <v>2.1673566866944854E-2</v>
      </c>
      <c r="DB54">
        <f t="shared" si="5"/>
        <v>2.1673566866944854E-2</v>
      </c>
      <c r="DC54" s="12">
        <f t="shared" si="19"/>
        <v>1.9728406321557586</v>
      </c>
      <c r="DD54" s="4">
        <f t="shared" si="20"/>
        <v>2.1871375404725439</v>
      </c>
      <c r="DE54" s="4">
        <f t="shared" si="21"/>
        <v>0.85447873040142197</v>
      </c>
      <c r="DF54" s="4">
        <f t="shared" si="22"/>
        <v>0.53665899647591198</v>
      </c>
      <c r="DG54" s="13">
        <f t="shared" si="14"/>
        <v>0.53665899647591198</v>
      </c>
      <c r="DH54" s="4">
        <f t="shared" si="15"/>
        <v>7.1910747007505691</v>
      </c>
      <c r="DI54" s="4">
        <f t="shared" si="16"/>
        <v>1.7102832438495172</v>
      </c>
      <c r="DJ54" s="4">
        <f t="shared" si="17"/>
        <v>8.9096730000000015</v>
      </c>
      <c r="DK54" s="4">
        <f t="shared" si="18"/>
        <v>2.350149</v>
      </c>
      <c r="DM54" s="4"/>
      <c r="DN54" s="17"/>
    </row>
    <row r="55" spans="1:118" x14ac:dyDescent="0.3">
      <c r="A55">
        <v>2000</v>
      </c>
      <c r="B55">
        <v>282398</v>
      </c>
      <c r="C55" s="1">
        <v>10300000</v>
      </c>
      <c r="D55">
        <v>6.4524619999999997</v>
      </c>
      <c r="E55">
        <v>6.3645300000000002</v>
      </c>
      <c r="F55">
        <v>6767179</v>
      </c>
      <c r="G55">
        <v>2038408</v>
      </c>
      <c r="H55">
        <v>1437588</v>
      </c>
      <c r="I55">
        <v>388850</v>
      </c>
      <c r="J55">
        <v>-381073</v>
      </c>
      <c r="K55" s="1">
        <v>10000000</v>
      </c>
      <c r="L55">
        <v>2392084</v>
      </c>
      <c r="M55">
        <v>7630560</v>
      </c>
      <c r="N55">
        <v>6.7005220000000003</v>
      </c>
      <c r="O55">
        <v>4.6246660000000004</v>
      </c>
      <c r="P55">
        <v>7.9786089999999996</v>
      </c>
      <c r="Q55">
        <v>1211485</v>
      </c>
      <c r="R55">
        <v>1154398</v>
      </c>
      <c r="S55">
        <v>1161229</v>
      </c>
      <c r="T55">
        <v>6495531</v>
      </c>
      <c r="U55">
        <v>6093353.5</v>
      </c>
      <c r="V55">
        <v>1480172.5</v>
      </c>
      <c r="W55">
        <v>4613181.5</v>
      </c>
      <c r="X55">
        <v>0.60233349999999997</v>
      </c>
      <c r="Y55">
        <v>6.1269140000000002</v>
      </c>
      <c r="Z55">
        <v>5.1124029999999996</v>
      </c>
      <c r="AA55">
        <v>6.6897520000000004</v>
      </c>
      <c r="AB55">
        <v>9.4075469999999992</v>
      </c>
      <c r="AC55">
        <v>7.0885790000000002</v>
      </c>
      <c r="AD55">
        <v>10.30064</v>
      </c>
      <c r="AE55">
        <v>2.395829</v>
      </c>
      <c r="AF55">
        <v>1.5151859999999999</v>
      </c>
      <c r="AG55">
        <v>3.1465559999999999</v>
      </c>
      <c r="AH55">
        <v>0.61457669999999998</v>
      </c>
      <c r="AI55">
        <v>0.59848590000000002</v>
      </c>
      <c r="AJ55">
        <v>7649929</v>
      </c>
      <c r="AK55">
        <v>1992142</v>
      </c>
      <c r="AL55">
        <v>5657787</v>
      </c>
      <c r="AM55">
        <v>5.7295769999999999</v>
      </c>
      <c r="AN55">
        <v>6.6667589999999999</v>
      </c>
      <c r="AO55">
        <v>4.9117069999999998</v>
      </c>
      <c r="AP55">
        <v>3.8319969999999999</v>
      </c>
      <c r="AQ55">
        <v>6.2478600000000002</v>
      </c>
      <c r="AR55">
        <v>9.5898269999999997</v>
      </c>
      <c r="AS55">
        <v>2372714</v>
      </c>
      <c r="AT55">
        <v>10.04618</v>
      </c>
      <c r="AU55">
        <v>5.4460949999999997</v>
      </c>
      <c r="AV55">
        <v>0.5105904</v>
      </c>
      <c r="AW55">
        <v>0.4894096</v>
      </c>
      <c r="AX55">
        <v>0.15090310000000001</v>
      </c>
      <c r="AY55">
        <v>0.84909690000000004</v>
      </c>
      <c r="AZ55">
        <v>27.089179999999999</v>
      </c>
      <c r="BA55">
        <v>0.51539000000000001</v>
      </c>
      <c r="BB55">
        <v>0.48460999999999999</v>
      </c>
      <c r="BC55">
        <v>0.64724230000000005</v>
      </c>
      <c r="BD55">
        <v>0</v>
      </c>
      <c r="BE55">
        <v>6.5606879999999999</v>
      </c>
      <c r="BF55">
        <v>6.560689</v>
      </c>
      <c r="BG55">
        <v>1</v>
      </c>
      <c r="BH55">
        <v>0.83056479999999999</v>
      </c>
      <c r="BI55">
        <v>0.19231380000000001</v>
      </c>
      <c r="BJ55">
        <v>0.80768620000000002</v>
      </c>
      <c r="BK55">
        <v>0.29117480000000001</v>
      </c>
      <c r="BL55" s="1">
        <v>3.9300000000000004E-15</v>
      </c>
      <c r="BM55">
        <v>5.4417309999999999</v>
      </c>
      <c r="BN55">
        <v>5.4417309999999999</v>
      </c>
      <c r="BO55">
        <v>1</v>
      </c>
      <c r="BP55">
        <v>0.44890160000000001</v>
      </c>
      <c r="BQ55">
        <v>0.15374599999999999</v>
      </c>
      <c r="BR55">
        <v>0.84625399999999995</v>
      </c>
      <c r="BS55">
        <v>0.55497370000000001</v>
      </c>
      <c r="BT55">
        <v>0.69686530000000002</v>
      </c>
      <c r="BU55">
        <v>0.44306980000000001</v>
      </c>
      <c r="BV55">
        <v>3.4363929999999998</v>
      </c>
      <c r="BW55">
        <v>6.400957</v>
      </c>
      <c r="BX55">
        <v>1.8626959999999999</v>
      </c>
      <c r="BY55">
        <v>0</v>
      </c>
      <c r="BZ55">
        <v>0.51032420000000001</v>
      </c>
      <c r="CA55">
        <v>0.48967579999999999</v>
      </c>
      <c r="CB55">
        <v>0.15238119999999999</v>
      </c>
      <c r="CC55">
        <v>0.84761880000000001</v>
      </c>
      <c r="CD55">
        <v>9.4475479999999994</v>
      </c>
      <c r="CE55">
        <v>9.3064</v>
      </c>
      <c r="CF55">
        <v>3.4751159999999999</v>
      </c>
      <c r="CG55">
        <v>6.3139789999999998</v>
      </c>
      <c r="CH55">
        <v>1.7252289999999999</v>
      </c>
      <c r="CI55">
        <v>1.465015</v>
      </c>
      <c r="CJ55">
        <v>0.84917100000000001</v>
      </c>
      <c r="CK55">
        <v>1.2241359999999999</v>
      </c>
      <c r="CL55">
        <v>0.56350199999999995</v>
      </c>
      <c r="CM55">
        <v>0.60514999999999997</v>
      </c>
      <c r="CN55">
        <v>0.53786230000000002</v>
      </c>
      <c r="CO55">
        <v>1.4076580000000001</v>
      </c>
      <c r="CP55">
        <v>1.72054</v>
      </c>
      <c r="CQ55">
        <v>1.2669680000000001</v>
      </c>
      <c r="CR55">
        <v>1.0666530000000001</v>
      </c>
      <c r="CS55">
        <v>1.6294420000000001</v>
      </c>
      <c r="CT55">
        <v>1.372306</v>
      </c>
      <c r="CU55">
        <v>1.7318910000000001</v>
      </c>
      <c r="CW55">
        <f t="shared" si="4"/>
        <v>1836178.0321496413</v>
      </c>
      <c r="CX55">
        <f t="shared" si="10"/>
        <v>4.4875454659916159E-2</v>
      </c>
      <c r="CY55">
        <f t="shared" si="11"/>
        <v>5.4374699014250183E-2</v>
      </c>
      <c r="CZ55">
        <f t="shared" si="12"/>
        <v>1.9250578356649339E-2</v>
      </c>
      <c r="DA55">
        <f t="shared" si="13"/>
        <v>1.0293267884465366E-2</v>
      </c>
      <c r="DB55">
        <f t="shared" si="5"/>
        <v>1.0293267884465366E-2</v>
      </c>
      <c r="DC55" s="12">
        <f t="shared" si="19"/>
        <v>2.0177160868156747</v>
      </c>
      <c r="DD55" s="4">
        <f t="shared" si="20"/>
        <v>2.2415122394867941</v>
      </c>
      <c r="DE55" s="4">
        <f t="shared" si="21"/>
        <v>0.87372930875807131</v>
      </c>
      <c r="DF55" s="4">
        <f t="shared" si="22"/>
        <v>0.54695226436037736</v>
      </c>
      <c r="DG55" s="13">
        <f t="shared" si="14"/>
        <v>0.54695226436037736</v>
      </c>
      <c r="DH55" s="4">
        <f t="shared" si="15"/>
        <v>7.5211276999280683</v>
      </c>
      <c r="DI55" s="4">
        <f t="shared" si="16"/>
        <v>1.7279785625278485</v>
      </c>
      <c r="DJ55" s="4">
        <f t="shared" si="17"/>
        <v>9.407547000000001</v>
      </c>
      <c r="DK55" s="4">
        <f t="shared" si="18"/>
        <v>2.395829</v>
      </c>
      <c r="DM55" s="4"/>
      <c r="DN55" s="17"/>
    </row>
    <row r="56" spans="1:118" x14ac:dyDescent="0.3">
      <c r="A56">
        <v>2001</v>
      </c>
      <c r="B56">
        <v>285225</v>
      </c>
      <c r="C56" s="1">
        <v>10600000</v>
      </c>
      <c r="D56">
        <v>6.5140089999999997</v>
      </c>
      <c r="E56">
        <v>6.5079469999999997</v>
      </c>
      <c r="F56">
        <v>7073801</v>
      </c>
      <c r="G56">
        <v>1934842</v>
      </c>
      <c r="H56">
        <v>1538151</v>
      </c>
      <c r="I56">
        <v>411883</v>
      </c>
      <c r="J56">
        <v>-376747</v>
      </c>
      <c r="K56" s="1">
        <v>10400000</v>
      </c>
      <c r="L56">
        <v>2363840</v>
      </c>
      <c r="M56">
        <v>7995633</v>
      </c>
      <c r="N56">
        <v>6.869256</v>
      </c>
      <c r="O56">
        <v>4.7482309999999996</v>
      </c>
      <c r="P56">
        <v>8.1757810000000006</v>
      </c>
      <c r="Q56">
        <v>1184794</v>
      </c>
      <c r="R56">
        <v>1148598</v>
      </c>
      <c r="S56">
        <v>1200215</v>
      </c>
      <c r="T56">
        <v>6825866</v>
      </c>
      <c r="U56">
        <v>6282005.5</v>
      </c>
      <c r="V56">
        <v>1428762.5</v>
      </c>
      <c r="W56">
        <v>4853243</v>
      </c>
      <c r="X56">
        <v>0.60718039999999995</v>
      </c>
      <c r="Y56">
        <v>6.1772629999999999</v>
      </c>
      <c r="Z56">
        <v>4.9205680000000003</v>
      </c>
      <c r="AA56">
        <v>6.8407600000000004</v>
      </c>
      <c r="AB56">
        <v>9.8063389999999995</v>
      </c>
      <c r="AC56">
        <v>7.2298609999999996</v>
      </c>
      <c r="AD56">
        <v>10.807650000000001</v>
      </c>
      <c r="AE56">
        <v>2.3863620000000001</v>
      </c>
      <c r="AF56">
        <v>1.468113</v>
      </c>
      <c r="AG56">
        <v>3.1608350000000001</v>
      </c>
      <c r="AH56">
        <v>0.61160190000000003</v>
      </c>
      <c r="AI56">
        <v>0.60577669999999995</v>
      </c>
      <c r="AJ56">
        <v>7974464</v>
      </c>
      <c r="AK56">
        <v>1995035</v>
      </c>
      <c r="AL56">
        <v>5979429</v>
      </c>
      <c r="AM56">
        <v>5.8077839999999998</v>
      </c>
      <c r="AN56">
        <v>6.8430289999999996</v>
      </c>
      <c r="AO56">
        <v>5.0672639999999998</v>
      </c>
      <c r="AP56">
        <v>3.712717</v>
      </c>
      <c r="AQ56">
        <v>6.3876160000000004</v>
      </c>
      <c r="AR56">
        <v>9.8945019999999992</v>
      </c>
      <c r="AS56">
        <v>2385009</v>
      </c>
      <c r="AT56">
        <v>10.00372</v>
      </c>
      <c r="AU56">
        <v>5.4975509999999996</v>
      </c>
      <c r="AV56">
        <v>0.49676710000000002</v>
      </c>
      <c r="AW56">
        <v>0.50323289999999998</v>
      </c>
      <c r="AX56">
        <v>0.14403450000000001</v>
      </c>
      <c r="AY56">
        <v>0.85596550000000005</v>
      </c>
      <c r="AZ56">
        <v>27.958500000000001</v>
      </c>
      <c r="BA56">
        <v>0.51587839999999996</v>
      </c>
      <c r="BB56">
        <v>0.48412159999999999</v>
      </c>
      <c r="BC56">
        <v>0.64724230000000005</v>
      </c>
      <c r="BD56">
        <v>0</v>
      </c>
      <c r="BE56">
        <v>6.6673530000000003</v>
      </c>
      <c r="BF56">
        <v>6.6673539999999996</v>
      </c>
      <c r="BG56">
        <v>1</v>
      </c>
      <c r="BH56">
        <v>0.83056479999999999</v>
      </c>
      <c r="BI56">
        <v>0.19261780000000001</v>
      </c>
      <c r="BJ56">
        <v>0.80738220000000005</v>
      </c>
      <c r="BK56">
        <v>0.29117480000000001</v>
      </c>
      <c r="BL56" s="1">
        <v>3.9300000000000004E-15</v>
      </c>
      <c r="BM56">
        <v>5.5336999999999996</v>
      </c>
      <c r="BN56">
        <v>5.5336999999999996</v>
      </c>
      <c r="BO56">
        <v>1</v>
      </c>
      <c r="BP56">
        <v>0.44890160000000001</v>
      </c>
      <c r="BQ56">
        <v>0.1533438</v>
      </c>
      <c r="BR56">
        <v>0.84665619999999997</v>
      </c>
      <c r="BS56">
        <v>0.55497370000000001</v>
      </c>
      <c r="BT56">
        <v>0.69686530000000002</v>
      </c>
      <c r="BU56">
        <v>0.44306980000000001</v>
      </c>
      <c r="BV56">
        <v>3.4798300000000002</v>
      </c>
      <c r="BW56">
        <v>6.5146819999999996</v>
      </c>
      <c r="BX56">
        <v>1.8721270000000001</v>
      </c>
      <c r="BY56">
        <v>0</v>
      </c>
      <c r="BZ56">
        <v>0.50367870000000003</v>
      </c>
      <c r="CA56">
        <v>0.49632130000000002</v>
      </c>
      <c r="CB56">
        <v>0.14746880000000001</v>
      </c>
      <c r="CC56">
        <v>0.85253120000000004</v>
      </c>
      <c r="CD56">
        <v>8.9989629999999998</v>
      </c>
      <c r="CE56">
        <v>9.38687</v>
      </c>
      <c r="CF56">
        <v>3.3676759999999999</v>
      </c>
      <c r="CG56">
        <v>6.4750649999999998</v>
      </c>
      <c r="CH56">
        <v>1.7218580000000001</v>
      </c>
      <c r="CI56">
        <v>1.487168</v>
      </c>
      <c r="CJ56">
        <v>0.86369929999999995</v>
      </c>
      <c r="CK56">
        <v>1.2447410000000001</v>
      </c>
      <c r="CL56">
        <v>0.56350199999999995</v>
      </c>
      <c r="CM56">
        <v>0.60514999999999997</v>
      </c>
      <c r="CN56">
        <v>0.53786230000000002</v>
      </c>
      <c r="CO56">
        <v>1.3968510000000001</v>
      </c>
      <c r="CP56">
        <v>1.671235</v>
      </c>
      <c r="CQ56">
        <v>1.2654449999999999</v>
      </c>
      <c r="CR56">
        <v>1.0838490000000001</v>
      </c>
      <c r="CS56">
        <v>1.6272899999999999</v>
      </c>
      <c r="CT56">
        <v>1.361718</v>
      </c>
      <c r="CU56">
        <v>1.7453829999999999</v>
      </c>
      <c r="CW56">
        <f t="shared" si="4"/>
        <v>1891751.4362304234</v>
      </c>
      <c r="CX56">
        <f t="shared" si="10"/>
        <v>2.9816830900484703E-2</v>
      </c>
      <c r="CY56">
        <f t="shared" si="11"/>
        <v>4.1516773815713393E-2</v>
      </c>
      <c r="CZ56">
        <f t="shared" si="12"/>
        <v>-3.9592782333298659E-3</v>
      </c>
      <c r="DA56">
        <f t="shared" si="13"/>
        <v>1.3925903366511283E-2</v>
      </c>
      <c r="DB56">
        <f t="shared" si="5"/>
        <v>1.3925903366511283E-2</v>
      </c>
      <c r="DC56" s="12">
        <f t="shared" si="19"/>
        <v>2.0475329177161594</v>
      </c>
      <c r="DD56" s="4">
        <f t="shared" si="20"/>
        <v>2.2830290133025075</v>
      </c>
      <c r="DE56" s="4">
        <f t="shared" si="21"/>
        <v>0.86977003052474144</v>
      </c>
      <c r="DF56" s="4">
        <f t="shared" si="22"/>
        <v>0.56087816772688859</v>
      </c>
      <c r="DG56" s="13">
        <f t="shared" si="14"/>
        <v>0.56087816772688859</v>
      </c>
      <c r="DH56" s="4">
        <f t="shared" si="15"/>
        <v>7.7487606753220479</v>
      </c>
      <c r="DI56" s="4">
        <f t="shared" si="16"/>
        <v>1.7522105596244013</v>
      </c>
      <c r="DJ56" s="4">
        <f t="shared" si="17"/>
        <v>9.8063390000000012</v>
      </c>
      <c r="DK56" s="4">
        <f t="shared" si="18"/>
        <v>2.3863620000000001</v>
      </c>
      <c r="DM56" s="4"/>
      <c r="DN56" s="17"/>
    </row>
    <row r="57" spans="1:118" x14ac:dyDescent="0.3">
      <c r="A57">
        <v>2002</v>
      </c>
      <c r="B57">
        <v>287955</v>
      </c>
      <c r="C57" s="1">
        <v>10900000</v>
      </c>
      <c r="D57">
        <v>6.6244909999999999</v>
      </c>
      <c r="E57">
        <v>6.6093659999999996</v>
      </c>
      <c r="F57">
        <v>7348941</v>
      </c>
      <c r="G57">
        <v>1930417</v>
      </c>
      <c r="H57">
        <v>1645819</v>
      </c>
      <c r="I57">
        <v>443676</v>
      </c>
      <c r="J57">
        <v>-439745</v>
      </c>
      <c r="K57" s="1">
        <v>10700000</v>
      </c>
      <c r="L57">
        <v>2335524</v>
      </c>
      <c r="M57">
        <v>8364799</v>
      </c>
      <c r="N57">
        <v>6.9550910000000004</v>
      </c>
      <c r="O57">
        <v>4.6597410000000004</v>
      </c>
      <c r="P57">
        <v>8.3525510000000001</v>
      </c>
      <c r="Q57">
        <v>1151724</v>
      </c>
      <c r="R57">
        <v>1163082</v>
      </c>
      <c r="S57">
        <v>1202395</v>
      </c>
      <c r="T57">
        <v>7183122</v>
      </c>
      <c r="U57">
        <v>6338332</v>
      </c>
      <c r="V57">
        <v>1394944.1</v>
      </c>
      <c r="W57">
        <v>4943388</v>
      </c>
      <c r="X57">
        <v>0.59937580000000001</v>
      </c>
      <c r="Y57">
        <v>6.3017649999999996</v>
      </c>
      <c r="Z57">
        <v>4.9539479999999996</v>
      </c>
      <c r="AA57">
        <v>7.0051449999999997</v>
      </c>
      <c r="AB57">
        <v>10.08292</v>
      </c>
      <c r="AC57">
        <v>7.3315760000000001</v>
      </c>
      <c r="AD57">
        <v>11.15659</v>
      </c>
      <c r="AE57">
        <v>2.372744</v>
      </c>
      <c r="AF57">
        <v>1.40394</v>
      </c>
      <c r="AG57">
        <v>3.1783039999999998</v>
      </c>
      <c r="AH57">
        <v>0.60084850000000001</v>
      </c>
      <c r="AI57">
        <v>0.59898090000000004</v>
      </c>
      <c r="AJ57">
        <v>8346204</v>
      </c>
      <c r="AK57">
        <v>2069774</v>
      </c>
      <c r="AL57">
        <v>6276430</v>
      </c>
      <c r="AM57">
        <v>5.9631819999999998</v>
      </c>
      <c r="AN57">
        <v>6.9721010000000003</v>
      </c>
      <c r="AO57">
        <v>5.1376400000000002</v>
      </c>
      <c r="AP57">
        <v>3.7972510000000002</v>
      </c>
      <c r="AQ57">
        <v>6.5320410000000004</v>
      </c>
      <c r="AR57">
        <v>10.15155</v>
      </c>
      <c r="AS57">
        <v>2354119</v>
      </c>
      <c r="AT57">
        <v>9.834104</v>
      </c>
      <c r="AU57">
        <v>5.5199379999999998</v>
      </c>
      <c r="AV57">
        <v>0.4892378</v>
      </c>
      <c r="AW57">
        <v>0.51076220000000006</v>
      </c>
      <c r="AX57">
        <v>0.1393546</v>
      </c>
      <c r="AY57">
        <v>0.8606454</v>
      </c>
      <c r="AZ57">
        <v>28.984400000000001</v>
      </c>
      <c r="BA57">
        <v>0.50583270000000002</v>
      </c>
      <c r="BB57">
        <v>0.49416729999999998</v>
      </c>
      <c r="BC57">
        <v>0.64724230000000005</v>
      </c>
      <c r="BD57">
        <v>0</v>
      </c>
      <c r="BE57">
        <v>6.9722119999999999</v>
      </c>
      <c r="BF57">
        <v>6.972213</v>
      </c>
      <c r="BG57">
        <v>1</v>
      </c>
      <c r="BH57">
        <v>0.83056479999999999</v>
      </c>
      <c r="BI57">
        <v>0.18644269999999999</v>
      </c>
      <c r="BJ57">
        <v>0.81355730000000004</v>
      </c>
      <c r="BK57">
        <v>0.29117480000000001</v>
      </c>
      <c r="BL57" s="1">
        <v>3.9300000000000004E-15</v>
      </c>
      <c r="BM57">
        <v>5.7124459999999999</v>
      </c>
      <c r="BN57">
        <v>5.7124470000000001</v>
      </c>
      <c r="BO57">
        <v>1</v>
      </c>
      <c r="BP57">
        <v>0.44890160000000001</v>
      </c>
      <c r="BQ57">
        <v>0.14790030000000001</v>
      </c>
      <c r="BR57">
        <v>0.85209970000000002</v>
      </c>
      <c r="BS57">
        <v>0.55497370000000001</v>
      </c>
      <c r="BT57">
        <v>0.69686530000000002</v>
      </c>
      <c r="BU57">
        <v>0.44306980000000001</v>
      </c>
      <c r="BV57">
        <v>3.5794670000000002</v>
      </c>
      <c r="BW57">
        <v>6.7169809999999996</v>
      </c>
      <c r="BX57">
        <v>1.8765309999999999</v>
      </c>
      <c r="BY57">
        <v>0</v>
      </c>
      <c r="BZ57">
        <v>0.49300240000000001</v>
      </c>
      <c r="CA57">
        <v>0.50699749999999999</v>
      </c>
      <c r="CB57">
        <v>0.1416946</v>
      </c>
      <c r="CC57">
        <v>0.85830550000000005</v>
      </c>
      <c r="CD57">
        <v>8.913907</v>
      </c>
      <c r="CE57">
        <v>9.2048989999999993</v>
      </c>
      <c r="CF57">
        <v>3.4749029999999999</v>
      </c>
      <c r="CG57">
        <v>6.669753</v>
      </c>
      <c r="CH57">
        <v>1.7924929999999999</v>
      </c>
      <c r="CI57">
        <v>1.5131600000000001</v>
      </c>
      <c r="CJ57">
        <v>0.84416539999999995</v>
      </c>
      <c r="CK57">
        <v>1.2630760000000001</v>
      </c>
      <c r="CL57">
        <v>0.56350199999999995</v>
      </c>
      <c r="CM57">
        <v>0.60514999999999997</v>
      </c>
      <c r="CN57">
        <v>0.53786230000000002</v>
      </c>
      <c r="CO57">
        <v>1.4123559999999999</v>
      </c>
      <c r="CP57">
        <v>1.7149970000000001</v>
      </c>
      <c r="CQ57">
        <v>1.2740419999999999</v>
      </c>
      <c r="CR57">
        <v>1.0811500000000001</v>
      </c>
      <c r="CS57">
        <v>1.6524220000000001</v>
      </c>
      <c r="CT57">
        <v>1.377143</v>
      </c>
      <c r="CU57">
        <v>1.77956</v>
      </c>
      <c r="CW57">
        <f t="shared" si="4"/>
        <v>1938427.5692951623</v>
      </c>
      <c r="CX57">
        <f t="shared" si="10"/>
        <v>2.4374027326478753E-2</v>
      </c>
      <c r="CY57">
        <f t="shared" si="11"/>
        <v>2.7813889930512037E-2</v>
      </c>
      <c r="CZ57">
        <f t="shared" si="12"/>
        <v>-5.7229392108849586E-3</v>
      </c>
      <c r="DA57">
        <f t="shared" si="13"/>
        <v>1.5458207690802203E-2</v>
      </c>
      <c r="DB57">
        <f t="shared" si="5"/>
        <v>1.5458207690802203E-2</v>
      </c>
      <c r="DC57" s="12">
        <f t="shared" si="19"/>
        <v>2.0719069450426382</v>
      </c>
      <c r="DD57" s="4">
        <f t="shared" si="20"/>
        <v>2.3108429032330196</v>
      </c>
      <c r="DE57" s="4">
        <f t="shared" si="21"/>
        <v>0.86404709131385649</v>
      </c>
      <c r="DF57" s="4">
        <f t="shared" si="22"/>
        <v>0.57633637541769078</v>
      </c>
      <c r="DG57" s="13">
        <f t="shared" si="14"/>
        <v>0.57633637541769078</v>
      </c>
      <c r="DH57" s="4">
        <f t="shared" si="15"/>
        <v>7.9399497382408191</v>
      </c>
      <c r="DI57" s="4">
        <f t="shared" si="16"/>
        <v>1.779507028059407</v>
      </c>
      <c r="DJ57" s="4">
        <f t="shared" si="17"/>
        <v>10.082920000000001</v>
      </c>
      <c r="DK57" s="4">
        <f t="shared" si="18"/>
        <v>2.372744</v>
      </c>
      <c r="DM57" s="4"/>
      <c r="DN57" s="17"/>
    </row>
    <row r="58" spans="1:118" x14ac:dyDescent="0.3">
      <c r="A58">
        <v>2003</v>
      </c>
      <c r="B58">
        <v>290626</v>
      </c>
      <c r="C58" s="1">
        <v>11500000</v>
      </c>
      <c r="D58">
        <v>6.8096899999999998</v>
      </c>
      <c r="E58">
        <v>6.7398509999999998</v>
      </c>
      <c r="F58">
        <v>7740749</v>
      </c>
      <c r="G58">
        <v>2027056</v>
      </c>
      <c r="H58">
        <v>1746378</v>
      </c>
      <c r="I58">
        <v>464221</v>
      </c>
      <c r="J58">
        <v>-521955</v>
      </c>
      <c r="K58" s="1">
        <v>11200000</v>
      </c>
      <c r="L58">
        <v>2480240</v>
      </c>
      <c r="M58">
        <v>8740408</v>
      </c>
      <c r="N58">
        <v>7.0987179999999999</v>
      </c>
      <c r="O58">
        <v>4.8006820000000001</v>
      </c>
      <c r="P58">
        <v>8.5026119999999992</v>
      </c>
      <c r="Q58">
        <v>1216581</v>
      </c>
      <c r="R58">
        <v>1236249</v>
      </c>
      <c r="S58">
        <v>1260602</v>
      </c>
      <c r="T58">
        <v>7507216</v>
      </c>
      <c r="U58">
        <v>6580236.5</v>
      </c>
      <c r="V58">
        <v>1440760.3</v>
      </c>
      <c r="W58">
        <v>5139476</v>
      </c>
      <c r="X58">
        <v>0.5893948</v>
      </c>
      <c r="Y58">
        <v>6.4744989999999998</v>
      </c>
      <c r="Z58">
        <v>5.1064590000000001</v>
      </c>
      <c r="AA58">
        <v>7.1905169999999998</v>
      </c>
      <c r="AB58">
        <v>10.36509</v>
      </c>
      <c r="AC58">
        <v>7.3823169999999996</v>
      </c>
      <c r="AD58">
        <v>11.53589</v>
      </c>
      <c r="AE58">
        <v>2.36835</v>
      </c>
      <c r="AF58">
        <v>1.3568640000000001</v>
      </c>
      <c r="AG58">
        <v>3.201327</v>
      </c>
      <c r="AH58">
        <v>0.58908400000000005</v>
      </c>
      <c r="AI58">
        <v>0.58949419999999997</v>
      </c>
      <c r="AJ58">
        <v>8743465</v>
      </c>
      <c r="AK58">
        <v>2114504</v>
      </c>
      <c r="AL58">
        <v>6628961</v>
      </c>
      <c r="AM58">
        <v>6.1064610000000004</v>
      </c>
      <c r="AN58">
        <v>7.1295070000000003</v>
      </c>
      <c r="AO58">
        <v>5.3185830000000003</v>
      </c>
      <c r="AP58">
        <v>3.7457210000000001</v>
      </c>
      <c r="AQ58">
        <v>6.6678439999999997</v>
      </c>
      <c r="AR58">
        <v>10.49883</v>
      </c>
      <c r="AS58">
        <v>2477183</v>
      </c>
      <c r="AT58">
        <v>10.2507</v>
      </c>
      <c r="AU58">
        <v>5.5724349999999996</v>
      </c>
      <c r="AV58">
        <v>0.49111470000000002</v>
      </c>
      <c r="AW58">
        <v>0.50888529999999998</v>
      </c>
      <c r="AX58">
        <v>0.14139119999999999</v>
      </c>
      <c r="AY58">
        <v>0.85860879999999995</v>
      </c>
      <c r="AZ58">
        <v>30.08494</v>
      </c>
      <c r="BA58">
        <v>0.50883</v>
      </c>
      <c r="BB58">
        <v>0.49117</v>
      </c>
      <c r="BC58">
        <v>0.64724230000000005</v>
      </c>
      <c r="BD58">
        <v>0</v>
      </c>
      <c r="BE58">
        <v>7.1316470000000001</v>
      </c>
      <c r="BF58">
        <v>7.1316470000000001</v>
      </c>
      <c r="BG58">
        <v>1</v>
      </c>
      <c r="BH58">
        <v>0.83056479999999999</v>
      </c>
      <c r="BI58">
        <v>0.18826850000000001</v>
      </c>
      <c r="BJ58">
        <v>0.81173150000000005</v>
      </c>
      <c r="BK58">
        <v>0.29117480000000001</v>
      </c>
      <c r="BL58" s="1">
        <v>3.9300000000000004E-15</v>
      </c>
      <c r="BM58">
        <v>5.8655369999999998</v>
      </c>
      <c r="BN58">
        <v>5.8655369999999998</v>
      </c>
      <c r="BO58">
        <v>1</v>
      </c>
      <c r="BP58">
        <v>0.44890160000000001</v>
      </c>
      <c r="BQ58">
        <v>0.14753939999999999</v>
      </c>
      <c r="BR58">
        <v>0.85246060000000001</v>
      </c>
      <c r="BS58">
        <v>0.55497370000000001</v>
      </c>
      <c r="BT58">
        <v>0.69686530000000002</v>
      </c>
      <c r="BU58">
        <v>0.44306980000000001</v>
      </c>
      <c r="BV58">
        <v>3.6308699999999998</v>
      </c>
      <c r="BW58">
        <v>6.9154340000000003</v>
      </c>
      <c r="BX58">
        <v>1.904622</v>
      </c>
      <c r="BY58">
        <v>0</v>
      </c>
      <c r="BZ58">
        <v>0.49017630000000001</v>
      </c>
      <c r="CA58">
        <v>0.50982369999999999</v>
      </c>
      <c r="CB58">
        <v>0.14037289999999999</v>
      </c>
      <c r="CC58">
        <v>0.85962709999999998</v>
      </c>
      <c r="CD58">
        <v>9.1394400000000005</v>
      </c>
      <c r="CE58">
        <v>9.4801819999999992</v>
      </c>
      <c r="CF58">
        <v>3.5850659999999999</v>
      </c>
      <c r="CG58">
        <v>6.8476600000000003</v>
      </c>
      <c r="CH58">
        <v>1.771126</v>
      </c>
      <c r="CI58">
        <v>1.5258339999999999</v>
      </c>
      <c r="CJ58">
        <v>0.86150519999999997</v>
      </c>
      <c r="CK58">
        <v>1.2794239999999999</v>
      </c>
      <c r="CL58">
        <v>0.56350199999999995</v>
      </c>
      <c r="CM58">
        <v>0.60514999999999997</v>
      </c>
      <c r="CN58">
        <v>0.53786230000000002</v>
      </c>
      <c r="CO58">
        <v>1.4351910000000001</v>
      </c>
      <c r="CP58">
        <v>1.796681</v>
      </c>
      <c r="CQ58">
        <v>1.283579</v>
      </c>
      <c r="CR58">
        <v>1.096633</v>
      </c>
      <c r="CS58">
        <v>1.726799</v>
      </c>
      <c r="CT58">
        <v>1.3999950000000001</v>
      </c>
      <c r="CU58">
        <v>1.8282879999999999</v>
      </c>
      <c r="CW58">
        <f t="shared" si="4"/>
        <v>2009893.3410618519</v>
      </c>
      <c r="CX58">
        <f t="shared" si="10"/>
        <v>3.6204543388707933E-2</v>
      </c>
      <c r="CY58">
        <f t="shared" si="11"/>
        <v>2.760052568504312E-2</v>
      </c>
      <c r="CZ58">
        <f t="shared" si="12"/>
        <v>-1.8535811599862395E-3</v>
      </c>
      <c r="DA58">
        <f t="shared" si="13"/>
        <v>2.5201465819052547E-2</v>
      </c>
      <c r="DB58">
        <f t="shared" si="5"/>
        <v>2.5201465819052547E-2</v>
      </c>
      <c r="DC58" s="12">
        <f t="shared" si="19"/>
        <v>2.1081114884313461</v>
      </c>
      <c r="DD58" s="4">
        <f t="shared" si="20"/>
        <v>2.3384434289180627</v>
      </c>
      <c r="DE58" s="4">
        <f t="shared" si="21"/>
        <v>0.86219351015387025</v>
      </c>
      <c r="DF58" s="4">
        <f t="shared" si="22"/>
        <v>0.60153784123674336</v>
      </c>
      <c r="DG58" s="13">
        <f t="shared" si="14"/>
        <v>0.60153784123674336</v>
      </c>
      <c r="DH58" s="4">
        <f t="shared" si="15"/>
        <v>8.2326790848619229</v>
      </c>
      <c r="DI58" s="4">
        <f t="shared" si="16"/>
        <v>1.8249230855399987</v>
      </c>
      <c r="DJ58" s="4">
        <f t="shared" si="17"/>
        <v>10.36509</v>
      </c>
      <c r="DK58" s="4">
        <f t="shared" si="18"/>
        <v>2.36835</v>
      </c>
      <c r="DM58" s="4"/>
      <c r="DN58" s="17"/>
    </row>
    <row r="59" spans="1:118" x14ac:dyDescent="0.3">
      <c r="A59">
        <v>2004</v>
      </c>
      <c r="B59">
        <v>293262</v>
      </c>
      <c r="C59" s="1">
        <v>12200000</v>
      </c>
      <c r="D59">
        <v>7.0720840000000003</v>
      </c>
      <c r="E59">
        <v>6.9207270000000003</v>
      </c>
      <c r="F59">
        <v>8231960</v>
      </c>
      <c r="G59">
        <v>2281253</v>
      </c>
      <c r="H59">
        <v>1851920</v>
      </c>
      <c r="I59">
        <v>486204</v>
      </c>
      <c r="J59">
        <v>-634141</v>
      </c>
      <c r="K59" s="1">
        <v>12000000</v>
      </c>
      <c r="L59">
        <v>2695358</v>
      </c>
      <c r="M59">
        <v>9268865</v>
      </c>
      <c r="N59">
        <v>7.3051170000000001</v>
      </c>
      <c r="O59">
        <v>4.9487430000000003</v>
      </c>
      <c r="P59">
        <v>8.7455210000000001</v>
      </c>
      <c r="Q59">
        <v>1344314</v>
      </c>
      <c r="R59">
        <v>1321505</v>
      </c>
      <c r="S59">
        <v>1359075</v>
      </c>
      <c r="T59">
        <v>7939330</v>
      </c>
      <c r="U59">
        <v>6947251</v>
      </c>
      <c r="V59">
        <v>1512635.5</v>
      </c>
      <c r="W59">
        <v>5434615</v>
      </c>
      <c r="X59">
        <v>0.58355440000000003</v>
      </c>
      <c r="Y59">
        <v>6.7085020000000002</v>
      </c>
      <c r="Z59">
        <v>5.3833260000000003</v>
      </c>
      <c r="AA59">
        <v>7.4134719999999996</v>
      </c>
      <c r="AB59">
        <v>10.68078</v>
      </c>
      <c r="AC59">
        <v>7.4532210000000001</v>
      </c>
      <c r="AD59">
        <v>11.96001</v>
      </c>
      <c r="AE59">
        <v>2.3992339999999999</v>
      </c>
      <c r="AF59">
        <v>1.378763</v>
      </c>
      <c r="AG59">
        <v>3.240307</v>
      </c>
      <c r="AH59">
        <v>0.57104779999999999</v>
      </c>
      <c r="AI59">
        <v>0.58717169999999996</v>
      </c>
      <c r="AJ59">
        <v>9260835</v>
      </c>
      <c r="AK59">
        <v>2219807</v>
      </c>
      <c r="AL59">
        <v>7041028</v>
      </c>
      <c r="AM59">
        <v>6.3056400000000004</v>
      </c>
      <c r="AN59">
        <v>7.3153199999999998</v>
      </c>
      <c r="AO59">
        <v>5.4618450000000003</v>
      </c>
      <c r="AP59">
        <v>3.8304119999999999</v>
      </c>
      <c r="AQ59">
        <v>6.8520329999999996</v>
      </c>
      <c r="AR59">
        <v>10.855370000000001</v>
      </c>
      <c r="AS59">
        <v>2703389</v>
      </c>
      <c r="AT59">
        <v>10.865080000000001</v>
      </c>
      <c r="AU59">
        <v>5.7374169999999998</v>
      </c>
      <c r="AV59">
        <v>0.49726989999999999</v>
      </c>
      <c r="AW59">
        <v>0.50273009999999996</v>
      </c>
      <c r="AX59">
        <v>0.1426983</v>
      </c>
      <c r="AY59">
        <v>0.8573018</v>
      </c>
      <c r="AZ59">
        <v>31.578710000000001</v>
      </c>
      <c r="BA59">
        <v>0.50938170000000005</v>
      </c>
      <c r="BB59">
        <v>0.49061830000000001</v>
      </c>
      <c r="BC59">
        <v>0.64724230000000005</v>
      </c>
      <c r="BD59">
        <v>0</v>
      </c>
      <c r="BE59">
        <v>7.3355889999999997</v>
      </c>
      <c r="BF59">
        <v>7.3355899999999998</v>
      </c>
      <c r="BG59">
        <v>1</v>
      </c>
      <c r="BH59">
        <v>0.83056479999999999</v>
      </c>
      <c r="BI59">
        <v>0.1886061</v>
      </c>
      <c r="BJ59">
        <v>0.8113939</v>
      </c>
      <c r="BK59">
        <v>0.29117480000000001</v>
      </c>
      <c r="BL59" s="1">
        <v>3.9300000000000004E-15</v>
      </c>
      <c r="BM59">
        <v>6.0375449999999997</v>
      </c>
      <c r="BN59">
        <v>6.0375449999999997</v>
      </c>
      <c r="BO59">
        <v>1</v>
      </c>
      <c r="BP59">
        <v>0.44890160000000001</v>
      </c>
      <c r="BQ59">
        <v>0.14611189999999999</v>
      </c>
      <c r="BR59">
        <v>0.85388810000000004</v>
      </c>
      <c r="BS59">
        <v>0.55497370000000001</v>
      </c>
      <c r="BT59">
        <v>0.69686530000000002</v>
      </c>
      <c r="BU59">
        <v>0.44306980000000001</v>
      </c>
      <c r="BV59">
        <v>3.6945619999999999</v>
      </c>
      <c r="BW59">
        <v>7.1331170000000004</v>
      </c>
      <c r="BX59">
        <v>1.930707</v>
      </c>
      <c r="BY59">
        <v>0</v>
      </c>
      <c r="BZ59">
        <v>0.49419229999999997</v>
      </c>
      <c r="CA59">
        <v>0.50580769999999997</v>
      </c>
      <c r="CB59">
        <v>0.1420447</v>
      </c>
      <c r="CC59">
        <v>0.85795529999999998</v>
      </c>
      <c r="CD59">
        <v>9.7968679999999999</v>
      </c>
      <c r="CE59">
        <v>9.9368510000000008</v>
      </c>
      <c r="CF59">
        <v>3.7176459999999998</v>
      </c>
      <c r="CG59">
        <v>7.0406680000000001</v>
      </c>
      <c r="CH59">
        <v>1.7672209999999999</v>
      </c>
      <c r="CI59">
        <v>1.5242960000000001</v>
      </c>
      <c r="CJ59">
        <v>0.86253849999999999</v>
      </c>
      <c r="CK59">
        <v>1.27502</v>
      </c>
      <c r="CL59">
        <v>0.56350199999999995</v>
      </c>
      <c r="CM59">
        <v>0.60514999999999997</v>
      </c>
      <c r="CN59">
        <v>0.53786230000000002</v>
      </c>
      <c r="CO59">
        <v>1.4570369999999999</v>
      </c>
      <c r="CP59">
        <v>1.8692679999999999</v>
      </c>
      <c r="CQ59">
        <v>1.293831</v>
      </c>
      <c r="CR59">
        <v>1.0967229999999999</v>
      </c>
      <c r="CS59">
        <v>1.772051</v>
      </c>
      <c r="CT59">
        <v>1.4212229999999999</v>
      </c>
      <c r="CU59">
        <v>1.8551599999999999</v>
      </c>
      <c r="CW59">
        <f t="shared" si="4"/>
        <v>2091533.5245808349</v>
      </c>
      <c r="CX59">
        <f t="shared" si="10"/>
        <v>3.981588422221094E-2</v>
      </c>
      <c r="CY59">
        <f t="shared" si="11"/>
        <v>3.0002435655019699E-2</v>
      </c>
      <c r="CZ59">
        <f t="shared" si="12"/>
        <v>1.2956009588842243E-2</v>
      </c>
      <c r="DA59">
        <f t="shared" si="13"/>
        <v>1.9419143748334367E-2</v>
      </c>
      <c r="DB59">
        <f t="shared" si="5"/>
        <v>1.9419143748334367E-2</v>
      </c>
      <c r="DC59" s="12">
        <f t="shared" si="19"/>
        <v>2.147927372653557</v>
      </c>
      <c r="DD59" s="4">
        <f t="shared" si="20"/>
        <v>2.3684458645730824</v>
      </c>
      <c r="DE59" s="4">
        <f t="shared" si="21"/>
        <v>0.87514951974271249</v>
      </c>
      <c r="DF59" s="4">
        <f t="shared" si="22"/>
        <v>0.62095698498507779</v>
      </c>
      <c r="DG59" s="13">
        <f t="shared" si="14"/>
        <v>0.62095698498507779</v>
      </c>
      <c r="DH59" s="4">
        <f t="shared" si="15"/>
        <v>8.5670836115150362</v>
      </c>
      <c r="DI59" s="4">
        <f t="shared" si="16"/>
        <v>1.8607078595643125</v>
      </c>
      <c r="DJ59" s="4">
        <f t="shared" si="17"/>
        <v>10.680779999999999</v>
      </c>
      <c r="DK59" s="4">
        <f t="shared" si="18"/>
        <v>2.3992339999999999</v>
      </c>
      <c r="DM59" s="4"/>
      <c r="DN59" s="17"/>
    </row>
    <row r="60" spans="1:118" x14ac:dyDescent="0.3">
      <c r="A60">
        <v>2005</v>
      </c>
      <c r="B60">
        <v>295993</v>
      </c>
      <c r="C60" s="1">
        <v>13000000</v>
      </c>
      <c r="D60">
        <v>7.3184319999999996</v>
      </c>
      <c r="E60">
        <v>7.1377350000000002</v>
      </c>
      <c r="F60">
        <v>8769066</v>
      </c>
      <c r="G60">
        <v>2534720</v>
      </c>
      <c r="H60">
        <v>1962027</v>
      </c>
      <c r="I60">
        <v>513286</v>
      </c>
      <c r="J60">
        <v>-739903</v>
      </c>
      <c r="K60" s="1">
        <v>12800000</v>
      </c>
      <c r="L60">
        <v>2893720</v>
      </c>
      <c r="M60">
        <v>9869961</v>
      </c>
      <c r="N60">
        <v>7.5520880000000004</v>
      </c>
      <c r="O60">
        <v>5.2669800000000002</v>
      </c>
      <c r="P60">
        <v>8.9647620000000003</v>
      </c>
      <c r="Q60">
        <v>1499638</v>
      </c>
      <c r="R60">
        <v>1359805</v>
      </c>
      <c r="S60">
        <v>1490855</v>
      </c>
      <c r="T60">
        <v>8413383</v>
      </c>
      <c r="U60">
        <v>7261420</v>
      </c>
      <c r="V60">
        <v>1548997.4</v>
      </c>
      <c r="W60">
        <v>5712423</v>
      </c>
      <c r="X60">
        <v>0.57479069999999999</v>
      </c>
      <c r="Y60">
        <v>6.9227239999999997</v>
      </c>
      <c r="Z60">
        <v>5.430301</v>
      </c>
      <c r="AA60">
        <v>7.7011830000000003</v>
      </c>
      <c r="AB60">
        <v>11.027340000000001</v>
      </c>
      <c r="AC60">
        <v>7.5717299999999996</v>
      </c>
      <c r="AD60">
        <v>12.41126</v>
      </c>
      <c r="AE60">
        <v>2.4361969999999999</v>
      </c>
      <c r="AF60">
        <v>1.4021950000000001</v>
      </c>
      <c r="AG60">
        <v>3.2888139999999999</v>
      </c>
      <c r="AH60">
        <v>0.54824819999999996</v>
      </c>
      <c r="AI60">
        <v>0.58254930000000005</v>
      </c>
      <c r="AJ60">
        <v>9773188</v>
      </c>
      <c r="AK60">
        <v>2272952</v>
      </c>
      <c r="AL60">
        <v>7500236</v>
      </c>
      <c r="AM60">
        <v>6.4788069999999998</v>
      </c>
      <c r="AN60">
        <v>7.520092</v>
      </c>
      <c r="AO60">
        <v>5.649127</v>
      </c>
      <c r="AP60">
        <v>3.7953190000000001</v>
      </c>
      <c r="AQ60">
        <v>7.0359720000000001</v>
      </c>
      <c r="AR60">
        <v>11.270630000000001</v>
      </c>
      <c r="AS60">
        <v>2990493</v>
      </c>
      <c r="AT60">
        <v>11.52337</v>
      </c>
      <c r="AU60">
        <v>5.9841699999999998</v>
      </c>
      <c r="AV60">
        <v>0.50146849999999998</v>
      </c>
      <c r="AW60">
        <v>0.49853150000000002</v>
      </c>
      <c r="AX60">
        <v>0.13913629999999999</v>
      </c>
      <c r="AY60">
        <v>0.86086370000000001</v>
      </c>
      <c r="AZ60">
        <v>33.01831</v>
      </c>
      <c r="BA60">
        <v>0.51876489999999997</v>
      </c>
      <c r="BB60">
        <v>0.48123510000000003</v>
      </c>
      <c r="BC60">
        <v>0.64724230000000005</v>
      </c>
      <c r="BD60">
        <v>0</v>
      </c>
      <c r="BE60">
        <v>7.4076690000000003</v>
      </c>
      <c r="BF60">
        <v>7.4076700000000004</v>
      </c>
      <c r="BG60">
        <v>1</v>
      </c>
      <c r="BH60">
        <v>0.83056479999999999</v>
      </c>
      <c r="BI60">
        <v>0.19442190000000001</v>
      </c>
      <c r="BJ60">
        <v>0.80557809999999996</v>
      </c>
      <c r="BK60">
        <v>0.29117480000000001</v>
      </c>
      <c r="BL60" s="1">
        <v>3.9300000000000004E-15</v>
      </c>
      <c r="BM60">
        <v>6.1711960000000001</v>
      </c>
      <c r="BN60">
        <v>6.1711960000000001</v>
      </c>
      <c r="BO60">
        <v>1</v>
      </c>
      <c r="BP60">
        <v>0.44890160000000001</v>
      </c>
      <c r="BQ60">
        <v>0.14834649999999999</v>
      </c>
      <c r="BR60">
        <v>0.85165349999999995</v>
      </c>
      <c r="BS60">
        <v>0.55497370000000001</v>
      </c>
      <c r="BT60">
        <v>0.69686530000000002</v>
      </c>
      <c r="BU60">
        <v>0.44306980000000001</v>
      </c>
      <c r="BV60">
        <v>3.719408</v>
      </c>
      <c r="BW60">
        <v>7.3244389999999999</v>
      </c>
      <c r="BX60">
        <v>1.9692480000000001</v>
      </c>
      <c r="BY60">
        <v>0</v>
      </c>
      <c r="BZ60">
        <v>0.49936920000000001</v>
      </c>
      <c r="CA60">
        <v>0.50063080000000004</v>
      </c>
      <c r="CB60">
        <v>0.1409173</v>
      </c>
      <c r="CC60">
        <v>0.85908280000000004</v>
      </c>
      <c r="CD60">
        <v>10.26848</v>
      </c>
      <c r="CE60">
        <v>10.63378</v>
      </c>
      <c r="CF60">
        <v>3.5942569999999998</v>
      </c>
      <c r="CG60">
        <v>7.2785950000000001</v>
      </c>
      <c r="CH60">
        <v>1.7020690000000001</v>
      </c>
      <c r="CI60">
        <v>1.4980789999999999</v>
      </c>
      <c r="CJ60">
        <v>0.88015209999999999</v>
      </c>
      <c r="CK60">
        <v>1.256664</v>
      </c>
      <c r="CL60">
        <v>0.56350199999999995</v>
      </c>
      <c r="CM60">
        <v>0.60514999999999997</v>
      </c>
      <c r="CN60">
        <v>0.53786230000000002</v>
      </c>
      <c r="CO60">
        <v>1.4700340000000001</v>
      </c>
      <c r="CP60">
        <v>1.854941</v>
      </c>
      <c r="CQ60">
        <v>1.311464</v>
      </c>
      <c r="CR60">
        <v>1.0982700000000001</v>
      </c>
      <c r="CS60">
        <v>1.777398</v>
      </c>
      <c r="CT60">
        <v>1.433781</v>
      </c>
      <c r="CU60">
        <v>1.855199</v>
      </c>
      <c r="CW60">
        <f t="shared" si="4"/>
        <v>2138976.6667725015</v>
      </c>
      <c r="CX60">
        <f t="shared" si="10"/>
        <v>2.2429980829105745E-2</v>
      </c>
      <c r="CY60">
        <f t="shared" si="11"/>
        <v>3.1931779137024829E-2</v>
      </c>
      <c r="CZ60">
        <f t="shared" si="12"/>
        <v>1.5288697114259509E-2</v>
      </c>
      <c r="DA60">
        <f t="shared" si="13"/>
        <v>-1.2338830192678077E-4</v>
      </c>
      <c r="DB60">
        <f t="shared" si="5"/>
        <v>-1.2338830192678077E-4</v>
      </c>
      <c r="DC60" s="12">
        <f t="shared" si="19"/>
        <v>2.1703573534826628</v>
      </c>
      <c r="DD60" s="4">
        <f t="shared" si="20"/>
        <v>2.4003776437101072</v>
      </c>
      <c r="DE60" s="4">
        <f t="shared" si="21"/>
        <v>0.890438216856972</v>
      </c>
      <c r="DF60" s="4">
        <f t="shared" si="22"/>
        <v>0.62083359668315097</v>
      </c>
      <c r="DG60" s="13">
        <f t="shared" si="14"/>
        <v>0.62083359668315097</v>
      </c>
      <c r="DH60" s="4">
        <f t="shared" si="15"/>
        <v>8.7614144033346175</v>
      </c>
      <c r="DI60" s="4">
        <f t="shared" si="16"/>
        <v>1.8604782841448908</v>
      </c>
      <c r="DJ60" s="4">
        <f t="shared" si="17"/>
        <v>11.027340000000001</v>
      </c>
      <c r="DK60" s="4">
        <f t="shared" si="18"/>
        <v>2.4361969999999999</v>
      </c>
      <c r="DM60" s="4"/>
      <c r="DN60" s="17"/>
    </row>
    <row r="61" spans="1:118" x14ac:dyDescent="0.3">
      <c r="A61">
        <v>2006</v>
      </c>
      <c r="B61">
        <v>298818</v>
      </c>
      <c r="C61" s="1">
        <v>13800000</v>
      </c>
      <c r="D61">
        <v>7.5220710000000004</v>
      </c>
      <c r="E61">
        <v>7.3579929999999996</v>
      </c>
      <c r="F61">
        <v>9277236</v>
      </c>
      <c r="G61">
        <v>2700954</v>
      </c>
      <c r="H61">
        <v>2072953</v>
      </c>
      <c r="I61">
        <v>550893</v>
      </c>
      <c r="J61">
        <v>-786453</v>
      </c>
      <c r="K61" s="1">
        <v>13500000</v>
      </c>
      <c r="L61">
        <v>3103673</v>
      </c>
      <c r="M61" s="1">
        <v>10400000</v>
      </c>
      <c r="N61">
        <v>7.7677680000000002</v>
      </c>
      <c r="O61">
        <v>5.4382929999999998</v>
      </c>
      <c r="P61">
        <v>9.2102900000000005</v>
      </c>
      <c r="Q61">
        <v>1621707</v>
      </c>
      <c r="R61">
        <v>1449961</v>
      </c>
      <c r="S61">
        <v>1561151</v>
      </c>
      <c r="T61">
        <v>8864837</v>
      </c>
      <c r="U61">
        <v>7746959.5</v>
      </c>
      <c r="V61">
        <v>1637687.8</v>
      </c>
      <c r="W61">
        <v>6109271.5</v>
      </c>
      <c r="X61">
        <v>0.57143060000000001</v>
      </c>
      <c r="Y61">
        <v>7.1175459999999999</v>
      </c>
      <c r="Z61">
        <v>5.6408209999999999</v>
      </c>
      <c r="AA61">
        <v>7.8938610000000002</v>
      </c>
      <c r="AB61">
        <v>11.39472</v>
      </c>
      <c r="AC61">
        <v>7.7608860000000002</v>
      </c>
      <c r="AD61">
        <v>12.85934</v>
      </c>
      <c r="AE61">
        <v>2.5069979999999998</v>
      </c>
      <c r="AF61">
        <v>1.439835</v>
      </c>
      <c r="AG61">
        <v>3.3863639999999999</v>
      </c>
      <c r="AH61">
        <v>0.53147869999999997</v>
      </c>
      <c r="AI61">
        <v>0.58326920000000004</v>
      </c>
      <c r="AJ61" s="1">
        <v>10300000</v>
      </c>
      <c r="AK61">
        <v>2377799</v>
      </c>
      <c r="AL61">
        <v>7936999</v>
      </c>
      <c r="AM61">
        <v>6.6611830000000003</v>
      </c>
      <c r="AN61">
        <v>7.7392940000000001</v>
      </c>
      <c r="AO61">
        <v>5.9010309999999997</v>
      </c>
      <c r="AP61">
        <v>3.8106279999999999</v>
      </c>
      <c r="AQ61">
        <v>7.189921</v>
      </c>
      <c r="AR61">
        <v>11.701449999999999</v>
      </c>
      <c r="AS61">
        <v>3182858</v>
      </c>
      <c r="AT61">
        <v>11.83151</v>
      </c>
      <c r="AU61">
        <v>6.2032249999999998</v>
      </c>
      <c r="AV61">
        <v>0.50951279999999999</v>
      </c>
      <c r="AW61">
        <v>0.49048720000000001</v>
      </c>
      <c r="AX61">
        <v>0.140571</v>
      </c>
      <c r="AY61">
        <v>0.85942909999999995</v>
      </c>
      <c r="AZ61">
        <v>34.51867</v>
      </c>
      <c r="BA61">
        <v>0.52001010000000003</v>
      </c>
      <c r="BB61">
        <v>0.47998990000000002</v>
      </c>
      <c r="BC61">
        <v>0.64724230000000005</v>
      </c>
      <c r="BD61">
        <v>0</v>
      </c>
      <c r="BE61">
        <v>7.5900790000000002</v>
      </c>
      <c r="BF61">
        <v>7.5900800000000004</v>
      </c>
      <c r="BG61">
        <v>1</v>
      </c>
      <c r="BH61">
        <v>0.83056479999999999</v>
      </c>
      <c r="BI61">
        <v>0.1952044</v>
      </c>
      <c r="BJ61">
        <v>0.80479560000000006</v>
      </c>
      <c r="BK61">
        <v>0.29117480000000001</v>
      </c>
      <c r="BL61" s="1">
        <v>3.9300000000000004E-15</v>
      </c>
      <c r="BM61">
        <v>6.3334039999999998</v>
      </c>
      <c r="BN61">
        <v>6.3334039999999998</v>
      </c>
      <c r="BO61">
        <v>1</v>
      </c>
      <c r="BP61">
        <v>0.44890160000000001</v>
      </c>
      <c r="BQ61">
        <v>0.14743100000000001</v>
      </c>
      <c r="BR61">
        <v>0.85256900000000002</v>
      </c>
      <c r="BS61">
        <v>0.55497370000000001</v>
      </c>
      <c r="BT61">
        <v>0.69686530000000002</v>
      </c>
      <c r="BU61">
        <v>0.44306980000000001</v>
      </c>
      <c r="BV61">
        <v>3.7784080000000002</v>
      </c>
      <c r="BW61">
        <v>7.5323560000000001</v>
      </c>
      <c r="BX61">
        <v>1.9935259999999999</v>
      </c>
      <c r="BY61">
        <v>0</v>
      </c>
      <c r="BZ61">
        <v>0.50549069999999996</v>
      </c>
      <c r="CA61">
        <v>0.49450929999999998</v>
      </c>
      <c r="CB61">
        <v>0.13985359999999999</v>
      </c>
      <c r="CC61">
        <v>0.86014639999999998</v>
      </c>
      <c r="CD61">
        <v>10.754519999999999</v>
      </c>
      <c r="CE61">
        <v>10.838340000000001</v>
      </c>
      <c r="CF61">
        <v>3.7118280000000001</v>
      </c>
      <c r="CG61">
        <v>7.4647129999999997</v>
      </c>
      <c r="CH61">
        <v>1.6935990000000001</v>
      </c>
      <c r="CI61">
        <v>1.484758</v>
      </c>
      <c r="CJ61">
        <v>0.87668809999999997</v>
      </c>
      <c r="CK61">
        <v>1.2476240000000001</v>
      </c>
      <c r="CL61">
        <v>0.56350199999999995</v>
      </c>
      <c r="CM61">
        <v>0.60514999999999997</v>
      </c>
      <c r="CN61">
        <v>0.53786230000000002</v>
      </c>
      <c r="CO61">
        <v>1.4660789999999999</v>
      </c>
      <c r="CP61">
        <v>1.8779680000000001</v>
      </c>
      <c r="CQ61">
        <v>1.3020020000000001</v>
      </c>
      <c r="CR61">
        <v>1.0912520000000001</v>
      </c>
      <c r="CS61">
        <v>1.772707</v>
      </c>
      <c r="CT61">
        <v>1.4296759999999999</v>
      </c>
      <c r="CU61">
        <v>1.8358449999999999</v>
      </c>
      <c r="CW61">
        <f t="shared" si="4"/>
        <v>2176287.3344107298</v>
      </c>
      <c r="CX61">
        <f t="shared" si="10"/>
        <v>1.7292845773987153E-2</v>
      </c>
      <c r="CY61">
        <f t="shared" si="11"/>
        <v>3.2772446504858443E-2</v>
      </c>
      <c r="CZ61">
        <f t="shared" si="12"/>
        <v>2.8647804552611622E-2</v>
      </c>
      <c r="DA61">
        <f t="shared" si="13"/>
        <v>-1.3155356741496304E-2</v>
      </c>
      <c r="DB61">
        <f t="shared" si="5"/>
        <v>-1.3155356741496304E-2</v>
      </c>
      <c r="DC61" s="12">
        <f t="shared" si="19"/>
        <v>2.1876501992566499</v>
      </c>
      <c r="DD61" s="4">
        <f t="shared" si="20"/>
        <v>2.4331500902149656</v>
      </c>
      <c r="DE61" s="4">
        <f t="shared" si="21"/>
        <v>0.91908602140958362</v>
      </c>
      <c r="DF61" s="4">
        <f t="shared" si="22"/>
        <v>0.60767823994165471</v>
      </c>
      <c r="DG61" s="13">
        <f t="shared" si="14"/>
        <v>0.60767823994165471</v>
      </c>
      <c r="DH61" s="4">
        <f t="shared" si="15"/>
        <v>8.9142417931428692</v>
      </c>
      <c r="DI61" s="4">
        <f t="shared" si="16"/>
        <v>1.8361633153199586</v>
      </c>
      <c r="DJ61" s="4">
        <f t="shared" si="17"/>
        <v>11.394720000000001</v>
      </c>
      <c r="DK61" s="4">
        <f t="shared" si="18"/>
        <v>2.5069979999999998</v>
      </c>
      <c r="DM61" s="4"/>
      <c r="DN61" s="17"/>
    </row>
    <row r="62" spans="1:118" x14ac:dyDescent="0.3">
      <c r="A62">
        <v>2007</v>
      </c>
      <c r="B62">
        <v>301696</v>
      </c>
      <c r="C62" s="1">
        <v>14500000</v>
      </c>
      <c r="D62">
        <v>7.6732649999999998</v>
      </c>
      <c r="E62">
        <v>7.5568840000000002</v>
      </c>
      <c r="F62">
        <v>9746594</v>
      </c>
      <c r="G62">
        <v>2673011</v>
      </c>
      <c r="H62">
        <v>2198532</v>
      </c>
      <c r="I62">
        <v>592024</v>
      </c>
      <c r="J62">
        <v>-735933</v>
      </c>
      <c r="K62" s="1">
        <v>14100000</v>
      </c>
      <c r="L62">
        <v>3226662</v>
      </c>
      <c r="M62" s="1">
        <v>10900000</v>
      </c>
      <c r="N62">
        <v>8.0017739999999993</v>
      </c>
      <c r="O62">
        <v>5.5929719999999996</v>
      </c>
      <c r="P62">
        <v>9.4923660000000005</v>
      </c>
      <c r="Q62">
        <v>1648355</v>
      </c>
      <c r="R62">
        <v>1553906</v>
      </c>
      <c r="S62">
        <v>1582729</v>
      </c>
      <c r="T62">
        <v>9332343</v>
      </c>
      <c r="U62">
        <v>8060485.5</v>
      </c>
      <c r="V62">
        <v>1713762.1</v>
      </c>
      <c r="W62">
        <v>6346723.5</v>
      </c>
      <c r="X62">
        <v>0.57245610000000002</v>
      </c>
      <c r="Y62">
        <v>7.2266079999999997</v>
      </c>
      <c r="Z62">
        <v>5.7021649999999999</v>
      </c>
      <c r="AA62">
        <v>8.0252929999999996</v>
      </c>
      <c r="AB62">
        <v>11.674239999999999</v>
      </c>
      <c r="AC62">
        <v>7.9950989999999997</v>
      </c>
      <c r="AD62">
        <v>13.150359999999999</v>
      </c>
      <c r="AE62">
        <v>2.5517029999999998</v>
      </c>
      <c r="AF62">
        <v>1.4242889999999999</v>
      </c>
      <c r="AG62">
        <v>3.473309</v>
      </c>
      <c r="AH62">
        <v>0.52939340000000001</v>
      </c>
      <c r="AI62">
        <v>0.58526849999999997</v>
      </c>
      <c r="AJ62" s="1">
        <v>10900000</v>
      </c>
      <c r="AK62">
        <v>2476796</v>
      </c>
      <c r="AL62">
        <v>8409453</v>
      </c>
      <c r="AM62">
        <v>6.8464980000000004</v>
      </c>
      <c r="AN62">
        <v>7.9620959999999998</v>
      </c>
      <c r="AO62">
        <v>6.217174</v>
      </c>
      <c r="AP62">
        <v>3.7746110000000002</v>
      </c>
      <c r="AQ62">
        <v>7.3684029999999998</v>
      </c>
      <c r="AR62">
        <v>12.120699999999999</v>
      </c>
      <c r="AS62">
        <v>3231084</v>
      </c>
      <c r="AT62">
        <v>11.76304</v>
      </c>
      <c r="AU62">
        <v>6.3338739999999998</v>
      </c>
      <c r="AV62">
        <v>0.51015540000000004</v>
      </c>
      <c r="AW62">
        <v>0.48984460000000002</v>
      </c>
      <c r="AX62">
        <v>0.14274029999999999</v>
      </c>
      <c r="AY62">
        <v>0.85725980000000002</v>
      </c>
      <c r="AZ62">
        <v>36.083500000000001</v>
      </c>
      <c r="BA62">
        <v>0.51948070000000002</v>
      </c>
      <c r="BB62">
        <v>0.48051929999999998</v>
      </c>
      <c r="BC62">
        <v>0.64724230000000005</v>
      </c>
      <c r="BD62">
        <v>0</v>
      </c>
      <c r="BE62">
        <v>7.7811079999999997</v>
      </c>
      <c r="BF62">
        <v>7.7811079999999997</v>
      </c>
      <c r="BG62">
        <v>1</v>
      </c>
      <c r="BH62">
        <v>0.83056479999999999</v>
      </c>
      <c r="BI62">
        <v>0.1948714</v>
      </c>
      <c r="BJ62">
        <v>0.80512859999999997</v>
      </c>
      <c r="BK62">
        <v>0.29117480000000001</v>
      </c>
      <c r="BL62" s="1">
        <v>3.9300000000000004E-15</v>
      </c>
      <c r="BM62">
        <v>6.488334</v>
      </c>
      <c r="BN62">
        <v>6.488334</v>
      </c>
      <c r="BO62">
        <v>1</v>
      </c>
      <c r="BP62">
        <v>0.44890160000000001</v>
      </c>
      <c r="BQ62">
        <v>0.1460602</v>
      </c>
      <c r="BR62">
        <v>0.85393980000000003</v>
      </c>
      <c r="BS62">
        <v>0.55497370000000001</v>
      </c>
      <c r="BT62">
        <v>0.69686530000000002</v>
      </c>
      <c r="BU62">
        <v>0.44306980000000001</v>
      </c>
      <c r="BV62">
        <v>3.841399</v>
      </c>
      <c r="BW62">
        <v>7.7258269999999998</v>
      </c>
      <c r="BX62">
        <v>2.0112009999999998</v>
      </c>
      <c r="BY62">
        <v>0</v>
      </c>
      <c r="BZ62">
        <v>0.50983409999999996</v>
      </c>
      <c r="CA62">
        <v>0.49016589999999999</v>
      </c>
      <c r="CB62">
        <v>0.14165559999999999</v>
      </c>
      <c r="CC62">
        <v>0.85834440000000001</v>
      </c>
      <c r="CD62">
        <v>10.62893</v>
      </c>
      <c r="CE62">
        <v>10.661619999999999</v>
      </c>
      <c r="CF62">
        <v>3.867909</v>
      </c>
      <c r="CG62">
        <v>7.62486</v>
      </c>
      <c r="CH62">
        <v>1.697195</v>
      </c>
      <c r="CI62">
        <v>1.498667</v>
      </c>
      <c r="CJ62">
        <v>0.88302550000000002</v>
      </c>
      <c r="CK62">
        <v>1.257066</v>
      </c>
      <c r="CL62">
        <v>0.56350199999999995</v>
      </c>
      <c r="CM62">
        <v>0.60514999999999997</v>
      </c>
      <c r="CN62">
        <v>0.53786230000000002</v>
      </c>
      <c r="CO62">
        <v>1.458283</v>
      </c>
      <c r="CP62">
        <v>1.8854109999999999</v>
      </c>
      <c r="CQ62">
        <v>1.2922210000000001</v>
      </c>
      <c r="CR62">
        <v>1.100284</v>
      </c>
      <c r="CS62">
        <v>1.785377</v>
      </c>
      <c r="CT62">
        <v>1.4225399999999999</v>
      </c>
      <c r="CU62">
        <v>1.842293</v>
      </c>
      <c r="CW62">
        <f t="shared" si="4"/>
        <v>2226125.7486334587</v>
      </c>
      <c r="CX62">
        <f t="shared" si="10"/>
        <v>2.2642374768411244E-2</v>
      </c>
      <c r="CY62">
        <f t="shared" si="11"/>
        <v>2.4234614861392334E-2</v>
      </c>
      <c r="CZ62">
        <f t="shared" si="12"/>
        <v>1.7674957990017504E-2</v>
      </c>
      <c r="DA62">
        <f t="shared" si="13"/>
        <v>2.1041396733523701E-3</v>
      </c>
      <c r="DB62">
        <f t="shared" si="5"/>
        <v>2.1041396733523701E-3</v>
      </c>
      <c r="DC62" s="12">
        <f t="shared" si="19"/>
        <v>2.2102925740250612</v>
      </c>
      <c r="DD62" s="4">
        <f t="shared" si="20"/>
        <v>2.457384705076358</v>
      </c>
      <c r="DE62" s="4">
        <f t="shared" si="21"/>
        <v>0.93676097939960112</v>
      </c>
      <c r="DF62" s="4">
        <f t="shared" si="22"/>
        <v>0.60978237961500703</v>
      </c>
      <c r="DG62" s="13">
        <f t="shared" si="14"/>
        <v>0.60978237961500703</v>
      </c>
      <c r="DH62" s="4">
        <f t="shared" si="15"/>
        <v>9.1183838050654433</v>
      </c>
      <c r="DI62" s="4">
        <f t="shared" si="16"/>
        <v>1.8400309269690769</v>
      </c>
      <c r="DJ62" s="4">
        <f t="shared" si="17"/>
        <v>11.674239999999999</v>
      </c>
      <c r="DK62" s="4">
        <f t="shared" si="18"/>
        <v>2.5517029999999998</v>
      </c>
      <c r="DM62" s="4"/>
      <c r="DN62" s="17"/>
    </row>
    <row r="63" spans="1:118" x14ac:dyDescent="0.3">
      <c r="A63">
        <v>2008</v>
      </c>
      <c r="B63">
        <v>304543</v>
      </c>
      <c r="C63" s="1">
        <v>14800000</v>
      </c>
      <c r="D63">
        <v>7.6826840000000001</v>
      </c>
      <c r="E63">
        <v>7.701778</v>
      </c>
      <c r="F63" s="1">
        <v>10100000</v>
      </c>
      <c r="G63">
        <v>2477613</v>
      </c>
      <c r="H63">
        <v>2353440</v>
      </c>
      <c r="I63">
        <v>629595</v>
      </c>
      <c r="J63">
        <v>-740870</v>
      </c>
      <c r="K63" s="1">
        <v>14400000</v>
      </c>
      <c r="L63">
        <v>3223178</v>
      </c>
      <c r="M63" s="1">
        <v>11100000</v>
      </c>
      <c r="N63">
        <v>8.1826369999999997</v>
      </c>
      <c r="O63">
        <v>5.7639250000000004</v>
      </c>
      <c r="P63">
        <v>9.6849000000000007</v>
      </c>
      <c r="Q63">
        <v>1590288</v>
      </c>
      <c r="R63">
        <v>1591032</v>
      </c>
      <c r="S63">
        <v>1546162</v>
      </c>
      <c r="T63">
        <v>9635983</v>
      </c>
      <c r="U63">
        <v>8103027</v>
      </c>
      <c r="V63">
        <v>1707546.4</v>
      </c>
      <c r="W63">
        <v>6395480.5</v>
      </c>
      <c r="X63">
        <v>0.56755259999999996</v>
      </c>
      <c r="Y63">
        <v>7.190086</v>
      </c>
      <c r="Z63">
        <v>5.5270710000000003</v>
      </c>
      <c r="AA63">
        <v>8.0460370000000001</v>
      </c>
      <c r="AB63">
        <v>11.99663</v>
      </c>
      <c r="AC63">
        <v>8.2383129999999998</v>
      </c>
      <c r="AD63">
        <v>13.501519999999999</v>
      </c>
      <c r="AE63">
        <v>2.5428440000000001</v>
      </c>
      <c r="AF63">
        <v>1.395367</v>
      </c>
      <c r="AG63">
        <v>3.477122</v>
      </c>
      <c r="AH63">
        <v>0.53044829999999998</v>
      </c>
      <c r="AI63">
        <v>0.57842640000000001</v>
      </c>
      <c r="AJ63" s="1">
        <v>11200000</v>
      </c>
      <c r="AK63">
        <v>2389820</v>
      </c>
      <c r="AL63">
        <v>8837195</v>
      </c>
      <c r="AM63">
        <v>6.939743</v>
      </c>
      <c r="AN63">
        <v>8.1277790000000003</v>
      </c>
      <c r="AO63">
        <v>6.3066300000000002</v>
      </c>
      <c r="AP63">
        <v>3.6022690000000002</v>
      </c>
      <c r="AQ63">
        <v>7.523879</v>
      </c>
      <c r="AR63">
        <v>12.51524</v>
      </c>
      <c r="AS63">
        <v>3136450</v>
      </c>
      <c r="AT63">
        <v>11.26839</v>
      </c>
      <c r="AU63">
        <v>6.4182589999999999</v>
      </c>
      <c r="AV63">
        <v>0.5070344</v>
      </c>
      <c r="AW63">
        <v>0.4929656</v>
      </c>
      <c r="AX63">
        <v>0.1417146</v>
      </c>
      <c r="AY63">
        <v>0.85828539999999998</v>
      </c>
      <c r="AZ63">
        <v>36.865119999999997</v>
      </c>
      <c r="BA63">
        <v>0.52198330000000004</v>
      </c>
      <c r="BB63">
        <v>0.47801670000000002</v>
      </c>
      <c r="BC63">
        <v>0.64724230000000005</v>
      </c>
      <c r="BD63">
        <v>0</v>
      </c>
      <c r="BE63">
        <v>7.8241829999999997</v>
      </c>
      <c r="BF63">
        <v>7.8241839999999998</v>
      </c>
      <c r="BG63">
        <v>1</v>
      </c>
      <c r="BH63">
        <v>0.83056479999999999</v>
      </c>
      <c r="BI63">
        <v>0.1964495</v>
      </c>
      <c r="BJ63">
        <v>0.80355049999999995</v>
      </c>
      <c r="BK63">
        <v>0.29117480000000001</v>
      </c>
      <c r="BL63" s="1">
        <v>3.9300000000000004E-15</v>
      </c>
      <c r="BM63">
        <v>6.5455550000000002</v>
      </c>
      <c r="BN63">
        <v>6.5455550000000002</v>
      </c>
      <c r="BO63">
        <v>1</v>
      </c>
      <c r="BP63">
        <v>0.44890160000000001</v>
      </c>
      <c r="BQ63">
        <v>0.1469742</v>
      </c>
      <c r="BR63">
        <v>0.85302579999999995</v>
      </c>
      <c r="BS63">
        <v>0.55497370000000001</v>
      </c>
      <c r="BT63">
        <v>0.69686530000000002</v>
      </c>
      <c r="BU63">
        <v>0.44306980000000001</v>
      </c>
      <c r="BV63">
        <v>3.8682029999999998</v>
      </c>
      <c r="BW63">
        <v>7.8009089999999999</v>
      </c>
      <c r="BX63">
        <v>2.0166750000000002</v>
      </c>
      <c r="BY63">
        <v>0</v>
      </c>
      <c r="BZ63">
        <v>0.50859489999999996</v>
      </c>
      <c r="CA63">
        <v>0.49140509999999998</v>
      </c>
      <c r="CB63">
        <v>0.1422274</v>
      </c>
      <c r="CC63">
        <v>0.8577726</v>
      </c>
      <c r="CD63">
        <v>9.9503629999999994</v>
      </c>
      <c r="CE63">
        <v>10.20824</v>
      </c>
      <c r="CF63">
        <v>3.8428620000000002</v>
      </c>
      <c r="CG63">
        <v>7.7164320000000002</v>
      </c>
      <c r="CH63">
        <v>1.680261</v>
      </c>
      <c r="CI63">
        <v>1.508961</v>
      </c>
      <c r="CJ63">
        <v>0.89805109999999999</v>
      </c>
      <c r="CK63">
        <v>1.2663530000000001</v>
      </c>
      <c r="CL63">
        <v>0.56350199999999995</v>
      </c>
      <c r="CM63">
        <v>0.60514999999999997</v>
      </c>
      <c r="CN63">
        <v>0.53786230000000002</v>
      </c>
      <c r="CO63">
        <v>1.4365749999999999</v>
      </c>
      <c r="CP63">
        <v>1.8247409999999999</v>
      </c>
      <c r="CQ63">
        <v>1.279952</v>
      </c>
      <c r="CR63">
        <v>1.1135060000000001</v>
      </c>
      <c r="CS63">
        <v>1.7666120000000001</v>
      </c>
      <c r="CT63">
        <v>1.401815</v>
      </c>
      <c r="CU63">
        <v>1.8314889999999999</v>
      </c>
      <c r="CW63">
        <f t="shared" si="4"/>
        <v>2243599.08193172</v>
      </c>
      <c r="CX63">
        <f t="shared" si="10"/>
        <v>7.818567349268335E-3</v>
      </c>
      <c r="CY63">
        <f t="shared" si="11"/>
        <v>2.7241071937243788E-2</v>
      </c>
      <c r="CZ63">
        <f t="shared" si="12"/>
        <v>-3.4778397095577285E-3</v>
      </c>
      <c r="DA63">
        <f t="shared" si="13"/>
        <v>-2.1123364371795073E-3</v>
      </c>
      <c r="DB63">
        <f t="shared" si="5"/>
        <v>-2.1123364371795073E-3</v>
      </c>
      <c r="DC63" s="12">
        <f t="shared" si="19"/>
        <v>2.2181111413743295</v>
      </c>
      <c r="DD63" s="4">
        <f t="shared" si="20"/>
        <v>2.4846257770136018</v>
      </c>
      <c r="DE63" s="4">
        <f t="shared" si="21"/>
        <v>0.9332831396900434</v>
      </c>
      <c r="DF63" s="4">
        <f t="shared" si="22"/>
        <v>0.60767004317782747</v>
      </c>
      <c r="DG63" s="13">
        <f t="shared" si="14"/>
        <v>0.60767004317782747</v>
      </c>
      <c r="DH63" s="4">
        <f t="shared" si="15"/>
        <v>9.1899559341175312</v>
      </c>
      <c r="DI63" s="4">
        <f t="shared" si="16"/>
        <v>1.8361482647845975</v>
      </c>
      <c r="DJ63" s="4">
        <f t="shared" si="17"/>
        <v>11.996629999999998</v>
      </c>
      <c r="DK63" s="4">
        <f t="shared" si="18"/>
        <v>2.5428440000000001</v>
      </c>
      <c r="DM63" s="4"/>
      <c r="DN63" s="17"/>
    </row>
    <row r="64" spans="1:118" x14ac:dyDescent="0.3">
      <c r="A64">
        <v>2009</v>
      </c>
      <c r="B64">
        <v>307240</v>
      </c>
      <c r="C64" s="1">
        <v>14500000</v>
      </c>
      <c r="D64">
        <v>7.4829559999999997</v>
      </c>
      <c r="E64">
        <v>7.7511289999999997</v>
      </c>
      <c r="F64">
        <v>9891218</v>
      </c>
      <c r="G64">
        <v>1929664</v>
      </c>
      <c r="H64">
        <v>2433429</v>
      </c>
      <c r="I64">
        <v>642909</v>
      </c>
      <c r="J64">
        <v>-419153</v>
      </c>
      <c r="K64" s="1">
        <v>14100000</v>
      </c>
      <c r="L64">
        <v>2943970</v>
      </c>
      <c r="M64" s="1">
        <v>11100000</v>
      </c>
      <c r="N64">
        <v>8.2320650000000004</v>
      </c>
      <c r="O64">
        <v>5.5774499999999998</v>
      </c>
      <c r="P64">
        <v>9.8488589999999991</v>
      </c>
      <c r="Q64">
        <v>1314715</v>
      </c>
      <c r="R64">
        <v>1564676</v>
      </c>
      <c r="S64">
        <v>1408629</v>
      </c>
      <c r="T64">
        <v>9780668</v>
      </c>
      <c r="U64">
        <v>7824084.5</v>
      </c>
      <c r="V64">
        <v>1506983.4</v>
      </c>
      <c r="W64">
        <v>6317101.5</v>
      </c>
      <c r="X64">
        <v>0.56013800000000002</v>
      </c>
      <c r="Y64">
        <v>7.0002399999999998</v>
      </c>
      <c r="Z64">
        <v>5.2170699999999997</v>
      </c>
      <c r="AA64">
        <v>7.901033</v>
      </c>
      <c r="AB64">
        <v>12.125389999999999</v>
      </c>
      <c r="AC64">
        <v>8.3436029999999999</v>
      </c>
      <c r="AD64">
        <v>13.637879999999999</v>
      </c>
      <c r="AE64">
        <v>2.4314420000000001</v>
      </c>
      <c r="AF64">
        <v>1.2373689999999999</v>
      </c>
      <c r="AG64">
        <v>3.3886980000000002</v>
      </c>
      <c r="AH64">
        <v>0.5208296</v>
      </c>
      <c r="AI64">
        <v>0.57096480000000005</v>
      </c>
      <c r="AJ64" s="1">
        <v>11300000</v>
      </c>
      <c r="AK64">
        <v>2411510</v>
      </c>
      <c r="AL64">
        <v>8933834</v>
      </c>
      <c r="AM64">
        <v>6.9433699999999998</v>
      </c>
      <c r="AN64">
        <v>8.2082429999999995</v>
      </c>
      <c r="AO64">
        <v>6.4555720000000001</v>
      </c>
      <c r="AP64">
        <v>3.5507059999999999</v>
      </c>
      <c r="AQ64">
        <v>7.5796029999999996</v>
      </c>
      <c r="AR64">
        <v>12.557689999999999</v>
      </c>
      <c r="AS64">
        <v>2723344</v>
      </c>
      <c r="AT64">
        <v>9.8573039999999992</v>
      </c>
      <c r="AU64">
        <v>6.3706670000000001</v>
      </c>
      <c r="AV64">
        <v>0.48275760000000001</v>
      </c>
      <c r="AW64">
        <v>0.51724239999999999</v>
      </c>
      <c r="AX64">
        <v>0.13791349999999999</v>
      </c>
      <c r="AY64">
        <v>0.86208649999999998</v>
      </c>
      <c r="AZ64">
        <v>36.926650000000002</v>
      </c>
      <c r="BA64">
        <v>0.50957770000000002</v>
      </c>
      <c r="BB64">
        <v>0.49042229999999998</v>
      </c>
      <c r="BC64">
        <v>0.64724230000000005</v>
      </c>
      <c r="BD64">
        <v>0</v>
      </c>
      <c r="BE64">
        <v>7.976801</v>
      </c>
      <c r="BF64">
        <v>7.976801</v>
      </c>
      <c r="BG64">
        <v>1</v>
      </c>
      <c r="BH64">
        <v>0.83056479999999999</v>
      </c>
      <c r="BI64">
        <v>0.18872610000000001</v>
      </c>
      <c r="BJ64">
        <v>0.81127389999999999</v>
      </c>
      <c r="BK64">
        <v>0.29117480000000001</v>
      </c>
      <c r="BL64" s="1">
        <v>3.9300000000000004E-15</v>
      </c>
      <c r="BM64">
        <v>6.5669459999999997</v>
      </c>
      <c r="BN64">
        <v>6.5669459999999997</v>
      </c>
      <c r="BO64">
        <v>0.99999990000000005</v>
      </c>
      <c r="BP64">
        <v>0.44890160000000001</v>
      </c>
      <c r="BQ64">
        <v>0.14316989999999999</v>
      </c>
      <c r="BR64">
        <v>0.85683010000000004</v>
      </c>
      <c r="BS64">
        <v>0.55497370000000001</v>
      </c>
      <c r="BT64">
        <v>0.69686530000000002</v>
      </c>
      <c r="BU64">
        <v>0.44306980000000001</v>
      </c>
      <c r="BV64">
        <v>3.9350999999999998</v>
      </c>
      <c r="BW64">
        <v>7.7864659999999999</v>
      </c>
      <c r="BX64">
        <v>1.978721</v>
      </c>
      <c r="BY64">
        <v>0</v>
      </c>
      <c r="BZ64">
        <v>0.494896</v>
      </c>
      <c r="CA64">
        <v>0.505104</v>
      </c>
      <c r="CB64">
        <v>0.13981399999999999</v>
      </c>
      <c r="CC64">
        <v>0.86018600000000001</v>
      </c>
      <c r="CD64">
        <v>8.5011430000000008</v>
      </c>
      <c r="CE64">
        <v>9.1453790000000001</v>
      </c>
      <c r="CF64">
        <v>3.9055559999999998</v>
      </c>
      <c r="CG64">
        <v>7.7019070000000003</v>
      </c>
      <c r="CH64">
        <v>1.765835</v>
      </c>
      <c r="CI64">
        <v>1.5459700000000001</v>
      </c>
      <c r="CJ64">
        <v>0.87548919999999997</v>
      </c>
      <c r="CK64">
        <v>1.288443</v>
      </c>
      <c r="CL64">
        <v>0.56350199999999995</v>
      </c>
      <c r="CM64">
        <v>0.60514999999999997</v>
      </c>
      <c r="CN64">
        <v>0.53786230000000002</v>
      </c>
      <c r="CO64">
        <v>1.4277329999999999</v>
      </c>
      <c r="CP64">
        <v>1.8328800000000001</v>
      </c>
      <c r="CQ64">
        <v>1.2696810000000001</v>
      </c>
      <c r="CR64">
        <v>1.1131120000000001</v>
      </c>
      <c r="CS64">
        <v>1.7641560000000001</v>
      </c>
      <c r="CT64">
        <v>1.3944430000000001</v>
      </c>
      <c r="CU64">
        <v>1.8448910000000001</v>
      </c>
      <c r="CW64">
        <f t="shared" si="4"/>
        <v>2213269.0344668776</v>
      </c>
      <c r="CX64">
        <f t="shared" si="10"/>
        <v>-1.3610685752105667E-2</v>
      </c>
      <c r="CY64">
        <f t="shared" si="11"/>
        <v>1.0675824241118015E-2</v>
      </c>
      <c r="CZ64">
        <f t="shared" si="12"/>
        <v>-4.4798642701161295E-2</v>
      </c>
      <c r="DA64">
        <f t="shared" si="13"/>
        <v>6.9734630776845906E-3</v>
      </c>
      <c r="DB64">
        <f t="shared" si="5"/>
        <v>6.9734630776845906E-3</v>
      </c>
      <c r="DC64" s="12">
        <f t="shared" si="19"/>
        <v>2.2045004556222239</v>
      </c>
      <c r="DD64" s="4">
        <f t="shared" si="20"/>
        <v>2.4953016012547198</v>
      </c>
      <c r="DE64" s="4">
        <f t="shared" si="21"/>
        <v>0.8884844969888821</v>
      </c>
      <c r="DF64" s="4">
        <f t="shared" si="22"/>
        <v>0.61464350625551201</v>
      </c>
      <c r="DG64" s="13">
        <f t="shared" si="14"/>
        <v>0.61464350625551201</v>
      </c>
      <c r="DH64" s="4">
        <f t="shared" si="15"/>
        <v>9.0657217062083326</v>
      </c>
      <c r="DI64" s="4">
        <f t="shared" si="16"/>
        <v>1.8489973260715526</v>
      </c>
      <c r="DJ64" s="4">
        <f t="shared" si="17"/>
        <v>12.125390000000001</v>
      </c>
      <c r="DK64" s="4">
        <f t="shared" si="18"/>
        <v>2.4314420000000001</v>
      </c>
      <c r="DM64" s="4"/>
      <c r="DN64" s="17"/>
    </row>
    <row r="65" spans="1:118" x14ac:dyDescent="0.3">
      <c r="A65">
        <v>2010</v>
      </c>
      <c r="B65">
        <v>309839</v>
      </c>
      <c r="C65" s="1">
        <v>15000000</v>
      </c>
      <c r="D65">
        <v>7.685638</v>
      </c>
      <c r="E65">
        <v>7.8443040000000002</v>
      </c>
      <c r="F65" s="1">
        <v>10300000</v>
      </c>
      <c r="G65">
        <v>2165473</v>
      </c>
      <c r="H65">
        <v>2511046</v>
      </c>
      <c r="I65">
        <v>644504</v>
      </c>
      <c r="J65">
        <v>-532309</v>
      </c>
      <c r="K65" s="1">
        <v>14600000</v>
      </c>
      <c r="L65">
        <v>3091774</v>
      </c>
      <c r="M65" s="1">
        <v>11500000</v>
      </c>
      <c r="N65">
        <v>8.3588290000000001</v>
      </c>
      <c r="O65">
        <v>5.7139379999999997</v>
      </c>
      <c r="P65">
        <v>9.976839</v>
      </c>
      <c r="Q65">
        <v>1318422</v>
      </c>
      <c r="R65">
        <v>1680574</v>
      </c>
      <c r="S65">
        <v>1437637</v>
      </c>
      <c r="T65" s="1">
        <v>10200000</v>
      </c>
      <c r="U65">
        <v>7872716</v>
      </c>
      <c r="V65">
        <v>1529352.5</v>
      </c>
      <c r="W65">
        <v>6343363.5</v>
      </c>
      <c r="X65">
        <v>0.547489</v>
      </c>
      <c r="Y65">
        <v>7.1595339999999998</v>
      </c>
      <c r="Z65">
        <v>5.3481209999999999</v>
      </c>
      <c r="AA65">
        <v>8.0758530000000004</v>
      </c>
      <c r="AB65">
        <v>12.15888</v>
      </c>
      <c r="AC65">
        <v>8.3235869999999998</v>
      </c>
      <c r="AD65">
        <v>13.696770000000001</v>
      </c>
      <c r="AE65">
        <v>2.431737</v>
      </c>
      <c r="AF65">
        <v>1.223725</v>
      </c>
      <c r="AG65">
        <v>3.3982329999999998</v>
      </c>
      <c r="AH65">
        <v>0.50327010000000005</v>
      </c>
      <c r="AI65">
        <v>0.5592743</v>
      </c>
      <c r="AJ65" s="1">
        <v>11900000</v>
      </c>
      <c r="AK65">
        <v>2601376</v>
      </c>
      <c r="AL65">
        <v>9252963</v>
      </c>
      <c r="AM65">
        <v>7.1389930000000001</v>
      </c>
      <c r="AN65">
        <v>8.3488360000000004</v>
      </c>
      <c r="AO65">
        <v>6.4620170000000003</v>
      </c>
      <c r="AP65">
        <v>3.8298160000000001</v>
      </c>
      <c r="AQ65">
        <v>7.6806469999999996</v>
      </c>
      <c r="AR65">
        <v>12.84648</v>
      </c>
      <c r="AS65">
        <v>2756059</v>
      </c>
      <c r="AT65">
        <v>10.07737</v>
      </c>
      <c r="AU65">
        <v>6.3064039999999997</v>
      </c>
      <c r="AV65">
        <v>0.47837220000000003</v>
      </c>
      <c r="AW65">
        <v>0.52162779999999997</v>
      </c>
      <c r="AX65">
        <v>0.1417687</v>
      </c>
      <c r="AY65">
        <v>0.85823130000000003</v>
      </c>
      <c r="AZ65">
        <v>38.25967</v>
      </c>
      <c r="BA65">
        <v>0.51239279999999998</v>
      </c>
      <c r="BB65">
        <v>0.48760720000000002</v>
      </c>
      <c r="BC65">
        <v>0.64724230000000005</v>
      </c>
      <c r="BD65">
        <v>0</v>
      </c>
      <c r="BE65">
        <v>8.1805269999999997</v>
      </c>
      <c r="BF65">
        <v>8.1805269999999997</v>
      </c>
      <c r="BG65">
        <v>1</v>
      </c>
      <c r="BH65">
        <v>0.83056479999999999</v>
      </c>
      <c r="BI65">
        <v>0.19045709999999999</v>
      </c>
      <c r="BJ65">
        <v>0.80954289999999995</v>
      </c>
      <c r="BK65">
        <v>0.29117480000000001</v>
      </c>
      <c r="BL65" s="1">
        <v>3.9300000000000004E-15</v>
      </c>
      <c r="BM65">
        <v>6.759093</v>
      </c>
      <c r="BN65">
        <v>6.759093</v>
      </c>
      <c r="BO65">
        <v>0.99999990000000005</v>
      </c>
      <c r="BP65">
        <v>0.44890160000000001</v>
      </c>
      <c r="BQ65">
        <v>0.14250360000000001</v>
      </c>
      <c r="BR65">
        <v>0.85749640000000005</v>
      </c>
      <c r="BS65">
        <v>0.55497370000000001</v>
      </c>
      <c r="BT65">
        <v>0.69686530000000002</v>
      </c>
      <c r="BU65">
        <v>0.44306980000000001</v>
      </c>
      <c r="BV65">
        <v>3.9947499999999998</v>
      </c>
      <c r="BW65">
        <v>8.0376779999999997</v>
      </c>
      <c r="BX65">
        <v>2.01206</v>
      </c>
      <c r="BY65">
        <v>0</v>
      </c>
      <c r="BZ65">
        <v>0.48056490000000002</v>
      </c>
      <c r="CA65">
        <v>0.51943510000000004</v>
      </c>
      <c r="CB65">
        <v>0.1398411</v>
      </c>
      <c r="CC65">
        <v>0.86015889999999995</v>
      </c>
      <c r="CD65">
        <v>8.3214760000000005</v>
      </c>
      <c r="CE65">
        <v>9.2139810000000004</v>
      </c>
      <c r="CF65">
        <v>4.0946449999999999</v>
      </c>
      <c r="CG65">
        <v>7.9086869999999996</v>
      </c>
      <c r="CH65">
        <v>1.7460530000000001</v>
      </c>
      <c r="CI65">
        <v>1.582017</v>
      </c>
      <c r="CJ65">
        <v>0.90605340000000001</v>
      </c>
      <c r="CK65">
        <v>1.323866</v>
      </c>
      <c r="CL65">
        <v>0.56350199999999995</v>
      </c>
      <c r="CM65">
        <v>0.60514999999999997</v>
      </c>
      <c r="CN65">
        <v>0.53786230000000002</v>
      </c>
      <c r="CO65">
        <v>1.4583649999999999</v>
      </c>
      <c r="CP65">
        <v>1.8926810000000001</v>
      </c>
      <c r="CQ65">
        <v>1.2932859999999999</v>
      </c>
      <c r="CR65">
        <v>1.145251</v>
      </c>
      <c r="CS65">
        <v>1.8630089999999999</v>
      </c>
      <c r="CT65">
        <v>1.424658</v>
      </c>
      <c r="CU65">
        <v>1.9329909999999999</v>
      </c>
      <c r="CW65">
        <f t="shared" si="4"/>
        <v>2315106.9928282425</v>
      </c>
      <c r="CX65">
        <f t="shared" si="10"/>
        <v>4.4985279969061764E-2</v>
      </c>
      <c r="CY65">
        <f t="shared" si="11"/>
        <v>2.7581657781929891E-3</v>
      </c>
      <c r="CZ65">
        <f t="shared" si="12"/>
        <v>1.2131981996210683E-4</v>
      </c>
      <c r="DA65">
        <f t="shared" si="13"/>
        <v>4.3712982162023788E-2</v>
      </c>
      <c r="DB65">
        <f t="shared" si="5"/>
        <v>4.3712982162023788E-2</v>
      </c>
      <c r="DC65" s="12">
        <f t="shared" si="19"/>
        <v>2.2494857355912856</v>
      </c>
      <c r="DD65" s="4">
        <f t="shared" si="20"/>
        <v>2.4980597670329128</v>
      </c>
      <c r="DE65" s="4">
        <f t="shared" si="21"/>
        <v>0.88860581680884421</v>
      </c>
      <c r="DF65" s="4">
        <f t="shared" si="22"/>
        <v>0.6583564884175358</v>
      </c>
      <c r="DG65" s="13">
        <f t="shared" si="14"/>
        <v>0.6583564884175358</v>
      </c>
      <c r="DH65" s="4">
        <f t="shared" si="15"/>
        <v>9.4828578858842665</v>
      </c>
      <c r="DI65" s="4">
        <f t="shared" si="16"/>
        <v>1.931615092422954</v>
      </c>
      <c r="DJ65" s="4">
        <f t="shared" si="17"/>
        <v>12.15888</v>
      </c>
      <c r="DK65" s="4">
        <f t="shared" si="18"/>
        <v>2.431737</v>
      </c>
      <c r="DM65" s="4"/>
      <c r="DN65" s="17"/>
    </row>
    <row r="66" spans="1:118" x14ac:dyDescent="0.3">
      <c r="A66">
        <v>2011</v>
      </c>
      <c r="B66">
        <v>312295</v>
      </c>
      <c r="C66" s="1">
        <v>15600000</v>
      </c>
      <c r="D66">
        <v>7.8047409999999999</v>
      </c>
      <c r="E66">
        <v>8.007301</v>
      </c>
      <c r="F66" s="1">
        <v>10700000</v>
      </c>
      <c r="G66">
        <v>2332562</v>
      </c>
      <c r="H66">
        <v>2511311</v>
      </c>
      <c r="I66">
        <v>636618</v>
      </c>
      <c r="J66">
        <v>-579617</v>
      </c>
      <c r="K66" s="1">
        <v>15100000</v>
      </c>
      <c r="L66">
        <v>3275637</v>
      </c>
      <c r="M66" s="1">
        <v>11900000</v>
      </c>
      <c r="N66">
        <v>8.5303900000000006</v>
      </c>
      <c r="O66">
        <v>6.0097930000000002</v>
      </c>
      <c r="P66">
        <v>10.098369999999999</v>
      </c>
      <c r="Q66">
        <v>1393221</v>
      </c>
      <c r="R66">
        <v>1766460</v>
      </c>
      <c r="S66">
        <v>1529698</v>
      </c>
      <c r="T66" s="1">
        <v>10500000</v>
      </c>
      <c r="U66">
        <v>8269258</v>
      </c>
      <c r="V66">
        <v>1583466.9</v>
      </c>
      <c r="W66">
        <v>6685791</v>
      </c>
      <c r="X66">
        <v>0.54236810000000002</v>
      </c>
      <c r="Y66">
        <v>7.2737509999999999</v>
      </c>
      <c r="Z66">
        <v>5.3872260000000001</v>
      </c>
      <c r="AA66">
        <v>8.2237829999999992</v>
      </c>
      <c r="AB66">
        <v>12.27711</v>
      </c>
      <c r="AC66">
        <v>8.4123079999999995</v>
      </c>
      <c r="AD66">
        <v>13.825939999999999</v>
      </c>
      <c r="AE66">
        <v>2.4856660000000002</v>
      </c>
      <c r="AF66">
        <v>1.248048</v>
      </c>
      <c r="AG66">
        <v>3.4754659999999999</v>
      </c>
      <c r="AH66">
        <v>0.48902970000000001</v>
      </c>
      <c r="AI66">
        <v>0.55691880000000005</v>
      </c>
      <c r="AJ66" s="1">
        <v>12200000</v>
      </c>
      <c r="AK66">
        <v>2701900</v>
      </c>
      <c r="AL66">
        <v>9523316</v>
      </c>
      <c r="AM66">
        <v>7.2013699999999998</v>
      </c>
      <c r="AN66">
        <v>8.5349909999999998</v>
      </c>
      <c r="AO66">
        <v>6.6076240000000004</v>
      </c>
      <c r="AP66">
        <v>3.8899400000000002</v>
      </c>
      <c r="AQ66">
        <v>7.7251139999999996</v>
      </c>
      <c r="AR66">
        <v>13.145</v>
      </c>
      <c r="AS66">
        <v>2922919</v>
      </c>
      <c r="AT66">
        <v>10.53857</v>
      </c>
      <c r="AU66">
        <v>6.3955149999999996</v>
      </c>
      <c r="AV66">
        <v>0.47665400000000002</v>
      </c>
      <c r="AW66">
        <v>0.52334599999999998</v>
      </c>
      <c r="AX66">
        <v>0.14449310000000001</v>
      </c>
      <c r="AY66">
        <v>0.85550680000000001</v>
      </c>
      <c r="AZ66">
        <v>39.146369999999997</v>
      </c>
      <c r="BA66">
        <v>0.52197479999999996</v>
      </c>
      <c r="BB66">
        <v>0.47802519999999998</v>
      </c>
      <c r="BC66">
        <v>0.64724230000000005</v>
      </c>
      <c r="BD66">
        <v>0</v>
      </c>
      <c r="BE66">
        <v>8.1711449999999992</v>
      </c>
      <c r="BF66">
        <v>8.1711460000000002</v>
      </c>
      <c r="BG66">
        <v>1</v>
      </c>
      <c r="BH66">
        <v>0.83056479999999999</v>
      </c>
      <c r="BI66">
        <v>0.19644420000000001</v>
      </c>
      <c r="BJ66">
        <v>0.80355580000000004</v>
      </c>
      <c r="BK66">
        <v>0.29117480000000001</v>
      </c>
      <c r="BL66" s="1">
        <v>3.9300000000000004E-15</v>
      </c>
      <c r="BM66">
        <v>6.8357409999999996</v>
      </c>
      <c r="BN66">
        <v>6.8357409999999996</v>
      </c>
      <c r="BO66">
        <v>1</v>
      </c>
      <c r="BP66">
        <v>0.44890160000000001</v>
      </c>
      <c r="BQ66">
        <v>0.1454908</v>
      </c>
      <c r="BR66">
        <v>0.85450919999999997</v>
      </c>
      <c r="BS66">
        <v>0.55497370000000001</v>
      </c>
      <c r="BT66">
        <v>0.69686530000000002</v>
      </c>
      <c r="BU66">
        <v>0.44306980000000001</v>
      </c>
      <c r="BV66">
        <v>3.9990299999999999</v>
      </c>
      <c r="BW66">
        <v>8.1608610000000006</v>
      </c>
      <c r="BX66">
        <v>2.0407099999999998</v>
      </c>
      <c r="BY66">
        <v>0</v>
      </c>
      <c r="BZ66">
        <v>0.47751310000000002</v>
      </c>
      <c r="CA66">
        <v>0.52248689999999998</v>
      </c>
      <c r="CB66">
        <v>0.14313090000000001</v>
      </c>
      <c r="CC66">
        <v>0.85686910000000005</v>
      </c>
      <c r="CD66">
        <v>8.3606859999999994</v>
      </c>
      <c r="CE66">
        <v>9.6860239999999997</v>
      </c>
      <c r="CF66">
        <v>4.0920259999999997</v>
      </c>
      <c r="CG66">
        <v>8.0323849999999997</v>
      </c>
      <c r="CH66">
        <v>1.6803189999999999</v>
      </c>
      <c r="CI66">
        <v>1.5789759999999999</v>
      </c>
      <c r="CJ66">
        <v>0.93968859999999999</v>
      </c>
      <c r="CK66">
        <v>1.334527</v>
      </c>
      <c r="CL66">
        <v>0.56350199999999995</v>
      </c>
      <c r="CM66">
        <v>0.60514999999999997</v>
      </c>
      <c r="CN66">
        <v>0.53786230000000002</v>
      </c>
      <c r="CO66">
        <v>1.4572609999999999</v>
      </c>
      <c r="CP66">
        <v>1.876787</v>
      </c>
      <c r="CQ66">
        <v>1.2950870000000001</v>
      </c>
      <c r="CR66">
        <v>1.164188</v>
      </c>
      <c r="CS66">
        <v>1.8860920000000001</v>
      </c>
      <c r="CT66">
        <v>1.4235599999999999</v>
      </c>
      <c r="CU66">
        <v>1.9437059999999999</v>
      </c>
      <c r="CW66">
        <f t="shared" si="4"/>
        <v>2361029.5652500228</v>
      </c>
      <c r="CX66">
        <f t="shared" si="10"/>
        <v>1.9641876692569227E-2</v>
      </c>
      <c r="CY66">
        <f t="shared" si="11"/>
        <v>9.6767859692610259E-3</v>
      </c>
      <c r="CZ66">
        <f t="shared" si="12"/>
        <v>2.1934814880296249E-2</v>
      </c>
      <c r="DA66">
        <f t="shared" si="13"/>
        <v>3.0576669158820305E-3</v>
      </c>
      <c r="DB66">
        <f t="shared" si="5"/>
        <v>3.0576669158820305E-3</v>
      </c>
      <c r="DC66" s="12">
        <f t="shared" si="19"/>
        <v>2.2691276122838548</v>
      </c>
      <c r="DD66" s="4">
        <f t="shared" si="20"/>
        <v>2.5077365530021738</v>
      </c>
      <c r="DE66" s="4">
        <f t="shared" si="21"/>
        <v>0.91054063168914046</v>
      </c>
      <c r="DF66" s="4">
        <f t="shared" si="22"/>
        <v>0.66141415533341785</v>
      </c>
      <c r="DG66" s="13">
        <f t="shared" si="14"/>
        <v>0.66141415533341785</v>
      </c>
      <c r="DH66" s="4">
        <f t="shared" si="15"/>
        <v>9.6709603059361182</v>
      </c>
      <c r="DI66" s="4">
        <f t="shared" ref="DI66:DI71" si="23">EXP(DF66)</f>
        <v>1.9375303668460728</v>
      </c>
      <c r="DJ66" s="4">
        <f t="shared" si="17"/>
        <v>12.27711</v>
      </c>
      <c r="DK66" s="4">
        <f t="shared" si="18"/>
        <v>2.4856660000000002</v>
      </c>
      <c r="DM66" s="4"/>
      <c r="DN66" s="17"/>
    </row>
    <row r="67" spans="1:118" x14ac:dyDescent="0.3">
      <c r="A67">
        <v>2012</v>
      </c>
      <c r="B67">
        <v>314725</v>
      </c>
      <c r="C67" s="1">
        <v>16300000</v>
      </c>
      <c r="D67">
        <v>7.9827570000000003</v>
      </c>
      <c r="E67">
        <v>8.1570689999999999</v>
      </c>
      <c r="F67" s="1">
        <v>11000000</v>
      </c>
      <c r="G67">
        <v>2621754</v>
      </c>
      <c r="H67">
        <v>2515439</v>
      </c>
      <c r="I67">
        <v>621031</v>
      </c>
      <c r="J67">
        <v>-551617</v>
      </c>
      <c r="K67" s="1">
        <v>15800000</v>
      </c>
      <c r="L67">
        <v>3377712</v>
      </c>
      <c r="M67" s="1">
        <v>12400000</v>
      </c>
      <c r="N67">
        <v>8.7006370000000004</v>
      </c>
      <c r="O67">
        <v>6.1097349999999997</v>
      </c>
      <c r="P67">
        <v>10.309139999999999</v>
      </c>
      <c r="Q67">
        <v>1497761</v>
      </c>
      <c r="R67">
        <v>1741039</v>
      </c>
      <c r="S67">
        <v>1673812</v>
      </c>
      <c r="T67" s="1">
        <v>10900000</v>
      </c>
      <c r="U67">
        <v>8658893</v>
      </c>
      <c r="V67">
        <v>1640924.1</v>
      </c>
      <c r="W67">
        <v>7017969</v>
      </c>
      <c r="X67">
        <v>0.54756640000000001</v>
      </c>
      <c r="Y67">
        <v>7.4219379999999999</v>
      </c>
      <c r="Z67">
        <v>5.4642340000000003</v>
      </c>
      <c r="AA67">
        <v>8.4050890000000003</v>
      </c>
      <c r="AB67">
        <v>12.420249999999999</v>
      </c>
      <c r="AC67">
        <v>8.5398530000000008</v>
      </c>
      <c r="AD67">
        <v>13.971439999999999</v>
      </c>
      <c r="AE67">
        <v>2.5379429999999998</v>
      </c>
      <c r="AF67">
        <v>1.2823359999999999</v>
      </c>
      <c r="AG67">
        <v>3.5433129999999999</v>
      </c>
      <c r="AH67">
        <v>0.48460839999999999</v>
      </c>
      <c r="AI67">
        <v>0.56483410000000001</v>
      </c>
      <c r="AJ67" s="1">
        <v>12600000</v>
      </c>
      <c r="AK67">
        <v>2835251</v>
      </c>
      <c r="AL67">
        <v>9758403</v>
      </c>
      <c r="AM67">
        <v>7.289587</v>
      </c>
      <c r="AN67">
        <v>8.7014689999999995</v>
      </c>
      <c r="AO67">
        <v>6.784427</v>
      </c>
      <c r="AP67">
        <v>3.9827170000000001</v>
      </c>
      <c r="AQ67">
        <v>7.7681849999999999</v>
      </c>
      <c r="AR67">
        <v>13.418950000000001</v>
      </c>
      <c r="AS67">
        <v>3171573</v>
      </c>
      <c r="AT67">
        <v>11.26253</v>
      </c>
      <c r="AU67">
        <v>6.4935080000000003</v>
      </c>
      <c r="AV67">
        <v>0.47224549999999998</v>
      </c>
      <c r="AW67">
        <v>0.52775450000000002</v>
      </c>
      <c r="AX67">
        <v>0.13824729999999999</v>
      </c>
      <c r="AY67">
        <v>0.86175270000000004</v>
      </c>
      <c r="AZ67">
        <v>40.014789999999998</v>
      </c>
      <c r="BA67">
        <v>0.52093560000000005</v>
      </c>
      <c r="BB67">
        <v>0.4790644</v>
      </c>
      <c r="BC67">
        <v>0.64724230000000005</v>
      </c>
      <c r="BD67">
        <v>0</v>
      </c>
      <c r="BE67">
        <v>8.2632290000000008</v>
      </c>
      <c r="BF67">
        <v>8.2632300000000001</v>
      </c>
      <c r="BG67">
        <v>1</v>
      </c>
      <c r="BH67">
        <v>0.83056479999999999</v>
      </c>
      <c r="BI67">
        <v>0.19578760000000001</v>
      </c>
      <c r="BJ67">
        <v>0.80421240000000005</v>
      </c>
      <c r="BK67">
        <v>0.29117480000000001</v>
      </c>
      <c r="BL67" s="1">
        <v>3.9300000000000004E-15</v>
      </c>
      <c r="BM67">
        <v>6.903416</v>
      </c>
      <c r="BN67">
        <v>6.9034170000000001</v>
      </c>
      <c r="BO67">
        <v>1</v>
      </c>
      <c r="BP67">
        <v>0.44890160000000001</v>
      </c>
      <c r="BQ67">
        <v>0.14496590000000001</v>
      </c>
      <c r="BR67">
        <v>0.85503410000000002</v>
      </c>
      <c r="BS67">
        <v>0.55497370000000001</v>
      </c>
      <c r="BT67">
        <v>0.69686530000000002</v>
      </c>
      <c r="BU67">
        <v>0.44306980000000001</v>
      </c>
      <c r="BV67">
        <v>4.0375439999999996</v>
      </c>
      <c r="BW67">
        <v>8.239986</v>
      </c>
      <c r="BX67">
        <v>2.0408409999999999</v>
      </c>
      <c r="BY67">
        <v>0</v>
      </c>
      <c r="BZ67">
        <v>0.47444969999999997</v>
      </c>
      <c r="CA67">
        <v>0.52555019999999997</v>
      </c>
      <c r="CB67">
        <v>0.1413702</v>
      </c>
      <c r="CC67">
        <v>0.8586298</v>
      </c>
      <c r="CD67">
        <v>8.8410030000000006</v>
      </c>
      <c r="CE67">
        <v>10.38186</v>
      </c>
      <c r="CF67">
        <v>3.9671650000000001</v>
      </c>
      <c r="CG67">
        <v>8.1644590000000008</v>
      </c>
      <c r="CH67">
        <v>1.6873309999999999</v>
      </c>
      <c r="CI67">
        <v>1.5876079999999999</v>
      </c>
      <c r="CJ67">
        <v>0.94089909999999999</v>
      </c>
      <c r="CK67">
        <v>1.3400259999999999</v>
      </c>
      <c r="CL67">
        <v>0.56350199999999995</v>
      </c>
      <c r="CM67">
        <v>0.60514999999999997</v>
      </c>
      <c r="CN67">
        <v>0.53786230000000002</v>
      </c>
      <c r="CO67">
        <v>1.4621949999999999</v>
      </c>
      <c r="CP67">
        <v>1.86249</v>
      </c>
      <c r="CQ67">
        <v>1.3033269999999999</v>
      </c>
      <c r="CR67">
        <v>1.168242</v>
      </c>
      <c r="CS67">
        <v>1.8898269999999999</v>
      </c>
      <c r="CT67">
        <v>1.4281740000000001</v>
      </c>
      <c r="CU67">
        <v>1.9591909999999999</v>
      </c>
      <c r="CW67">
        <f t="shared" ref="CW67:CW72" si="24">K67/AU67</f>
        <v>2433199.435497731</v>
      </c>
      <c r="CX67">
        <f t="shared" si="10"/>
        <v>3.0109251097231393E-2</v>
      </c>
      <c r="CY67">
        <f t="shared" si="11"/>
        <v>1.1591652125053642E-2</v>
      </c>
      <c r="CZ67">
        <f t="shared" si="12"/>
        <v>2.0813278722014994E-2</v>
      </c>
      <c r="DA67">
        <f t="shared" si="13"/>
        <v>1.3321193941536835E-2</v>
      </c>
      <c r="DB67">
        <f t="shared" ref="DB67:DB72" si="25">+DA67+DM67*CZ67</f>
        <v>1.3321193941536835E-2</v>
      </c>
      <c r="DC67" s="12">
        <f t="shared" si="19"/>
        <v>2.2992368633810862</v>
      </c>
      <c r="DD67" s="4">
        <f t="shared" si="20"/>
        <v>2.5193282051272274</v>
      </c>
      <c r="DE67" s="4">
        <f t="shared" si="21"/>
        <v>0.93135391041115545</v>
      </c>
      <c r="DF67" s="4">
        <f t="shared" si="22"/>
        <v>0.67473534927495471</v>
      </c>
      <c r="DG67" s="13">
        <f t="shared" si="14"/>
        <v>0.67473534927495471</v>
      </c>
      <c r="DH67" s="4">
        <f t="shared" ref="DH67:DH72" si="26">EXP(DC67)</f>
        <v>9.9665736945707728</v>
      </c>
      <c r="DI67" s="4">
        <f t="shared" si="23"/>
        <v>1.9635132619931177</v>
      </c>
      <c r="DJ67" s="4">
        <f t="shared" ref="DJ67:DK72" si="27">EXP(DD67)</f>
        <v>12.420250000000001</v>
      </c>
      <c r="DK67" s="4">
        <f t="shared" si="27"/>
        <v>2.5379429999999998</v>
      </c>
      <c r="DM67" s="4"/>
      <c r="DN67" s="17"/>
    </row>
    <row r="68" spans="1:118" x14ac:dyDescent="0.3">
      <c r="A68">
        <v>2013</v>
      </c>
      <c r="B68">
        <v>317099</v>
      </c>
      <c r="C68" s="1">
        <v>16800000</v>
      </c>
      <c r="D68">
        <v>8.1297990000000002</v>
      </c>
      <c r="E68">
        <v>8.2998899999999995</v>
      </c>
      <c r="F68" s="1">
        <v>11400000</v>
      </c>
      <c r="G68">
        <v>2826013</v>
      </c>
      <c r="H68">
        <v>2532646</v>
      </c>
      <c r="I68">
        <v>600403</v>
      </c>
      <c r="J68">
        <v>-479394</v>
      </c>
      <c r="K68" s="1">
        <v>16300000</v>
      </c>
      <c r="L68">
        <v>3547686</v>
      </c>
      <c r="M68" s="1">
        <v>12700000</v>
      </c>
      <c r="N68">
        <v>8.8285649999999993</v>
      </c>
      <c r="O68">
        <v>6.2108449999999999</v>
      </c>
      <c r="P68">
        <v>10.455489999999999</v>
      </c>
      <c r="Q68">
        <v>1568309</v>
      </c>
      <c r="R68">
        <v>1828433</v>
      </c>
      <c r="S68">
        <v>1753577</v>
      </c>
      <c r="T68" s="1">
        <v>11100000</v>
      </c>
      <c r="U68">
        <v>8849509</v>
      </c>
      <c r="V68">
        <v>1676683.9</v>
      </c>
      <c r="W68">
        <v>7172825</v>
      </c>
      <c r="X68">
        <v>0.54640350000000004</v>
      </c>
      <c r="Y68">
        <v>7.5534299999999996</v>
      </c>
      <c r="Z68">
        <v>5.6457750000000004</v>
      </c>
      <c r="AA68">
        <v>8.5184160000000002</v>
      </c>
      <c r="AB68">
        <v>12.610139999999999</v>
      </c>
      <c r="AC68">
        <v>8.7107729999999997</v>
      </c>
      <c r="AD68">
        <v>14.16333</v>
      </c>
      <c r="AE68">
        <v>2.5907659999999999</v>
      </c>
      <c r="AF68">
        <v>1.3157350000000001</v>
      </c>
      <c r="AG68">
        <v>3.6127400000000001</v>
      </c>
      <c r="AH68">
        <v>0.47921140000000001</v>
      </c>
      <c r="AI68">
        <v>0.56493610000000005</v>
      </c>
      <c r="AJ68" s="1">
        <v>13000000</v>
      </c>
      <c r="AK68">
        <v>2975271</v>
      </c>
      <c r="AL68">
        <v>9983283</v>
      </c>
      <c r="AM68">
        <v>7.3934730000000002</v>
      </c>
      <c r="AN68">
        <v>8.8670360000000006</v>
      </c>
      <c r="AO68">
        <v>7.051482</v>
      </c>
      <c r="AP68">
        <v>4.0389999999999997</v>
      </c>
      <c r="AQ68">
        <v>7.7958309999999997</v>
      </c>
      <c r="AR68">
        <v>13.74033</v>
      </c>
      <c r="AS68">
        <v>3321886</v>
      </c>
      <c r="AT68">
        <v>11.66438</v>
      </c>
      <c r="AU68">
        <v>6.5669510000000004</v>
      </c>
      <c r="AV68">
        <v>0.47211399999999998</v>
      </c>
      <c r="AW68">
        <v>0.52788599999999997</v>
      </c>
      <c r="AX68">
        <v>0.14109849999999999</v>
      </c>
      <c r="AY68">
        <v>0.85890140000000004</v>
      </c>
      <c r="AZ68">
        <v>40.865960000000001</v>
      </c>
      <c r="BA68">
        <v>0.52151400000000003</v>
      </c>
      <c r="BB68">
        <v>0.47848600000000002</v>
      </c>
      <c r="BC68">
        <v>0.64724230000000005</v>
      </c>
      <c r="BD68">
        <v>0</v>
      </c>
      <c r="BE68">
        <v>8.3735239999999997</v>
      </c>
      <c r="BF68">
        <v>8.373526</v>
      </c>
      <c r="BG68">
        <v>1</v>
      </c>
      <c r="BH68">
        <v>0.83056479999999999</v>
      </c>
      <c r="BI68">
        <v>0.19615279999999999</v>
      </c>
      <c r="BJ68">
        <v>0.80384719999999998</v>
      </c>
      <c r="BK68">
        <v>0.29117480000000001</v>
      </c>
      <c r="BL68" s="1">
        <v>3.9300000000000004E-15</v>
      </c>
      <c r="BM68">
        <v>7.0008369999999998</v>
      </c>
      <c r="BN68">
        <v>7.0008369999999998</v>
      </c>
      <c r="BO68">
        <v>1</v>
      </c>
      <c r="BP68">
        <v>0.44890160000000001</v>
      </c>
      <c r="BQ68">
        <v>0.14464109999999999</v>
      </c>
      <c r="BR68">
        <v>0.85535899999999998</v>
      </c>
      <c r="BS68">
        <v>0.55497370000000001</v>
      </c>
      <c r="BT68">
        <v>0.69686530000000002</v>
      </c>
      <c r="BU68">
        <v>0.44306980000000001</v>
      </c>
      <c r="BV68">
        <v>4.0777400000000004</v>
      </c>
      <c r="BW68">
        <v>8.3632410000000004</v>
      </c>
      <c r="BX68">
        <v>2.0509499999999998</v>
      </c>
      <c r="BY68">
        <v>0</v>
      </c>
      <c r="BZ68">
        <v>0.47217969999999998</v>
      </c>
      <c r="CA68">
        <v>0.52782019999999996</v>
      </c>
      <c r="CB68">
        <v>0.13967289999999999</v>
      </c>
      <c r="CC68">
        <v>0.86032710000000001</v>
      </c>
      <c r="CD68">
        <v>9.1067300000000007</v>
      </c>
      <c r="CE68">
        <v>10.72437</v>
      </c>
      <c r="CF68">
        <v>4.0984769999999999</v>
      </c>
      <c r="CG68">
        <v>8.2560310000000001</v>
      </c>
      <c r="CH68">
        <v>1.683424</v>
      </c>
      <c r="CI68">
        <v>1.5921369999999999</v>
      </c>
      <c r="CJ68">
        <v>0.94577290000000003</v>
      </c>
      <c r="CK68">
        <v>1.350252</v>
      </c>
      <c r="CL68">
        <v>0.56350199999999995</v>
      </c>
      <c r="CM68">
        <v>0.60514999999999997</v>
      </c>
      <c r="CN68">
        <v>0.53786230000000002</v>
      </c>
      <c r="CO68">
        <v>1.4612160000000001</v>
      </c>
      <c r="CP68">
        <v>1.880352</v>
      </c>
      <c r="CQ68">
        <v>1.29878</v>
      </c>
      <c r="CR68">
        <v>1.172857</v>
      </c>
      <c r="CS68">
        <v>1.904544</v>
      </c>
      <c r="CT68">
        <v>1.4273199999999999</v>
      </c>
      <c r="CU68">
        <v>1.96445</v>
      </c>
      <c r="CW68">
        <f t="shared" si="24"/>
        <v>2482126.0277410322</v>
      </c>
      <c r="CX68">
        <f t="shared" ref="CX68:CX72" si="28">LN(CW68)-LN(CW67)</f>
        <v>1.990843071745374E-2</v>
      </c>
      <c r="CY68">
        <f t="shared" ref="CY68:CY71" si="29">LN(AB68)-LN(AB67)</f>
        <v>1.5173047087732705E-2</v>
      </c>
      <c r="CZ68">
        <f t="shared" ref="CZ68:CZ72" si="30">LN(AE68)-LN(AE67)</f>
        <v>2.0599674469777396E-2</v>
      </c>
      <c r="DA68">
        <f t="shared" ref="DA68:DA72" si="31">CX68-(1-CL68)*CY68-CL68*CZ68</f>
        <v>1.6774682466840878E-3</v>
      </c>
      <c r="DB68">
        <f t="shared" si="25"/>
        <v>1.6774682466840878E-3</v>
      </c>
      <c r="DC68" s="12">
        <f t="shared" ref="DC68:DC71" si="32">DC67+CX68</f>
        <v>2.31914529409854</v>
      </c>
      <c r="DD68" s="4">
        <f t="shared" ref="DD68:DF72" si="33">DD67+CY68</f>
        <v>2.5345012522149601</v>
      </c>
      <c r="DE68" s="4">
        <f t="shared" si="33"/>
        <v>0.95195358488093285</v>
      </c>
      <c r="DF68" s="4">
        <f t="shared" si="33"/>
        <v>0.67641281752163884</v>
      </c>
      <c r="DG68" s="13">
        <f t="shared" ref="DG68:DG72" si="34">+DG67+DB68</f>
        <v>0.67641281752163884</v>
      </c>
      <c r="DH68" s="4">
        <f t="shared" si="26"/>
        <v>10.166980812911786</v>
      </c>
      <c r="DI68" s="4">
        <f t="shared" si="23"/>
        <v>1.9668097572521148</v>
      </c>
      <c r="DJ68" s="4">
        <f t="shared" si="27"/>
        <v>12.610139999999999</v>
      </c>
      <c r="DK68" s="4">
        <f t="shared" si="27"/>
        <v>2.5907659999999999</v>
      </c>
      <c r="DM68" s="4"/>
      <c r="DN68" s="17"/>
    </row>
    <row r="69" spans="1:118" x14ac:dyDescent="0.3">
      <c r="A69">
        <v>2014</v>
      </c>
      <c r="B69">
        <v>319601</v>
      </c>
      <c r="C69" s="1">
        <v>17600000</v>
      </c>
      <c r="D69">
        <v>8.3157969999999999</v>
      </c>
      <c r="E69">
        <v>8.4550830000000001</v>
      </c>
      <c r="F69" s="1">
        <v>11800000</v>
      </c>
      <c r="G69">
        <v>3044178</v>
      </c>
      <c r="H69">
        <v>2566254</v>
      </c>
      <c r="I69">
        <v>602567</v>
      </c>
      <c r="J69">
        <v>-510037</v>
      </c>
      <c r="K69" s="1">
        <v>17000000</v>
      </c>
      <c r="L69">
        <v>3691205</v>
      </c>
      <c r="M69" s="1">
        <v>13300000</v>
      </c>
      <c r="N69">
        <v>9.0037769999999995</v>
      </c>
      <c r="O69">
        <v>6.3480109999999996</v>
      </c>
      <c r="P69">
        <v>10.65648</v>
      </c>
      <c r="Q69">
        <v>1695022</v>
      </c>
      <c r="R69">
        <v>1830646</v>
      </c>
      <c r="S69">
        <v>1867758</v>
      </c>
      <c r="T69" s="1">
        <v>11600000</v>
      </c>
      <c r="U69">
        <v>9245439</v>
      </c>
      <c r="V69">
        <v>1778240.8</v>
      </c>
      <c r="W69">
        <v>7467198.5</v>
      </c>
      <c r="X69">
        <v>0.54428169999999998</v>
      </c>
      <c r="Y69">
        <v>7.7175099999999999</v>
      </c>
      <c r="Z69">
        <v>5.7472409999999998</v>
      </c>
      <c r="AA69">
        <v>8.7123740000000005</v>
      </c>
      <c r="AB69">
        <v>12.81054</v>
      </c>
      <c r="AC69">
        <v>8.9021609999999995</v>
      </c>
      <c r="AD69">
        <v>14.35984</v>
      </c>
      <c r="AE69">
        <v>2.6348669999999998</v>
      </c>
      <c r="AF69">
        <v>1.3451820000000001</v>
      </c>
      <c r="AG69">
        <v>3.6696849999999999</v>
      </c>
      <c r="AH69">
        <v>0.4771821</v>
      </c>
      <c r="AI69">
        <v>0.56296080000000004</v>
      </c>
      <c r="AJ69" s="1">
        <v>13400000</v>
      </c>
      <c r="AK69">
        <v>3041463</v>
      </c>
      <c r="AL69" s="1">
        <v>10400000</v>
      </c>
      <c r="AM69">
        <v>7.510885</v>
      </c>
      <c r="AN69">
        <v>9.0296269999999996</v>
      </c>
      <c r="AO69">
        <v>7.2728289999999998</v>
      </c>
      <c r="AP69">
        <v>4.00448</v>
      </c>
      <c r="AQ69">
        <v>7.9014139999999999</v>
      </c>
      <c r="AR69">
        <v>14.072749999999999</v>
      </c>
      <c r="AS69">
        <v>3562780</v>
      </c>
      <c r="AT69">
        <v>12.263210000000001</v>
      </c>
      <c r="AU69">
        <v>6.6992409999999998</v>
      </c>
      <c r="AV69">
        <v>0.47575830000000002</v>
      </c>
      <c r="AW69">
        <v>0.52424170000000003</v>
      </c>
      <c r="AX69">
        <v>0.13660069999999999</v>
      </c>
      <c r="AY69">
        <v>0.86339929999999998</v>
      </c>
      <c r="AZ69">
        <v>41.93177</v>
      </c>
      <c r="BA69">
        <v>0.5222135</v>
      </c>
      <c r="BB69">
        <v>0.4777865</v>
      </c>
      <c r="BC69">
        <v>0.64724230000000005</v>
      </c>
      <c r="BD69">
        <v>0</v>
      </c>
      <c r="BE69">
        <v>8.4839509999999994</v>
      </c>
      <c r="BF69">
        <v>8.4839529999999996</v>
      </c>
      <c r="BG69">
        <v>1</v>
      </c>
      <c r="BH69">
        <v>0.83056479999999999</v>
      </c>
      <c r="BI69">
        <v>0.1965953</v>
      </c>
      <c r="BJ69">
        <v>0.80340469999999997</v>
      </c>
      <c r="BK69">
        <v>0.29117480000000001</v>
      </c>
      <c r="BL69" s="1">
        <v>3.9300000000000004E-15</v>
      </c>
      <c r="BM69">
        <v>7.0996370000000004</v>
      </c>
      <c r="BN69">
        <v>7.0996370000000004</v>
      </c>
      <c r="BO69">
        <v>1</v>
      </c>
      <c r="BP69">
        <v>0.44890160000000001</v>
      </c>
      <c r="BQ69">
        <v>0.1443856</v>
      </c>
      <c r="BR69">
        <v>0.8556144</v>
      </c>
      <c r="BS69">
        <v>0.55497370000000001</v>
      </c>
      <c r="BT69">
        <v>0.69686530000000002</v>
      </c>
      <c r="BU69">
        <v>0.44306980000000001</v>
      </c>
      <c r="BV69">
        <v>4.1186949999999998</v>
      </c>
      <c r="BW69">
        <v>8.4884730000000008</v>
      </c>
      <c r="BX69">
        <v>2.060962</v>
      </c>
      <c r="BY69">
        <v>0</v>
      </c>
      <c r="BZ69">
        <v>0.47393610000000003</v>
      </c>
      <c r="CA69">
        <v>0.52606390000000003</v>
      </c>
      <c r="CB69">
        <v>0.13884959999999999</v>
      </c>
      <c r="CC69">
        <v>0.86115039999999998</v>
      </c>
      <c r="CD69">
        <v>9.6298410000000008</v>
      </c>
      <c r="CE69">
        <v>11.20722</v>
      </c>
      <c r="CF69">
        <v>4.0147709999999996</v>
      </c>
      <c r="CG69">
        <v>8.4210229999999999</v>
      </c>
      <c r="CH69">
        <v>1.678712</v>
      </c>
      <c r="CI69">
        <v>1.5907</v>
      </c>
      <c r="CJ69">
        <v>0.94757179999999996</v>
      </c>
      <c r="CK69">
        <v>1.347858</v>
      </c>
      <c r="CL69">
        <v>0.56350199999999995</v>
      </c>
      <c r="CM69">
        <v>0.60514999999999997</v>
      </c>
      <c r="CN69">
        <v>0.53786230000000002</v>
      </c>
      <c r="CO69">
        <v>1.468683</v>
      </c>
      <c r="CP69">
        <v>1.872571</v>
      </c>
      <c r="CQ69">
        <v>1.3088010000000001</v>
      </c>
      <c r="CR69">
        <v>1.1733560000000001</v>
      </c>
      <c r="CS69">
        <v>1.9073659999999999</v>
      </c>
      <c r="CT69">
        <v>1.4345589999999999</v>
      </c>
      <c r="CU69">
        <v>1.9739089999999999</v>
      </c>
      <c r="CW69">
        <f t="shared" si="24"/>
        <v>2537600.9013558403</v>
      </c>
      <c r="CX69">
        <f t="shared" si="28"/>
        <v>2.2103645476560629E-2</v>
      </c>
      <c r="CY69">
        <f t="shared" si="29"/>
        <v>1.5767017371948633E-2</v>
      </c>
      <c r="CZ69">
        <f t="shared" si="30"/>
        <v>1.6879121455216528E-2</v>
      </c>
      <c r="DA69">
        <f t="shared" si="31"/>
        <v>5.7099552294823715E-3</v>
      </c>
      <c r="DB69">
        <f t="shared" si="25"/>
        <v>5.7099552294823715E-3</v>
      </c>
      <c r="DC69" s="12">
        <f t="shared" si="32"/>
        <v>2.3412489395751006</v>
      </c>
      <c r="DD69" s="4">
        <f t="shared" si="33"/>
        <v>2.5502682695869088</v>
      </c>
      <c r="DE69" s="4">
        <f t="shared" si="33"/>
        <v>0.96883270633614937</v>
      </c>
      <c r="DF69" s="4">
        <f t="shared" si="33"/>
        <v>0.68212277275112121</v>
      </c>
      <c r="DG69" s="13">
        <f t="shared" si="34"/>
        <v>0.68212277275112121</v>
      </c>
      <c r="DH69" s="4">
        <f t="shared" si="26"/>
        <v>10.394210199871539</v>
      </c>
      <c r="DI69" s="4">
        <f t="shared" si="23"/>
        <v>1.9780722765515568</v>
      </c>
      <c r="DJ69" s="4">
        <f t="shared" si="27"/>
        <v>12.81054</v>
      </c>
      <c r="DK69" s="4">
        <f t="shared" si="27"/>
        <v>2.6348669999999998</v>
      </c>
      <c r="DM69" s="4"/>
      <c r="DN69" s="17"/>
    </row>
    <row r="70" spans="1:118" x14ac:dyDescent="0.3">
      <c r="A70">
        <v>2015</v>
      </c>
      <c r="B70">
        <v>322113</v>
      </c>
      <c r="C70" s="1">
        <v>18200000</v>
      </c>
      <c r="D70">
        <v>8.5408310000000007</v>
      </c>
      <c r="E70">
        <v>8.5396999999999998</v>
      </c>
      <c r="F70" s="1">
        <v>12300000</v>
      </c>
      <c r="G70">
        <v>3237161</v>
      </c>
      <c r="H70">
        <v>2608983</v>
      </c>
      <c r="I70">
        <v>622602</v>
      </c>
      <c r="J70">
        <v>-526199</v>
      </c>
      <c r="K70" s="1">
        <v>17600000</v>
      </c>
      <c r="L70">
        <v>3633274</v>
      </c>
      <c r="M70" s="1">
        <v>13900000</v>
      </c>
      <c r="N70">
        <v>9.0815699999999993</v>
      </c>
      <c r="O70">
        <v>6.0942129999999999</v>
      </c>
      <c r="P70">
        <v>10.892530000000001</v>
      </c>
      <c r="Q70">
        <v>1747533</v>
      </c>
      <c r="R70">
        <v>1735359</v>
      </c>
      <c r="S70">
        <v>1975446</v>
      </c>
      <c r="T70" s="1">
        <v>12100000</v>
      </c>
      <c r="U70">
        <v>9481602</v>
      </c>
      <c r="V70">
        <v>1913431.6</v>
      </c>
      <c r="W70">
        <v>7568170.5</v>
      </c>
      <c r="X70">
        <v>0.54239150000000003</v>
      </c>
      <c r="Y70">
        <v>7.9225839999999996</v>
      </c>
      <c r="Z70">
        <v>5.8926340000000001</v>
      </c>
      <c r="AA70">
        <v>8.9468779999999999</v>
      </c>
      <c r="AB70">
        <v>13.25835</v>
      </c>
      <c r="AC70">
        <v>8.9749359999999996</v>
      </c>
      <c r="AD70">
        <v>14.97885</v>
      </c>
      <c r="AE70">
        <v>2.6971340000000001</v>
      </c>
      <c r="AF70">
        <v>1.363334</v>
      </c>
      <c r="AG70">
        <v>3.7655940000000001</v>
      </c>
      <c r="AH70">
        <v>0.50419599999999998</v>
      </c>
      <c r="AI70">
        <v>0.5528999</v>
      </c>
      <c r="AJ70" s="1">
        <v>13800000</v>
      </c>
      <c r="AK70">
        <v>3122385</v>
      </c>
      <c r="AL70" s="1">
        <v>10700000</v>
      </c>
      <c r="AM70">
        <v>7.6960709999999999</v>
      </c>
      <c r="AN70">
        <v>9.124288</v>
      </c>
      <c r="AO70">
        <v>7.375839</v>
      </c>
      <c r="AP70">
        <v>4.0633699999999999</v>
      </c>
      <c r="AQ70">
        <v>8.0815999999999999</v>
      </c>
      <c r="AR70">
        <v>14.27155</v>
      </c>
      <c r="AS70">
        <v>3722979</v>
      </c>
      <c r="AT70">
        <v>12.711</v>
      </c>
      <c r="AU70">
        <v>6.7538489999999998</v>
      </c>
      <c r="AV70">
        <v>0.469391</v>
      </c>
      <c r="AW70">
        <v>0.530609</v>
      </c>
      <c r="AX70">
        <v>0.1253647</v>
      </c>
      <c r="AY70">
        <v>0.8746353</v>
      </c>
      <c r="AZ70">
        <v>42.973999999999997</v>
      </c>
      <c r="BA70">
        <v>0.5065501</v>
      </c>
      <c r="BB70">
        <v>0.4934499</v>
      </c>
      <c r="BC70">
        <v>0.64724230000000005</v>
      </c>
      <c r="BD70">
        <v>0</v>
      </c>
      <c r="BE70">
        <v>8.8543210000000006</v>
      </c>
      <c r="BF70">
        <v>8.8543210000000006</v>
      </c>
      <c r="BG70">
        <v>1</v>
      </c>
      <c r="BH70">
        <v>0.83056479999999999</v>
      </c>
      <c r="BI70">
        <v>0.1868784</v>
      </c>
      <c r="BJ70">
        <v>0.8131216</v>
      </c>
      <c r="BK70">
        <v>0.29117480000000001</v>
      </c>
      <c r="BL70" s="1">
        <v>3.9300000000000004E-15</v>
      </c>
      <c r="BM70">
        <v>7.261145</v>
      </c>
      <c r="BN70">
        <v>7.261145</v>
      </c>
      <c r="BO70">
        <v>1</v>
      </c>
      <c r="BP70">
        <v>0.44890160000000001</v>
      </c>
      <c r="BQ70">
        <v>0.1380092</v>
      </c>
      <c r="BR70">
        <v>0.86199079999999995</v>
      </c>
      <c r="BS70">
        <v>0.55497370000000001</v>
      </c>
      <c r="BT70">
        <v>0.69686530000000002</v>
      </c>
      <c r="BU70">
        <v>0.44306980000000001</v>
      </c>
      <c r="BV70">
        <v>4.2357120000000004</v>
      </c>
      <c r="BW70">
        <v>8.6417549999999999</v>
      </c>
      <c r="BX70">
        <v>2.0402130000000001</v>
      </c>
      <c r="BY70">
        <v>0</v>
      </c>
      <c r="BZ70">
        <v>0.47257470000000001</v>
      </c>
      <c r="CA70">
        <v>0.52742529999999999</v>
      </c>
      <c r="CB70">
        <v>0.13098270000000001</v>
      </c>
      <c r="CC70">
        <v>0.86901729999999999</v>
      </c>
      <c r="CD70">
        <v>10.34163</v>
      </c>
      <c r="CE70">
        <v>11.59652</v>
      </c>
      <c r="CF70">
        <v>3.9642940000000002</v>
      </c>
      <c r="CG70">
        <v>8.6204129999999992</v>
      </c>
      <c r="CH70">
        <v>1.7873559999999999</v>
      </c>
      <c r="CI70">
        <v>1.6127880000000001</v>
      </c>
      <c r="CJ70">
        <v>0.90233189999999996</v>
      </c>
      <c r="CK70">
        <v>1.350976</v>
      </c>
      <c r="CL70">
        <v>0.56350199999999995</v>
      </c>
      <c r="CM70">
        <v>0.60514999999999997</v>
      </c>
      <c r="CN70">
        <v>0.53786230000000002</v>
      </c>
      <c r="CO70">
        <v>1.4658450000000001</v>
      </c>
      <c r="CP70">
        <v>1.898736</v>
      </c>
      <c r="CQ70">
        <v>1.3004519999999999</v>
      </c>
      <c r="CR70">
        <v>1.154911</v>
      </c>
      <c r="CS70">
        <v>1.8866830000000001</v>
      </c>
      <c r="CT70">
        <v>1.431818</v>
      </c>
      <c r="CU70">
        <v>1.97105</v>
      </c>
      <c r="CW70">
        <f t="shared" si="24"/>
        <v>2605921.4530854924</v>
      </c>
      <c r="CX70">
        <f t="shared" si="28"/>
        <v>2.6567229793904801E-2</v>
      </c>
      <c r="CY70">
        <f t="shared" si="29"/>
        <v>3.4359273039066718E-2</v>
      </c>
      <c r="CZ70">
        <f t="shared" si="30"/>
        <v>2.3357021422194868E-2</v>
      </c>
      <c r="DA70">
        <f t="shared" si="31"/>
        <v>-1.5922524545513971E-3</v>
      </c>
      <c r="DB70">
        <f t="shared" si="25"/>
        <v>-1.5922524545513971E-3</v>
      </c>
      <c r="DC70" s="12">
        <f t="shared" si="32"/>
        <v>2.3678161693690054</v>
      </c>
      <c r="DD70" s="4">
        <f t="shared" si="33"/>
        <v>2.5846275426259755</v>
      </c>
      <c r="DE70" s="4">
        <f t="shared" si="33"/>
        <v>0.99218972775834424</v>
      </c>
      <c r="DF70" s="4">
        <f t="shared" si="33"/>
        <v>0.6805305202965698</v>
      </c>
      <c r="DG70" s="13">
        <f t="shared" si="34"/>
        <v>0.6805305202965698</v>
      </c>
      <c r="DH70" s="4">
        <f t="shared" si="26"/>
        <v>10.674056481164145</v>
      </c>
      <c r="DI70" s="4">
        <f t="shared" si="23"/>
        <v>1.9749251922551769</v>
      </c>
      <c r="DJ70" s="4">
        <f t="shared" si="27"/>
        <v>13.258350000000004</v>
      </c>
      <c r="DK70" s="4">
        <f t="shared" si="27"/>
        <v>2.6971340000000001</v>
      </c>
      <c r="DM70" s="4"/>
      <c r="DN70" s="17"/>
    </row>
    <row r="71" spans="1:118" x14ac:dyDescent="0.3">
      <c r="A71">
        <v>2016</v>
      </c>
      <c r="B71">
        <v>324609</v>
      </c>
      <c r="C71" s="1">
        <v>18700000</v>
      </c>
      <c r="D71">
        <v>8.6832429999999992</v>
      </c>
      <c r="E71">
        <v>8.6252870000000001</v>
      </c>
      <c r="F71" s="1">
        <v>12700000</v>
      </c>
      <c r="G71">
        <v>3205037</v>
      </c>
      <c r="H71">
        <v>2663108</v>
      </c>
      <c r="I71">
        <v>639945</v>
      </c>
      <c r="J71">
        <v>-506250</v>
      </c>
      <c r="K71" s="1">
        <v>18000000</v>
      </c>
      <c r="L71">
        <v>3590454</v>
      </c>
      <c r="M71" s="1">
        <v>14400000</v>
      </c>
      <c r="N71">
        <v>9.1929909999999992</v>
      </c>
      <c r="O71">
        <v>6.0043670000000002</v>
      </c>
      <c r="P71">
        <v>11.10238</v>
      </c>
      <c r="Q71">
        <v>1768812</v>
      </c>
      <c r="R71">
        <v>1686078</v>
      </c>
      <c r="S71">
        <v>2039911</v>
      </c>
      <c r="T71" s="1">
        <v>12500000</v>
      </c>
      <c r="U71">
        <v>9777438</v>
      </c>
      <c r="V71">
        <v>1943353.5</v>
      </c>
      <c r="W71">
        <v>7834084.5</v>
      </c>
      <c r="X71">
        <v>0.54108750000000005</v>
      </c>
      <c r="Y71">
        <v>8.0320420000000006</v>
      </c>
      <c r="Z71">
        <v>5.9103209999999997</v>
      </c>
      <c r="AA71">
        <v>9.0952979999999997</v>
      </c>
      <c r="AB71">
        <v>13.81265</v>
      </c>
      <c r="AC71">
        <v>9.0388800000000007</v>
      </c>
      <c r="AD71">
        <v>15.74295</v>
      </c>
      <c r="AE71">
        <v>2.7511019999999999</v>
      </c>
      <c r="AF71">
        <v>1.377327</v>
      </c>
      <c r="AG71">
        <v>3.8501880000000002</v>
      </c>
      <c r="AH71">
        <v>0.53394850000000005</v>
      </c>
      <c r="AI71">
        <v>0.54294240000000005</v>
      </c>
      <c r="AJ71" s="1">
        <v>14200000</v>
      </c>
      <c r="AK71">
        <v>3110745</v>
      </c>
      <c r="AL71" s="1">
        <v>11100000</v>
      </c>
      <c r="AM71">
        <v>7.8153280000000001</v>
      </c>
      <c r="AN71">
        <v>9.2352810000000005</v>
      </c>
      <c r="AO71">
        <v>7.6559299999999997</v>
      </c>
      <c r="AP71">
        <v>3.9028809999999998</v>
      </c>
      <c r="AQ71">
        <v>8.2278830000000003</v>
      </c>
      <c r="AR71">
        <v>14.53424</v>
      </c>
      <c r="AS71">
        <v>3808723</v>
      </c>
      <c r="AT71">
        <v>12.981529999999999</v>
      </c>
      <c r="AU71">
        <v>6.7654100000000001</v>
      </c>
      <c r="AV71">
        <v>0.46441080000000001</v>
      </c>
      <c r="AW71">
        <v>0.53558919999999999</v>
      </c>
      <c r="AX71">
        <v>0.11858829999999999</v>
      </c>
      <c r="AY71">
        <v>0.88141170000000002</v>
      </c>
      <c r="AZ71">
        <v>43.800109999999997</v>
      </c>
      <c r="BA71">
        <v>0.49806669999999997</v>
      </c>
      <c r="BB71">
        <v>0.50193330000000003</v>
      </c>
      <c r="BC71">
        <v>0.64724230000000005</v>
      </c>
      <c r="BD71">
        <v>0</v>
      </c>
      <c r="BE71">
        <v>9.0759570000000007</v>
      </c>
      <c r="BF71">
        <v>9.075958</v>
      </c>
      <c r="BG71">
        <v>1</v>
      </c>
      <c r="BH71">
        <v>0.83056479999999999</v>
      </c>
      <c r="BI71">
        <v>0.18177650000000001</v>
      </c>
      <c r="BJ71">
        <v>0.81822349999999999</v>
      </c>
      <c r="BK71">
        <v>0.29117480000000001</v>
      </c>
      <c r="BL71" s="1">
        <v>3.9300000000000004E-15</v>
      </c>
      <c r="BM71">
        <v>7.363016</v>
      </c>
      <c r="BN71">
        <v>7.363016</v>
      </c>
      <c r="BO71">
        <v>1</v>
      </c>
      <c r="BP71">
        <v>0.44890160000000001</v>
      </c>
      <c r="BQ71">
        <v>0.13478689999999999</v>
      </c>
      <c r="BR71">
        <v>0.86521309999999996</v>
      </c>
      <c r="BS71">
        <v>0.55497370000000001</v>
      </c>
      <c r="BT71">
        <v>0.69686530000000002</v>
      </c>
      <c r="BU71">
        <v>0.44306980000000001</v>
      </c>
      <c r="BV71">
        <v>4.3125900000000001</v>
      </c>
      <c r="BW71">
        <v>8.7409099999999995</v>
      </c>
      <c r="BX71">
        <v>2.0268350000000002</v>
      </c>
      <c r="BY71">
        <v>0</v>
      </c>
      <c r="BZ71">
        <v>0.46690090000000001</v>
      </c>
      <c r="CA71">
        <v>0.53309910000000005</v>
      </c>
      <c r="CB71">
        <v>0.1219765</v>
      </c>
      <c r="CC71">
        <v>0.87802349999999996</v>
      </c>
      <c r="CD71">
        <v>10.62419</v>
      </c>
      <c r="CE71">
        <v>11.7486</v>
      </c>
      <c r="CF71">
        <v>3.9093499999999999</v>
      </c>
      <c r="CG71">
        <v>8.7541519999999995</v>
      </c>
      <c r="CH71">
        <v>1.849051</v>
      </c>
      <c r="CI71">
        <v>1.641051</v>
      </c>
      <c r="CJ71">
        <v>0.88750969999999996</v>
      </c>
      <c r="CK71">
        <v>1.365073</v>
      </c>
      <c r="CL71">
        <v>0.56350199999999995</v>
      </c>
      <c r="CM71">
        <v>0.60514999999999997</v>
      </c>
      <c r="CN71">
        <v>0.53786230000000002</v>
      </c>
      <c r="CO71">
        <v>1.4435579999999999</v>
      </c>
      <c r="CP71">
        <v>1.8876489999999999</v>
      </c>
      <c r="CQ71">
        <v>1.2775300000000001</v>
      </c>
      <c r="CR71">
        <v>1.156677</v>
      </c>
      <c r="CS71">
        <v>1.8685989999999999</v>
      </c>
      <c r="CT71">
        <v>1.4102520000000001</v>
      </c>
      <c r="CU71">
        <v>1.9615389999999999</v>
      </c>
      <c r="CW71">
        <f t="shared" si="24"/>
        <v>2660592.6322277584</v>
      </c>
      <c r="CX71">
        <f t="shared" si="28"/>
        <v>2.0762554596920779E-2</v>
      </c>
      <c r="CY71">
        <f t="shared" si="29"/>
        <v>4.0957296321536329E-2</v>
      </c>
      <c r="CZ71">
        <f t="shared" si="30"/>
        <v>1.9811830923132767E-2</v>
      </c>
      <c r="DA71">
        <f t="shared" si="31"/>
        <v>-8.2792296816843469E-3</v>
      </c>
      <c r="DB71">
        <f t="shared" si="25"/>
        <v>-8.2792296816843469E-3</v>
      </c>
      <c r="DC71" s="12">
        <f t="shared" si="32"/>
        <v>2.3885787239659262</v>
      </c>
      <c r="DD71" s="4">
        <f t="shared" si="33"/>
        <v>2.6255848389475118</v>
      </c>
      <c r="DE71" s="4">
        <f t="shared" si="33"/>
        <v>1.012001558681477</v>
      </c>
      <c r="DF71" s="4">
        <f t="shared" si="33"/>
        <v>0.67225129061488542</v>
      </c>
      <c r="DG71" s="13">
        <f t="shared" si="34"/>
        <v>0.67225129061488542</v>
      </c>
      <c r="DH71" s="4">
        <f t="shared" si="26"/>
        <v>10.897993873200825</v>
      </c>
      <c r="DI71" s="4">
        <f t="shared" si="23"/>
        <v>1.9586418328333468</v>
      </c>
      <c r="DJ71" s="4">
        <f t="shared" si="27"/>
        <v>13.812649999999998</v>
      </c>
      <c r="DK71" s="4">
        <f t="shared" si="27"/>
        <v>2.7511019999999999</v>
      </c>
      <c r="DM71" s="4"/>
      <c r="DN71" s="17"/>
    </row>
    <row r="72" spans="1:118" x14ac:dyDescent="0.3">
      <c r="A72">
        <v>2017</v>
      </c>
      <c r="B72">
        <v>326860</v>
      </c>
      <c r="C72" s="1">
        <v>19500000</v>
      </c>
      <c r="D72">
        <v>8.8779420000000009</v>
      </c>
      <c r="E72">
        <v>8.7891069999999996</v>
      </c>
      <c r="F72" s="1">
        <v>13200000</v>
      </c>
      <c r="G72">
        <v>3385624</v>
      </c>
      <c r="H72">
        <v>2726560</v>
      </c>
      <c r="I72">
        <v>668277</v>
      </c>
      <c r="J72">
        <v>-536734</v>
      </c>
      <c r="K72" s="1">
        <v>18800000</v>
      </c>
      <c r="L72">
        <v>3794884</v>
      </c>
      <c r="M72" s="1">
        <v>15000000</v>
      </c>
      <c r="N72">
        <v>9.4143969999999992</v>
      </c>
      <c r="O72">
        <v>6.2614239999999999</v>
      </c>
      <c r="P72">
        <v>11.31823</v>
      </c>
      <c r="Q72">
        <v>1876510</v>
      </c>
      <c r="R72">
        <v>1798890</v>
      </c>
      <c r="S72">
        <v>2145202</v>
      </c>
      <c r="T72" s="1">
        <v>13000000</v>
      </c>
      <c r="U72">
        <v>10225408</v>
      </c>
      <c r="V72">
        <v>2023748.8</v>
      </c>
      <c r="W72">
        <v>8201659.5</v>
      </c>
      <c r="X72">
        <v>0.54298959999999996</v>
      </c>
      <c r="Y72">
        <v>8.1843500000000002</v>
      </c>
      <c r="Z72">
        <v>5.9903810000000002</v>
      </c>
      <c r="AA72">
        <v>9.2801620000000007</v>
      </c>
      <c r="AB72">
        <v>14.540050000000001</v>
      </c>
      <c r="AC72">
        <v>9.0580610000000004</v>
      </c>
      <c r="AD72">
        <v>16.78096</v>
      </c>
      <c r="AE72">
        <v>2.7782360000000001</v>
      </c>
      <c r="AF72">
        <v>1.391302</v>
      </c>
      <c r="AG72">
        <v>3.8878919999999999</v>
      </c>
      <c r="AH72">
        <v>0.53726960000000001</v>
      </c>
      <c r="AI72">
        <v>0.5444329</v>
      </c>
      <c r="AJ72" s="1">
        <v>14800000</v>
      </c>
      <c r="AK72">
        <v>3223072</v>
      </c>
      <c r="AL72" s="1">
        <v>11600000</v>
      </c>
      <c r="AM72">
        <v>7.9586439999999996</v>
      </c>
      <c r="AN72">
        <v>9.4157650000000004</v>
      </c>
      <c r="AO72">
        <v>7.9297180000000003</v>
      </c>
      <c r="AP72">
        <v>3.8969179999999999</v>
      </c>
      <c r="AQ72">
        <v>8.3392180000000007</v>
      </c>
      <c r="AR72">
        <v>14.904859999999999</v>
      </c>
      <c r="AS72">
        <v>4021712</v>
      </c>
      <c r="AT72">
        <v>13.480119999999999</v>
      </c>
      <c r="AU72">
        <v>6.8795140000000004</v>
      </c>
      <c r="AV72">
        <v>0.46659479999999998</v>
      </c>
      <c r="AW72">
        <v>0.53340520000000002</v>
      </c>
      <c r="AX72">
        <v>0.1216358</v>
      </c>
      <c r="AY72">
        <v>0.87836409999999998</v>
      </c>
      <c r="AZ72">
        <v>45.246110000000002</v>
      </c>
      <c r="BA72">
        <v>0.50373290000000004</v>
      </c>
      <c r="BB72">
        <v>0.49626710000000002</v>
      </c>
      <c r="BC72">
        <v>0.64724230000000005</v>
      </c>
      <c r="BD72">
        <v>0</v>
      </c>
      <c r="BE72">
        <v>9.1560170000000003</v>
      </c>
      <c r="BF72">
        <v>9.1560190000000006</v>
      </c>
      <c r="BG72">
        <v>1</v>
      </c>
      <c r="BH72">
        <v>0.83056479999999999</v>
      </c>
      <c r="BI72">
        <v>0.1851719</v>
      </c>
      <c r="BJ72">
        <v>0.81482810000000006</v>
      </c>
      <c r="BK72">
        <v>0.29117480000000001</v>
      </c>
      <c r="BL72" s="1">
        <v>3.9300000000000004E-15</v>
      </c>
      <c r="BM72">
        <v>7.4816010000000004</v>
      </c>
      <c r="BN72">
        <v>7.4816010000000004</v>
      </c>
      <c r="BO72">
        <v>1</v>
      </c>
      <c r="BP72">
        <v>0.44890160000000001</v>
      </c>
      <c r="BQ72">
        <v>0.1359313</v>
      </c>
      <c r="BR72">
        <v>0.86406859999999996</v>
      </c>
      <c r="BS72">
        <v>0.55497370000000001</v>
      </c>
      <c r="BT72">
        <v>0.69686530000000002</v>
      </c>
      <c r="BU72">
        <v>0.44306980000000001</v>
      </c>
      <c r="BV72">
        <v>4.3382199999999997</v>
      </c>
      <c r="BW72">
        <v>8.906898</v>
      </c>
      <c r="BX72">
        <v>2.0531229999999998</v>
      </c>
      <c r="BY72">
        <v>0.98539940000000004</v>
      </c>
      <c r="BZ72">
        <v>0.46550279999999999</v>
      </c>
      <c r="CA72">
        <v>0.53449720000000001</v>
      </c>
      <c r="CB72">
        <v>0.1201121</v>
      </c>
      <c r="CC72">
        <v>0.87988789999999995</v>
      </c>
      <c r="CD72">
        <v>10.808350000000001</v>
      </c>
      <c r="CE72">
        <v>12.11938</v>
      </c>
      <c r="CF72">
        <v>3.9996830000000001</v>
      </c>
      <c r="CG72">
        <v>8.9013240000000007</v>
      </c>
      <c r="CH72">
        <v>1.8076129999999999</v>
      </c>
      <c r="CI72">
        <v>1.645208</v>
      </c>
      <c r="CJ72">
        <v>0.91015509999999999</v>
      </c>
      <c r="CK72">
        <v>1.3686670000000001</v>
      </c>
      <c r="CL72">
        <v>0.56350199999999995</v>
      </c>
      <c r="CM72">
        <v>0.60514999999999997</v>
      </c>
      <c r="CN72">
        <v>0.53786230000000002</v>
      </c>
      <c r="CO72">
        <v>1.4304140000000001</v>
      </c>
      <c r="CP72">
        <v>1.900606</v>
      </c>
      <c r="CQ72">
        <v>1.2607250000000001</v>
      </c>
      <c r="CR72">
        <v>1.171907</v>
      </c>
      <c r="CS72">
        <v>1.8891039999999999</v>
      </c>
      <c r="CT72">
        <v>1.3977470000000001</v>
      </c>
      <c r="CU72">
        <v>1.957476</v>
      </c>
      <c r="CW72">
        <f t="shared" si="24"/>
        <v>2732751.1798071782</v>
      </c>
      <c r="CX72">
        <f t="shared" si="28"/>
        <v>2.6759967871344159E-2</v>
      </c>
      <c r="CY72">
        <f>LN(AB72)-LN(AB71)</f>
        <v>5.1322071941494851E-2</v>
      </c>
      <c r="CZ72">
        <f t="shared" si="30"/>
        <v>9.8146352460997122E-3</v>
      </c>
      <c r="DA72">
        <f t="shared" si="31"/>
        <v>-1.1725804774221412E-3</v>
      </c>
      <c r="DB72">
        <f t="shared" si="25"/>
        <v>-1.1725804774221412E-3</v>
      </c>
      <c r="DC72" s="12">
        <f>DC71+CX72</f>
        <v>2.4153386918372703</v>
      </c>
      <c r="DD72" s="4">
        <f t="shared" si="33"/>
        <v>2.6769069108890067</v>
      </c>
      <c r="DE72" s="4">
        <f t="shared" si="33"/>
        <v>1.0218161939275767</v>
      </c>
      <c r="DF72" s="4">
        <f t="shared" si="33"/>
        <v>0.67107871013746323</v>
      </c>
      <c r="DG72" s="13">
        <f t="shared" si="34"/>
        <v>0.67107871013746323</v>
      </c>
      <c r="DH72" s="4">
        <f t="shared" si="26"/>
        <v>11.193560883307569</v>
      </c>
      <c r="DI72" s="4">
        <f>EXP(DF72)</f>
        <v>1.9563465136441343</v>
      </c>
      <c r="DJ72" s="4">
        <f t="shared" si="27"/>
        <v>14.540049999999999</v>
      </c>
      <c r="DK72" s="4">
        <f t="shared" si="27"/>
        <v>2.7782360000000001</v>
      </c>
      <c r="DM72" s="4"/>
      <c r="DN72" s="17"/>
    </row>
    <row r="74" spans="1:118" x14ac:dyDescent="0.3">
      <c r="DH74" s="4"/>
      <c r="DI74" s="4"/>
      <c r="DJ74" s="4"/>
      <c r="DK74" s="4"/>
      <c r="DN74" s="4"/>
    </row>
    <row r="75" spans="1:118" x14ac:dyDescent="0.3">
      <c r="C75" s="1"/>
      <c r="D75" s="1"/>
      <c r="E75" s="1"/>
      <c r="K75" s="1"/>
      <c r="AF75" s="1"/>
      <c r="AG75" s="1"/>
      <c r="AH75" s="4"/>
      <c r="AI75" s="4"/>
      <c r="AS75" s="1"/>
      <c r="AU75" s="1"/>
      <c r="DH75" s="4"/>
      <c r="DI75" s="4"/>
      <c r="DJ75" s="4"/>
      <c r="DK75" s="4"/>
      <c r="DN75" s="4"/>
    </row>
    <row r="76" spans="1:118" x14ac:dyDescent="0.3">
      <c r="C76" s="6"/>
      <c r="D76" s="6"/>
      <c r="E76" s="6"/>
      <c r="K76" s="5"/>
      <c r="AC76" s="5"/>
      <c r="AE76" s="6"/>
      <c r="AF76" s="5"/>
      <c r="AG76" s="5"/>
      <c r="AS76" s="6"/>
      <c r="AU76" s="6"/>
      <c r="AV76" s="7"/>
      <c r="DN76" s="2"/>
    </row>
    <row r="77" spans="1:118" x14ac:dyDescent="0.3">
      <c r="K77" s="5"/>
      <c r="CV77" s="9"/>
      <c r="DH77" s="4"/>
      <c r="DI77" s="4"/>
      <c r="DJ77" s="4"/>
    </row>
    <row r="78" spans="1:118" x14ac:dyDescent="0.3">
      <c r="C78" s="14"/>
      <c r="K78" s="5"/>
      <c r="DH78" s="4"/>
    </row>
    <row r="79" spans="1:118" x14ac:dyDescent="0.3">
      <c r="DH7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8973-1BBF-4F6F-BB41-2A9BD1B708FB}">
  <dimension ref="A1:R76"/>
  <sheetViews>
    <sheetView workbookViewId="0">
      <pane xSplit="7" ySplit="16" topLeftCell="J66" activePane="bottomRight" state="frozen"/>
      <selection pane="topRight" activeCell="H1" sqref="H1"/>
      <selection pane="bottomLeft" activeCell="A17" sqref="A17"/>
      <selection pane="bottomRight" activeCell="C75" sqref="C75"/>
    </sheetView>
  </sheetViews>
  <sheetFormatPr defaultColWidth="8.77734375" defaultRowHeight="14.4" x14ac:dyDescent="0.3"/>
  <cols>
    <col min="1" max="1" width="21.6640625" bestFit="1" customWidth="1"/>
    <col min="2" max="2" width="12.109375" bestFit="1" customWidth="1"/>
    <col min="3" max="3" width="13.33203125" bestFit="1" customWidth="1"/>
    <col min="4" max="4" width="13.109375" bestFit="1" customWidth="1"/>
    <col min="5" max="5" width="13.109375" customWidth="1"/>
    <col min="6" max="6" width="13.77734375" bestFit="1" customWidth="1"/>
    <col min="7" max="7" width="13.6640625" bestFit="1" customWidth="1"/>
    <col min="8" max="9" width="12.44140625" bestFit="1" customWidth="1"/>
    <col min="10" max="10" width="17.44140625" bestFit="1" customWidth="1"/>
    <col min="11" max="11" width="13.109375" customWidth="1"/>
    <col min="12" max="15" width="11.33203125" style="3" customWidth="1"/>
    <col min="17" max="17" width="12.44140625" bestFit="1" customWidth="1"/>
    <col min="18" max="18" width="10.44140625" bestFit="1" customWidth="1"/>
  </cols>
  <sheetData>
    <row r="1" spans="1:18" x14ac:dyDescent="0.3">
      <c r="A1" t="s">
        <v>0</v>
      </c>
      <c r="B1" t="s">
        <v>25</v>
      </c>
      <c r="C1" t="s">
        <v>28</v>
      </c>
      <c r="D1" t="s">
        <v>31</v>
      </c>
      <c r="E1" s="8"/>
      <c r="F1" t="s">
        <v>90</v>
      </c>
      <c r="G1" t="s">
        <v>20</v>
      </c>
      <c r="H1" t="s">
        <v>21</v>
      </c>
      <c r="I1" t="s">
        <v>22</v>
      </c>
      <c r="J1" t="s">
        <v>116</v>
      </c>
      <c r="K1" s="8"/>
      <c r="L1" s="3" t="s">
        <v>118</v>
      </c>
      <c r="M1" s="3" t="s">
        <v>119</v>
      </c>
      <c r="N1" s="3" t="s">
        <v>120</v>
      </c>
      <c r="O1" s="3" t="s">
        <v>121</v>
      </c>
      <c r="Q1" s="3" t="s">
        <v>125</v>
      </c>
      <c r="R1" s="3" t="s">
        <v>122</v>
      </c>
    </row>
    <row r="2" spans="1:18" x14ac:dyDescent="0.3">
      <c r="A2">
        <v>1947</v>
      </c>
      <c r="B2" s="4">
        <v>1</v>
      </c>
      <c r="C2" s="4">
        <v>1</v>
      </c>
      <c r="D2" s="4">
        <v>1</v>
      </c>
      <c r="E2" s="8"/>
      <c r="F2" s="15">
        <v>0.60514999999999997</v>
      </c>
      <c r="G2" s="20">
        <v>128228.27</v>
      </c>
      <c r="H2" s="20">
        <v>62056.688000000002</v>
      </c>
      <c r="I2" s="20">
        <v>66171.577999999994</v>
      </c>
      <c r="J2" s="15">
        <f t="shared" ref="J2:J33" si="0">H2/G2</f>
        <v>0.48395480965312876</v>
      </c>
      <c r="K2" s="8"/>
      <c r="Q2" s="4">
        <v>0</v>
      </c>
      <c r="R2" s="15">
        <f>EXP(Q2)</f>
        <v>1</v>
      </c>
    </row>
    <row r="3" spans="1:18" x14ac:dyDescent="0.3">
      <c r="A3">
        <v>1948</v>
      </c>
      <c r="B3" s="4">
        <v>1.089418</v>
      </c>
      <c r="C3" s="4">
        <v>1.0613379999999999</v>
      </c>
      <c r="D3" s="4">
        <v>1.0199849999999999</v>
      </c>
      <c r="E3" s="8"/>
      <c r="F3" s="15">
        <v>0.60514999999999997</v>
      </c>
      <c r="G3" s="20">
        <v>141262.28</v>
      </c>
      <c r="H3" s="20">
        <v>70286.914000000004</v>
      </c>
      <c r="I3" s="20">
        <v>70975.366999999998</v>
      </c>
      <c r="J3" s="15">
        <f t="shared" si="0"/>
        <v>0.49756321361937528</v>
      </c>
      <c r="K3" s="8"/>
      <c r="L3" s="16">
        <f>LN(B3/B2)</f>
        <v>8.5643608687554468E-2</v>
      </c>
      <c r="M3" s="16">
        <f>LN(C3/C2)</f>
        <v>5.9530376289284703E-2</v>
      </c>
      <c r="N3" s="16">
        <f>LN(J3/J2)</f>
        <v>2.7731077206141007E-2</v>
      </c>
      <c r="O3" s="16">
        <f>L3-(1-F3)*M3-F3*N3</f>
        <v>4.535657823843417E-2</v>
      </c>
      <c r="Q3" s="4">
        <f>Q2+O3</f>
        <v>4.535657823843417E-2</v>
      </c>
      <c r="R3" s="15">
        <f t="shared" ref="R3:R66" si="1">EXP(Q3)</f>
        <v>1.0464009171884572</v>
      </c>
    </row>
    <row r="4" spans="1:18" x14ac:dyDescent="0.3">
      <c r="A4">
        <v>1949</v>
      </c>
      <c r="B4" s="4">
        <v>1.0591189999999999</v>
      </c>
      <c r="C4" s="4">
        <v>1.08348</v>
      </c>
      <c r="D4" s="4">
        <v>0.95074829999999999</v>
      </c>
      <c r="E4" s="8"/>
      <c r="F4" s="15">
        <v>0.60514999999999997</v>
      </c>
      <c r="G4" s="20">
        <v>144455.76999999999</v>
      </c>
      <c r="H4" s="20">
        <v>68189.233999999997</v>
      </c>
      <c r="I4" s="20">
        <v>76266.531000000003</v>
      </c>
      <c r="J4" s="15">
        <f t="shared" si="0"/>
        <v>0.47204230056023377</v>
      </c>
      <c r="K4" s="8"/>
      <c r="L4" s="16">
        <f t="shared" ref="L4:L67" si="2">LN(B4/B3)</f>
        <v>-2.8206178220809945E-2</v>
      </c>
      <c r="M4" s="16">
        <f t="shared" ref="M4:M18" si="3">LN(C4/C3)</f>
        <v>2.0647706835966447E-2</v>
      </c>
      <c r="N4" s="16">
        <f t="shared" ref="N4:N67" si="4">LN(J4/J3)</f>
        <v>-5.2654009677451291E-2</v>
      </c>
      <c r="O4" s="16">
        <f t="shared" ref="O4:O67" si="5">L4-(1-F4)*M4-F4*N4</f>
        <v>-4.4953513086816513E-3</v>
      </c>
      <c r="Q4" s="4">
        <f t="shared" ref="Q4:Q67" si="6">Q3+O4</f>
        <v>4.0861226929752519E-2</v>
      </c>
      <c r="R4" s="15">
        <f t="shared" si="1"/>
        <v>1.041707534561561</v>
      </c>
    </row>
    <row r="5" spans="1:18" x14ac:dyDescent="0.3">
      <c r="A5">
        <v>1950</v>
      </c>
      <c r="B5" s="4">
        <v>1.1728989999999999</v>
      </c>
      <c r="C5" s="4">
        <v>1.1210260000000001</v>
      </c>
      <c r="D5" s="4">
        <v>1.010902</v>
      </c>
      <c r="E5" s="8"/>
      <c r="F5" s="15">
        <v>0.60514999999999997</v>
      </c>
      <c r="G5" s="20">
        <v>153536.10999999999</v>
      </c>
      <c r="H5" s="20">
        <v>73332.335999999996</v>
      </c>
      <c r="I5" s="20">
        <v>80203.781000000003</v>
      </c>
      <c r="J5" s="15">
        <f t="shared" si="0"/>
        <v>0.47762272992327343</v>
      </c>
      <c r="K5" s="8"/>
      <c r="L5" s="16">
        <f t="shared" si="2"/>
        <v>0.10204103149061086</v>
      </c>
      <c r="M5" s="16">
        <f t="shared" si="3"/>
        <v>3.4066254272968256E-2</v>
      </c>
      <c r="N5" s="16">
        <f t="shared" si="4"/>
        <v>1.1752551511641432E-2</v>
      </c>
      <c r="O5" s="16">
        <f t="shared" si="5"/>
        <v>8.1477914443659524E-2</v>
      </c>
      <c r="Q5" s="4">
        <f t="shared" si="6"/>
        <v>0.12233914137341204</v>
      </c>
      <c r="R5" s="15">
        <f t="shared" si="1"/>
        <v>1.1301373131157506</v>
      </c>
    </row>
    <row r="6" spans="1:18" x14ac:dyDescent="0.3">
      <c r="A6">
        <v>1951</v>
      </c>
      <c r="B6" s="4">
        <v>1.24522</v>
      </c>
      <c r="C6" s="4">
        <v>1.190132</v>
      </c>
      <c r="D6" s="4">
        <v>1.078454</v>
      </c>
      <c r="E6" s="8"/>
      <c r="F6" s="15">
        <v>0.60514999999999997</v>
      </c>
      <c r="G6" s="20">
        <v>174406.78</v>
      </c>
      <c r="H6" s="20">
        <v>86367.093999999997</v>
      </c>
      <c r="I6" s="20">
        <v>88039.687999999995</v>
      </c>
      <c r="J6" s="15">
        <f t="shared" si="0"/>
        <v>0.49520491118521881</v>
      </c>
      <c r="K6" s="8"/>
      <c r="L6" s="16">
        <f t="shared" si="2"/>
        <v>5.9833759175812365E-2</v>
      </c>
      <c r="M6" s="16">
        <f t="shared" si="3"/>
        <v>5.9819887943313568E-2</v>
      </c>
      <c r="N6" s="16">
        <f t="shared" si="4"/>
        <v>3.6150485987821813E-2</v>
      </c>
      <c r="O6" s="16">
        <f t="shared" si="5"/>
        <v>1.4337409825864633E-2</v>
      </c>
      <c r="Q6" s="4">
        <f t="shared" si="6"/>
        <v>0.13667655119927666</v>
      </c>
      <c r="R6" s="15">
        <f t="shared" si="1"/>
        <v>1.1464572683147358</v>
      </c>
    </row>
    <row r="7" spans="1:18" x14ac:dyDescent="0.3">
      <c r="A7">
        <v>1952</v>
      </c>
      <c r="B7" s="4">
        <v>1.300705</v>
      </c>
      <c r="C7" s="4">
        <v>1.2407999999999999</v>
      </c>
      <c r="D7" s="4">
        <v>1.096503</v>
      </c>
      <c r="E7" s="8"/>
      <c r="F7" s="15">
        <v>0.60514999999999997</v>
      </c>
      <c r="G7" s="20">
        <v>184289.89</v>
      </c>
      <c r="H7" s="20">
        <v>90294.358999999997</v>
      </c>
      <c r="I7" s="20">
        <v>93995.531000000003</v>
      </c>
      <c r="J7" s="15">
        <f t="shared" si="0"/>
        <v>0.48995828799941216</v>
      </c>
      <c r="K7" s="8"/>
      <c r="L7" s="16">
        <f t="shared" si="2"/>
        <v>4.3594204030956513E-2</v>
      </c>
      <c r="M7" s="16">
        <f t="shared" si="3"/>
        <v>4.1692107538659082E-2</v>
      </c>
      <c r="N7" s="16">
        <f t="shared" si="4"/>
        <v>-1.0651377951013877E-2</v>
      </c>
      <c r="O7" s="16">
        <f t="shared" si="5"/>
        <v>3.3577756736373018E-2</v>
      </c>
      <c r="Q7" s="4">
        <f>Q6+O7</f>
        <v>0.17025430793564966</v>
      </c>
      <c r="R7" s="15">
        <f t="shared" si="1"/>
        <v>1.1856063220817992</v>
      </c>
    </row>
    <row r="8" spans="1:18" x14ac:dyDescent="0.3">
      <c r="A8">
        <v>1953</v>
      </c>
      <c r="B8" s="4">
        <v>1.3923350000000001</v>
      </c>
      <c r="C8" s="4">
        <v>1.2997129999999999</v>
      </c>
      <c r="D8" s="4">
        <v>1.125564</v>
      </c>
      <c r="E8" s="8"/>
      <c r="F8" s="15">
        <v>0.60514999999999997</v>
      </c>
      <c r="G8" s="20">
        <v>202171.13</v>
      </c>
      <c r="H8" s="20">
        <v>100464.4</v>
      </c>
      <c r="I8" s="20">
        <v>101706.73</v>
      </c>
      <c r="J8" s="15">
        <f t="shared" si="0"/>
        <v>0.49692752867335704</v>
      </c>
      <c r="K8" s="8"/>
      <c r="L8" s="16">
        <f t="shared" si="2"/>
        <v>6.8075768713450169E-2</v>
      </c>
      <c r="M8" s="16">
        <f t="shared" si="3"/>
        <v>4.638713798341583E-2</v>
      </c>
      <c r="N8" s="16">
        <f t="shared" si="4"/>
        <v>1.4123936956185608E-2</v>
      </c>
      <c r="O8" s="16">
        <f t="shared" si="5"/>
        <v>4.1212706831662706E-2</v>
      </c>
      <c r="Q8" s="4">
        <f t="shared" si="6"/>
        <v>0.21146701476731236</v>
      </c>
      <c r="R8" s="15">
        <f t="shared" si="1"/>
        <v>1.2354892120574279</v>
      </c>
    </row>
    <row r="9" spans="1:18" x14ac:dyDescent="0.3">
      <c r="A9">
        <v>1954</v>
      </c>
      <c r="B9" s="4">
        <v>1.355027</v>
      </c>
      <c r="C9" s="4">
        <v>1.3659060000000001</v>
      </c>
      <c r="D9" s="4">
        <v>1.053679</v>
      </c>
      <c r="E9" s="8"/>
      <c r="F9" s="15">
        <v>0.60514999999999997</v>
      </c>
      <c r="G9" s="20">
        <v>197065.75</v>
      </c>
      <c r="H9" s="20">
        <v>94278.422000000006</v>
      </c>
      <c r="I9" s="20">
        <v>102787.32</v>
      </c>
      <c r="J9" s="15">
        <f t="shared" si="0"/>
        <v>0.47841099734479486</v>
      </c>
      <c r="K9" s="8"/>
      <c r="L9" s="16">
        <f t="shared" si="2"/>
        <v>-2.7160813545172361E-2</v>
      </c>
      <c r="M9" s="16">
        <f t="shared" si="3"/>
        <v>4.9674473861557857E-2</v>
      </c>
      <c r="N9" s="16">
        <f t="shared" si="4"/>
        <v>-3.7974007772510934E-2</v>
      </c>
      <c r="O9" s="16">
        <f t="shared" si="5"/>
        <v>-2.3794808745873489E-2</v>
      </c>
      <c r="Q9" s="4">
        <f t="shared" si="6"/>
        <v>0.18767220602143886</v>
      </c>
      <c r="R9" s="15">
        <f t="shared" si="1"/>
        <v>1.2064379874195263</v>
      </c>
    </row>
    <row r="10" spans="1:18" x14ac:dyDescent="0.3">
      <c r="A10">
        <v>1955</v>
      </c>
      <c r="B10" s="4">
        <v>1.4808349999999999</v>
      </c>
      <c r="C10" s="4">
        <v>1.417557</v>
      </c>
      <c r="D10" s="4">
        <v>1.1026389999999999</v>
      </c>
      <c r="E10" s="8"/>
      <c r="F10" s="15">
        <v>0.60514999999999997</v>
      </c>
      <c r="G10" s="20">
        <v>222725.77</v>
      </c>
      <c r="H10" s="20">
        <v>105471.14</v>
      </c>
      <c r="I10" s="20">
        <v>117254.63</v>
      </c>
      <c r="J10" s="15">
        <f t="shared" si="0"/>
        <v>0.47354708887076696</v>
      </c>
      <c r="K10" s="8"/>
      <c r="L10" s="16">
        <f t="shared" si="2"/>
        <v>8.8784737537927066E-2</v>
      </c>
      <c r="M10" s="16">
        <f t="shared" si="3"/>
        <v>3.7117022726349723E-2</v>
      </c>
      <c r="N10" s="16">
        <f t="shared" si="4"/>
        <v>-1.0218833938901476E-2</v>
      </c>
      <c r="O10" s="16">
        <f t="shared" si="5"/>
        <v>8.0313008472554098E-2</v>
      </c>
      <c r="Q10" s="4">
        <f t="shared" si="6"/>
        <v>0.26798521449399293</v>
      </c>
      <c r="R10" s="15">
        <f t="shared" si="1"/>
        <v>1.3073278103688437</v>
      </c>
    </row>
    <row r="11" spans="1:18" x14ac:dyDescent="0.3">
      <c r="A11">
        <v>1956</v>
      </c>
      <c r="B11" s="4">
        <v>1.480737</v>
      </c>
      <c r="C11" s="4">
        <v>1.492083</v>
      </c>
      <c r="D11" s="4">
        <v>1.119602</v>
      </c>
      <c r="E11" s="8"/>
      <c r="F11" s="15">
        <v>0.60514999999999997</v>
      </c>
      <c r="G11" s="20">
        <v>236725.03</v>
      </c>
      <c r="H11" s="20">
        <v>110789.3</v>
      </c>
      <c r="I11" s="20">
        <v>125935.74</v>
      </c>
      <c r="J11" s="15">
        <f t="shared" si="0"/>
        <v>0.46800838931143024</v>
      </c>
      <c r="K11" s="8"/>
      <c r="L11" s="16">
        <f t="shared" si="2"/>
        <v>-6.6181068726838967E-5</v>
      </c>
      <c r="M11" s="16">
        <f t="shared" si="3"/>
        <v>5.1238162809570907E-2</v>
      </c>
      <c r="N11" s="16">
        <f t="shared" si="4"/>
        <v>-1.1765134558060265E-2</v>
      </c>
      <c r="O11" s="16">
        <f t="shared" si="5"/>
        <v>-1.3177898476275743E-2</v>
      </c>
      <c r="Q11" s="4">
        <f t="shared" si="6"/>
        <v>0.25480731601771717</v>
      </c>
      <c r="R11" s="15">
        <f t="shared" si="1"/>
        <v>1.2902129935428182</v>
      </c>
    </row>
    <row r="12" spans="1:18" x14ac:dyDescent="0.3">
      <c r="A12">
        <v>1957</v>
      </c>
      <c r="B12" s="4">
        <v>1.4855480000000001</v>
      </c>
      <c r="C12" s="4">
        <v>1.563151</v>
      </c>
      <c r="D12" s="4">
        <v>1.100344</v>
      </c>
      <c r="E12" s="8"/>
      <c r="F12" s="15">
        <v>0.60514999999999997</v>
      </c>
      <c r="G12" s="20">
        <v>253734.33</v>
      </c>
      <c r="H12" s="20">
        <v>117129.34</v>
      </c>
      <c r="I12" s="20">
        <v>136605</v>
      </c>
      <c r="J12" s="15">
        <f t="shared" si="0"/>
        <v>0.46162196498991681</v>
      </c>
      <c r="K12" s="8"/>
      <c r="L12" s="16">
        <f t="shared" si="2"/>
        <v>3.2437909496334538E-3</v>
      </c>
      <c r="M12" s="16">
        <f t="shared" si="3"/>
        <v>4.6530525596988927E-2</v>
      </c>
      <c r="N12" s="16">
        <f t="shared" si="4"/>
        <v>-1.3739923107428768E-2</v>
      </c>
      <c r="O12" s="16">
        <f t="shared" si="5"/>
        <v>-6.8140726138771063E-3</v>
      </c>
      <c r="Q12" s="4">
        <f t="shared" si="6"/>
        <v>0.24799324340384005</v>
      </c>
      <c r="R12" s="15">
        <f t="shared" si="1"/>
        <v>1.2814512739160144</v>
      </c>
    </row>
    <row r="13" spans="1:18" x14ac:dyDescent="0.3">
      <c r="A13">
        <v>1958</v>
      </c>
      <c r="B13" s="4">
        <v>1.422647</v>
      </c>
      <c r="C13" s="4">
        <v>1.6031260000000001</v>
      </c>
      <c r="D13" s="4">
        <v>1.0229680000000001</v>
      </c>
      <c r="E13" s="8"/>
      <c r="F13" s="15">
        <v>0.60514999999999997</v>
      </c>
      <c r="G13" s="20">
        <v>259092.78</v>
      </c>
      <c r="H13" s="20">
        <v>114589.17</v>
      </c>
      <c r="I13" s="20">
        <v>144503.60999999999</v>
      </c>
      <c r="J13" s="15">
        <f t="shared" si="0"/>
        <v>0.44227079581299023</v>
      </c>
      <c r="K13" s="8"/>
      <c r="L13" s="16">
        <f t="shared" si="2"/>
        <v>-4.3264506880449097E-2</v>
      </c>
      <c r="M13" s="16">
        <f t="shared" si="3"/>
        <v>2.5251817300403944E-2</v>
      </c>
      <c r="N13" s="16">
        <f t="shared" si="4"/>
        <v>-4.2823943840239936E-2</v>
      </c>
      <c r="O13" s="16">
        <f t="shared" si="5"/>
        <v>-2.7320277326592396E-2</v>
      </c>
      <c r="Q13" s="4">
        <f t="shared" si="6"/>
        <v>0.22067296607724765</v>
      </c>
      <c r="R13" s="15">
        <f t="shared" si="1"/>
        <v>1.2469155801837164</v>
      </c>
    </row>
    <row r="14" spans="1:18" x14ac:dyDescent="0.3">
      <c r="A14">
        <v>1959</v>
      </c>
      <c r="B14" s="4">
        <v>1.525099</v>
      </c>
      <c r="C14" s="4">
        <v>1.638806</v>
      </c>
      <c r="D14" s="4">
        <v>1.079839</v>
      </c>
      <c r="E14" s="8"/>
      <c r="F14" s="15">
        <v>0.60514999999999997</v>
      </c>
      <c r="G14" s="20">
        <v>275964.78000000003</v>
      </c>
      <c r="H14" s="20">
        <v>124572.48</v>
      </c>
      <c r="I14" s="20">
        <v>151392.31</v>
      </c>
      <c r="J14" s="15">
        <f t="shared" si="0"/>
        <v>0.45140716869739678</v>
      </c>
      <c r="K14" s="8"/>
      <c r="L14" s="16">
        <f t="shared" si="2"/>
        <v>6.9540105114290832E-2</v>
      </c>
      <c r="M14" s="16">
        <f t="shared" si="3"/>
        <v>2.2012454740921068E-2</v>
      </c>
      <c r="N14" s="16">
        <f t="shared" si="4"/>
        <v>2.0447390599904688E-2</v>
      </c>
      <c r="O14" s="16">
        <f t="shared" si="5"/>
        <v>4.847474893830582E-2</v>
      </c>
      <c r="Q14" s="4">
        <f t="shared" si="6"/>
        <v>0.26914771501555346</v>
      </c>
      <c r="R14" s="15">
        <f t="shared" si="1"/>
        <v>1.3088484633389317</v>
      </c>
    </row>
    <row r="15" spans="1:18" x14ac:dyDescent="0.3">
      <c r="A15">
        <v>1960</v>
      </c>
      <c r="B15" s="4">
        <v>1.5572269999999999</v>
      </c>
      <c r="C15" s="4">
        <v>1.6794880000000001</v>
      </c>
      <c r="D15" s="4">
        <v>1.078592</v>
      </c>
      <c r="E15" s="8"/>
      <c r="F15" s="15">
        <v>0.60514999999999997</v>
      </c>
      <c r="G15" s="20">
        <v>297053.84000000003</v>
      </c>
      <c r="H15" s="20">
        <v>130059.3</v>
      </c>
      <c r="I15" s="20">
        <v>166994.53</v>
      </c>
      <c r="J15" s="15">
        <f t="shared" si="0"/>
        <v>0.43783073129100097</v>
      </c>
      <c r="K15" s="8"/>
      <c r="L15" s="16">
        <f t="shared" si="2"/>
        <v>2.0847349432025125E-2</v>
      </c>
      <c r="M15" s="16">
        <f t="shared" si="3"/>
        <v>2.4521057161658644E-2</v>
      </c>
      <c r="N15" s="16">
        <f t="shared" si="4"/>
        <v>-3.0537367845848536E-2</v>
      </c>
      <c r="O15" s="16">
        <f t="shared" si="5"/>
        <v>2.964489816365945E-2</v>
      </c>
      <c r="Q15" s="4">
        <f t="shared" si="6"/>
        <v>0.29879261317921291</v>
      </c>
      <c r="R15" s="15">
        <f t="shared" si="1"/>
        <v>1.3482299893465162</v>
      </c>
    </row>
    <row r="16" spans="1:18" x14ac:dyDescent="0.3">
      <c r="A16">
        <v>1961</v>
      </c>
      <c r="B16" s="4">
        <v>1.572532</v>
      </c>
      <c r="C16" s="4">
        <v>1.721814</v>
      </c>
      <c r="D16" s="4">
        <v>1.063016</v>
      </c>
      <c r="E16" s="8"/>
      <c r="F16" s="15">
        <v>0.60514999999999997</v>
      </c>
      <c r="G16" s="20">
        <v>301880.84000000003</v>
      </c>
      <c r="H16" s="20">
        <v>129954.74</v>
      </c>
      <c r="I16" s="20">
        <v>171926.11</v>
      </c>
      <c r="J16" s="15">
        <f t="shared" si="0"/>
        <v>0.43048356430967927</v>
      </c>
      <c r="K16" s="8"/>
      <c r="L16" s="16">
        <f t="shared" si="2"/>
        <v>9.7803837298284946E-3</v>
      </c>
      <c r="M16" s="16">
        <f t="shared" si="3"/>
        <v>2.4889401173272433E-2</v>
      </c>
      <c r="N16" s="16">
        <f t="shared" si="4"/>
        <v>-1.6923232445951085E-2</v>
      </c>
      <c r="O16" s="16">
        <f t="shared" si="5"/>
        <v>1.0193897791229173E-2</v>
      </c>
      <c r="Q16" s="4">
        <f t="shared" si="6"/>
        <v>0.30898651097044205</v>
      </c>
      <c r="R16" s="15">
        <f t="shared" si="1"/>
        <v>1.3620439977277623</v>
      </c>
    </row>
    <row r="17" spans="1:18" x14ac:dyDescent="0.3">
      <c r="A17">
        <v>1962</v>
      </c>
      <c r="B17" s="4">
        <v>1.697057</v>
      </c>
      <c r="C17" s="4">
        <v>1.772324</v>
      </c>
      <c r="D17" s="4">
        <v>1.103923</v>
      </c>
      <c r="E17" s="8"/>
      <c r="F17" s="15">
        <v>0.60514999999999997</v>
      </c>
      <c r="G17" s="20">
        <v>314614.19</v>
      </c>
      <c r="H17" s="20">
        <v>138979.09</v>
      </c>
      <c r="I17" s="20">
        <v>175635.11</v>
      </c>
      <c r="J17" s="15">
        <f t="shared" si="0"/>
        <v>0.44174450618390732</v>
      </c>
      <c r="K17" s="8"/>
      <c r="L17" s="16">
        <f t="shared" si="2"/>
        <v>7.620851522698717E-2</v>
      </c>
      <c r="M17" s="16">
        <f t="shared" si="3"/>
        <v>2.8913293478378666E-2</v>
      </c>
      <c r="N17" s="16">
        <f t="shared" si="4"/>
        <v>2.5822529643548267E-2</v>
      </c>
      <c r="O17" s="16">
        <f t="shared" si="5"/>
        <v>4.9165597483256114E-2</v>
      </c>
      <c r="Q17" s="4">
        <f t="shared" si="6"/>
        <v>0.35815210845369816</v>
      </c>
      <c r="R17" s="15">
        <f t="shared" si="1"/>
        <v>1.4306832229426651</v>
      </c>
    </row>
    <row r="18" spans="1:18" x14ac:dyDescent="0.3">
      <c r="A18">
        <v>1963</v>
      </c>
      <c r="B18" s="4">
        <v>1.784449</v>
      </c>
      <c r="C18" s="4">
        <v>1.838821</v>
      </c>
      <c r="D18" s="4">
        <v>1.118668</v>
      </c>
      <c r="E18" s="8"/>
      <c r="F18" s="15">
        <v>0.60514999999999997</v>
      </c>
      <c r="G18" s="20">
        <v>337196.31</v>
      </c>
      <c r="H18" s="20">
        <v>147642.20000000001</v>
      </c>
      <c r="I18" s="20">
        <v>189554.13</v>
      </c>
      <c r="J18" s="15">
        <f t="shared" si="0"/>
        <v>0.43785235965363917</v>
      </c>
      <c r="K18" s="8"/>
      <c r="L18" s="16">
        <f t="shared" si="2"/>
        <v>5.0214109731744658E-2</v>
      </c>
      <c r="M18" s="16">
        <f t="shared" si="3"/>
        <v>3.6832925663637418E-2</v>
      </c>
      <c r="N18" s="16">
        <f t="shared" si="4"/>
        <v>-8.8498995036909653E-3</v>
      </c>
      <c r="O18" s="16">
        <f t="shared" si="5"/>
        <v>4.1026145718116004E-2</v>
      </c>
      <c r="Q18" s="4">
        <f t="shared" si="6"/>
        <v>0.39917825417181418</v>
      </c>
      <c r="R18" s="15">
        <f t="shared" si="1"/>
        <v>1.4905993004710612</v>
      </c>
    </row>
    <row r="19" spans="1:18" x14ac:dyDescent="0.3">
      <c r="A19">
        <v>1964</v>
      </c>
      <c r="B19" s="4">
        <v>1.8940410000000001</v>
      </c>
      <c r="C19" s="4">
        <v>1.914418</v>
      </c>
      <c r="D19" s="4">
        <v>1.138911</v>
      </c>
      <c r="E19" s="8"/>
      <c r="F19" s="15">
        <v>0.60514999999999997</v>
      </c>
      <c r="G19" s="20">
        <v>365229.28</v>
      </c>
      <c r="H19" s="20">
        <v>157930.57999999999</v>
      </c>
      <c r="I19" s="20">
        <v>207298.7</v>
      </c>
      <c r="J19" s="15">
        <f t="shared" si="0"/>
        <v>0.43241489291329538</v>
      </c>
      <c r="K19" s="8"/>
      <c r="L19" s="16">
        <f t="shared" si="2"/>
        <v>5.9602957731210167E-2</v>
      </c>
      <c r="M19" s="16">
        <f t="shared" ref="M19:M72" si="7">LN(C19/C18)</f>
        <v>4.028905461521224E-2</v>
      </c>
      <c r="N19" s="16">
        <f t="shared" si="4"/>
        <v>-1.2496247519293339E-2</v>
      </c>
      <c r="O19" s="16">
        <f t="shared" si="5"/>
        <v>5.125692870269398E-2</v>
      </c>
      <c r="Q19" s="4">
        <f t="shared" si="6"/>
        <v>0.45043518287450818</v>
      </c>
      <c r="R19" s="15">
        <f t="shared" si="1"/>
        <v>1.5689948366234443</v>
      </c>
    </row>
    <row r="20" spans="1:18" x14ac:dyDescent="0.3">
      <c r="A20">
        <v>1965</v>
      </c>
      <c r="B20" s="4">
        <v>2.0490539999999999</v>
      </c>
      <c r="C20" s="4">
        <v>2.0143559999999998</v>
      </c>
      <c r="D20" s="4">
        <v>1.1945920000000001</v>
      </c>
      <c r="E20" s="8"/>
      <c r="F20" s="15">
        <v>0.60514999999999997</v>
      </c>
      <c r="G20" s="20">
        <v>390363.72</v>
      </c>
      <c r="H20" s="20">
        <v>170224.2</v>
      </c>
      <c r="I20" s="20">
        <v>220139.53</v>
      </c>
      <c r="J20" s="15">
        <f t="shared" si="0"/>
        <v>0.43606562618062977</v>
      </c>
      <c r="K20" s="8"/>
      <c r="L20" s="16">
        <f t="shared" si="2"/>
        <v>7.8665581391800743E-2</v>
      </c>
      <c r="M20" s="16">
        <f t="shared" si="7"/>
        <v>5.0885881345502447E-2</v>
      </c>
      <c r="N20" s="16">
        <f t="shared" si="4"/>
        <v>8.4072231680294932E-3</v>
      </c>
      <c r="O20" s="16">
        <f t="shared" si="5"/>
        <v>5.3485660042396049E-2</v>
      </c>
      <c r="Q20" s="4">
        <f t="shared" si="6"/>
        <v>0.5039208429169042</v>
      </c>
      <c r="R20" s="15">
        <f t="shared" si="1"/>
        <v>1.6551983372989854</v>
      </c>
    </row>
    <row r="21" spans="1:18" x14ac:dyDescent="0.3">
      <c r="A21">
        <v>1966</v>
      </c>
      <c r="B21" s="4">
        <v>2.1841680000000001</v>
      </c>
      <c r="C21" s="4">
        <v>2.1584829999999999</v>
      </c>
      <c r="D21" s="4">
        <v>1.2513860000000001</v>
      </c>
      <c r="E21" s="8"/>
      <c r="F21" s="15">
        <v>0.60514999999999997</v>
      </c>
      <c r="G21" s="20">
        <v>436812.81</v>
      </c>
      <c r="H21" s="20">
        <v>189492.31</v>
      </c>
      <c r="I21" s="20">
        <v>247320.5</v>
      </c>
      <c r="J21" s="15">
        <f t="shared" si="0"/>
        <v>0.43380666881083457</v>
      </c>
      <c r="K21" s="8"/>
      <c r="L21" s="16">
        <f t="shared" si="2"/>
        <v>6.3856754772479707E-2</v>
      </c>
      <c r="M21" s="16">
        <f t="shared" si="7"/>
        <v>6.9106118805614583E-2</v>
      </c>
      <c r="N21" s="16">
        <f t="shared" si="4"/>
        <v>-5.1937795026062595E-3</v>
      </c>
      <c r="O21" s="16">
        <f t="shared" si="5"/>
        <v>3.9713219428084957E-2</v>
      </c>
      <c r="Q21" s="4">
        <f t="shared" si="6"/>
        <v>0.54363406234498912</v>
      </c>
      <c r="R21" s="15">
        <f t="shared" si="1"/>
        <v>1.7222542829893186</v>
      </c>
    </row>
    <row r="22" spans="1:18" x14ac:dyDescent="0.3">
      <c r="A22">
        <v>1967</v>
      </c>
      <c r="B22" s="4">
        <v>2.211967</v>
      </c>
      <c r="C22" s="4">
        <v>2.3094920000000001</v>
      </c>
      <c r="D22" s="4">
        <v>1.2463040000000001</v>
      </c>
      <c r="E22" s="8"/>
      <c r="F22" s="15">
        <v>0.60514999999999997</v>
      </c>
      <c r="G22" s="20">
        <v>470879.13</v>
      </c>
      <c r="H22" s="20">
        <v>198423.53</v>
      </c>
      <c r="I22" s="20">
        <v>272455.59000000003</v>
      </c>
      <c r="J22" s="15">
        <f t="shared" si="0"/>
        <v>0.4213895187922217</v>
      </c>
      <c r="K22" s="8"/>
      <c r="L22" s="16">
        <f t="shared" si="2"/>
        <v>1.2647186921972961E-2</v>
      </c>
      <c r="M22" s="16">
        <f t="shared" si="7"/>
        <v>6.7621926786609957E-2</v>
      </c>
      <c r="N22" s="16">
        <f t="shared" si="4"/>
        <v>-2.9041342570547007E-2</v>
      </c>
      <c r="O22" s="16">
        <f t="shared" si="5"/>
        <v>3.5210375868465378E-3</v>
      </c>
      <c r="Q22" s="4">
        <f t="shared" si="6"/>
        <v>0.54715509993183564</v>
      </c>
      <c r="R22" s="15">
        <f t="shared" si="1"/>
        <v>1.7283290935959295</v>
      </c>
    </row>
    <row r="23" spans="1:18" x14ac:dyDescent="0.3">
      <c r="A23">
        <v>1968</v>
      </c>
      <c r="B23" s="4">
        <v>2.3360340000000002</v>
      </c>
      <c r="C23" s="4">
        <v>2.4442870000000001</v>
      </c>
      <c r="D23" s="4">
        <v>1.249485</v>
      </c>
      <c r="E23" s="8"/>
      <c r="F23" s="15">
        <v>0.60514999999999997</v>
      </c>
      <c r="G23" s="20">
        <v>511077.38</v>
      </c>
      <c r="H23" s="20">
        <v>212542.47</v>
      </c>
      <c r="I23" s="20">
        <v>298534.88</v>
      </c>
      <c r="J23" s="15">
        <f t="shared" si="0"/>
        <v>0.41587140874831907</v>
      </c>
      <c r="K23" s="8"/>
      <c r="L23" s="16">
        <f t="shared" si="2"/>
        <v>5.4572454731454695E-2</v>
      </c>
      <c r="M23" s="16">
        <f t="shared" si="7"/>
        <v>5.6725877927545826E-2</v>
      </c>
      <c r="N23" s="16">
        <f t="shared" si="4"/>
        <v>-1.3181529821941266E-2</v>
      </c>
      <c r="O23" s="16">
        <f t="shared" si="5"/>
        <v>4.0151044603510974E-2</v>
      </c>
      <c r="Q23" s="4">
        <f t="shared" si="6"/>
        <v>0.58730614453534657</v>
      </c>
      <c r="R23" s="15">
        <f t="shared" si="1"/>
        <v>1.7991352711163686</v>
      </c>
    </row>
    <row r="24" spans="1:18" x14ac:dyDescent="0.3">
      <c r="A24">
        <v>1969</v>
      </c>
      <c r="B24" s="4">
        <v>2.4019819999999998</v>
      </c>
      <c r="C24" s="4">
        <v>2.5789240000000002</v>
      </c>
      <c r="D24" s="4">
        <v>1.2720769999999999</v>
      </c>
      <c r="E24" s="8"/>
      <c r="F24" s="15">
        <v>0.60514999999999997</v>
      </c>
      <c r="G24" s="20">
        <v>563248.68999999994</v>
      </c>
      <c r="H24" s="20">
        <v>234578.59</v>
      </c>
      <c r="I24" s="20">
        <v>328670.09000000003</v>
      </c>
      <c r="J24" s="15">
        <f t="shared" si="0"/>
        <v>0.41647427533297948</v>
      </c>
      <c r="K24" s="8"/>
      <c r="L24" s="16">
        <f t="shared" si="2"/>
        <v>2.7839610219928208E-2</v>
      </c>
      <c r="M24" s="16">
        <f t="shared" si="7"/>
        <v>5.3618792821810472E-2</v>
      </c>
      <c r="N24" s="16">
        <f t="shared" si="4"/>
        <v>1.4485969029772205E-3</v>
      </c>
      <c r="O24" s="16">
        <f t="shared" si="5"/>
        <v>5.7916114583996762E-3</v>
      </c>
      <c r="Q24" s="4">
        <f t="shared" si="6"/>
        <v>0.59309775599374626</v>
      </c>
      <c r="R24" s="15">
        <f t="shared" si="1"/>
        <v>1.8095853958884742</v>
      </c>
    </row>
    <row r="25" spans="1:18" x14ac:dyDescent="0.3">
      <c r="A25">
        <v>1970</v>
      </c>
      <c r="B25" s="4">
        <v>2.3420350000000001</v>
      </c>
      <c r="C25" s="4">
        <v>2.6910400000000001</v>
      </c>
      <c r="D25" s="4">
        <v>1.205657</v>
      </c>
      <c r="E25" s="8"/>
      <c r="F25" s="15">
        <v>0.60514999999999997</v>
      </c>
      <c r="G25" s="20">
        <v>610929.81000000006</v>
      </c>
      <c r="H25" s="20">
        <v>237534.92</v>
      </c>
      <c r="I25" s="20">
        <v>373394.91</v>
      </c>
      <c r="J25" s="15">
        <f t="shared" si="0"/>
        <v>0.38880885514491426</v>
      </c>
      <c r="K25" s="8"/>
      <c r="L25" s="16">
        <f t="shared" si="2"/>
        <v>-2.5274020318764343E-2</v>
      </c>
      <c r="M25" s="16">
        <f t="shared" si="7"/>
        <v>4.2555478318342388E-2</v>
      </c>
      <c r="N25" s="16">
        <f t="shared" si="4"/>
        <v>-6.8736847887609295E-2</v>
      </c>
      <c r="O25" s="16">
        <f t="shared" si="5"/>
        <v>-4.8094743357506714E-4</v>
      </c>
      <c r="Q25" s="4">
        <f t="shared" si="6"/>
        <v>0.59261680856017118</v>
      </c>
      <c r="R25" s="15">
        <f t="shared" si="1"/>
        <v>1.8087152896909302</v>
      </c>
    </row>
    <row r="26" spans="1:18" x14ac:dyDescent="0.3">
      <c r="A26">
        <v>1971</v>
      </c>
      <c r="B26" s="4">
        <v>2.4110779999999998</v>
      </c>
      <c r="C26" s="4">
        <v>2.8003269999999998</v>
      </c>
      <c r="D26" s="4">
        <v>1.1783779999999999</v>
      </c>
      <c r="E26" s="8"/>
      <c r="F26" s="15">
        <v>0.60514999999999997</v>
      </c>
      <c r="G26" s="20">
        <v>642072.13</v>
      </c>
      <c r="H26" s="20">
        <v>247685.98</v>
      </c>
      <c r="I26" s="20">
        <v>394386.16</v>
      </c>
      <c r="J26" s="15">
        <f t="shared" si="0"/>
        <v>0.38576036620683102</v>
      </c>
      <c r="K26" s="8"/>
      <c r="L26" s="16">
        <f t="shared" si="2"/>
        <v>2.9053740841260608E-2</v>
      </c>
      <c r="M26" s="16">
        <f t="shared" si="7"/>
        <v>3.9808460079537492E-2</v>
      </c>
      <c r="N26" s="16">
        <f t="shared" si="4"/>
        <v>-7.8714841603909364E-3</v>
      </c>
      <c r="O26" s="16">
        <f t="shared" si="5"/>
        <v>1.8098799018515802E-2</v>
      </c>
      <c r="Q26" s="4">
        <f t="shared" si="6"/>
        <v>0.61071560757868704</v>
      </c>
      <c r="R26" s="15">
        <f t="shared" si="1"/>
        <v>1.8417488967882147</v>
      </c>
    </row>
    <row r="27" spans="1:18" x14ac:dyDescent="0.3">
      <c r="A27">
        <v>1972</v>
      </c>
      <c r="B27" s="4">
        <v>2.570112</v>
      </c>
      <c r="C27" s="4">
        <v>2.8997069999999998</v>
      </c>
      <c r="D27" s="4">
        <v>1.2160599999999999</v>
      </c>
      <c r="E27" s="8"/>
      <c r="F27" s="15">
        <v>0.60514999999999997</v>
      </c>
      <c r="G27" s="20">
        <v>709898.75</v>
      </c>
      <c r="H27" s="20">
        <v>274307.28000000003</v>
      </c>
      <c r="I27" s="20">
        <v>435591.44</v>
      </c>
      <c r="J27" s="15">
        <f t="shared" si="0"/>
        <v>0.3864033849897609</v>
      </c>
      <c r="K27" s="8"/>
      <c r="L27" s="16">
        <f t="shared" si="2"/>
        <v>6.387552732708926E-2</v>
      </c>
      <c r="M27" s="16">
        <f t="shared" si="7"/>
        <v>3.4873501328819299E-2</v>
      </c>
      <c r="N27" s="16">
        <f t="shared" si="4"/>
        <v>1.6654988804429183E-3</v>
      </c>
      <c r="O27" s="16">
        <f t="shared" si="5"/>
        <v>4.9097848679904924E-2</v>
      </c>
      <c r="Q27" s="4">
        <f t="shared" si="6"/>
        <v>0.659813456258592</v>
      </c>
      <c r="R27" s="15">
        <f t="shared" si="1"/>
        <v>1.9344314446630322</v>
      </c>
    </row>
    <row r="28" spans="1:18" x14ac:dyDescent="0.3">
      <c r="A28">
        <v>1973</v>
      </c>
      <c r="B28" s="4">
        <v>2.7225549999999998</v>
      </c>
      <c r="C28" s="4">
        <v>3.0202270000000002</v>
      </c>
      <c r="D28" s="4">
        <v>1.281404</v>
      </c>
      <c r="E28" s="8"/>
      <c r="F28" s="15">
        <v>0.60514999999999997</v>
      </c>
      <c r="G28" s="20">
        <v>795746.81</v>
      </c>
      <c r="H28" s="20">
        <v>314278.88</v>
      </c>
      <c r="I28" s="20">
        <v>481467.91</v>
      </c>
      <c r="J28" s="15">
        <f t="shared" si="0"/>
        <v>0.39494833790159961</v>
      </c>
      <c r="K28" s="8"/>
      <c r="L28" s="16">
        <f t="shared" si="2"/>
        <v>5.7621299917027427E-2</v>
      </c>
      <c r="M28" s="16">
        <f t="shared" si="7"/>
        <v>4.0722296719560395E-2</v>
      </c>
      <c r="N28" s="16">
        <f t="shared" si="4"/>
        <v>2.1873103599355632E-2</v>
      </c>
      <c r="O28" s="16">
        <f t="shared" si="5"/>
        <v>2.8305592414158941E-2</v>
      </c>
      <c r="Q28" s="4">
        <f t="shared" si="6"/>
        <v>0.68811904867275098</v>
      </c>
      <c r="R28" s="15">
        <f t="shared" si="1"/>
        <v>1.98996897601517</v>
      </c>
    </row>
    <row r="29" spans="1:18" x14ac:dyDescent="0.3">
      <c r="A29">
        <v>1974</v>
      </c>
      <c r="B29" s="4">
        <v>2.5641729999999998</v>
      </c>
      <c r="C29" s="4">
        <v>3.157635</v>
      </c>
      <c r="D29" s="4">
        <v>1.2593810000000001</v>
      </c>
      <c r="E29" s="8"/>
      <c r="F29" s="15">
        <v>0.60514999999999997</v>
      </c>
      <c r="G29" s="20">
        <v>839624.31</v>
      </c>
      <c r="H29" s="20">
        <v>328322.81</v>
      </c>
      <c r="I29" s="20">
        <v>511301.53</v>
      </c>
      <c r="J29" s="15">
        <f t="shared" si="0"/>
        <v>0.39103537866834748</v>
      </c>
      <c r="K29" s="8"/>
      <c r="L29" s="16">
        <f t="shared" si="2"/>
        <v>-5.9934768159971036E-2</v>
      </c>
      <c r="M29" s="16">
        <f t="shared" si="7"/>
        <v>4.4491335548040502E-2</v>
      </c>
      <c r="N29" s="16">
        <f t="shared" si="4"/>
        <v>-9.9569278050036722E-3</v>
      </c>
      <c r="O29" s="16">
        <f t="shared" si="5"/>
        <v>-7.1476737139916854E-2</v>
      </c>
      <c r="Q29" s="4">
        <f t="shared" si="6"/>
        <v>0.61664231153283411</v>
      </c>
      <c r="R29" s="15">
        <f t="shared" si="1"/>
        <v>1.8526968077246972</v>
      </c>
    </row>
    <row r="30" spans="1:18" x14ac:dyDescent="0.3">
      <c r="A30">
        <v>1975</v>
      </c>
      <c r="B30" s="4">
        <v>2.4448379999999998</v>
      </c>
      <c r="C30" s="4">
        <v>3.2862990000000001</v>
      </c>
      <c r="D30" s="4">
        <v>1.1641680000000001</v>
      </c>
      <c r="E30" s="8"/>
      <c r="F30" s="15">
        <v>0.60514999999999997</v>
      </c>
      <c r="G30" s="20">
        <v>911870.06</v>
      </c>
      <c r="H30" s="20">
        <v>342504.88</v>
      </c>
      <c r="I30" s="20">
        <v>569365.18999999994</v>
      </c>
      <c r="J30" s="15">
        <f t="shared" si="0"/>
        <v>0.37560711226772814</v>
      </c>
      <c r="K30" s="8"/>
      <c r="L30" s="16">
        <f t="shared" si="2"/>
        <v>-4.7657146418163952E-2</v>
      </c>
      <c r="M30" s="16">
        <f t="shared" si="7"/>
        <v>3.9938677890248603E-2</v>
      </c>
      <c r="N30" s="16">
        <f t="shared" si="4"/>
        <v>-4.0254355514907976E-2</v>
      </c>
      <c r="O30" s="16">
        <f t="shared" si="5"/>
        <v>-3.9067010143282052E-2</v>
      </c>
      <c r="Q30" s="4">
        <f t="shared" si="6"/>
        <v>0.57757530138955204</v>
      </c>
      <c r="R30" s="15">
        <f t="shared" si="1"/>
        <v>1.7817130718138523</v>
      </c>
    </row>
    <row r="31" spans="1:18" x14ac:dyDescent="0.3">
      <c r="A31">
        <v>1976</v>
      </c>
      <c r="B31" s="4">
        <v>2.6209980000000002</v>
      </c>
      <c r="C31" s="4">
        <v>3.4023219999999998</v>
      </c>
      <c r="D31" s="4">
        <v>1.2079549999999999</v>
      </c>
      <c r="E31" s="8"/>
      <c r="F31" s="15">
        <v>0.60514999999999997</v>
      </c>
      <c r="G31" s="20">
        <v>1030431.8</v>
      </c>
      <c r="H31" s="20">
        <v>388488.56</v>
      </c>
      <c r="I31" s="20">
        <v>641943.18999999994</v>
      </c>
      <c r="J31" s="15">
        <f t="shared" si="0"/>
        <v>0.37701530562236141</v>
      </c>
      <c r="K31" s="8"/>
      <c r="L31" s="16">
        <f t="shared" si="2"/>
        <v>6.9576298210459464E-2</v>
      </c>
      <c r="M31" s="16">
        <f t="shared" si="7"/>
        <v>3.4696132137191089E-2</v>
      </c>
      <c r="N31" s="16">
        <f t="shared" si="4"/>
        <v>3.7421021868136398E-3</v>
      </c>
      <c r="O31" s="16">
        <f t="shared" si="5"/>
        <v>5.3611997297739286E-2</v>
      </c>
      <c r="Q31" s="4">
        <f t="shared" si="6"/>
        <v>0.63118729868729129</v>
      </c>
      <c r="R31" s="15">
        <f t="shared" si="1"/>
        <v>1.8798411877775911</v>
      </c>
    </row>
    <row r="32" spans="1:18" x14ac:dyDescent="0.3">
      <c r="A32">
        <v>1977</v>
      </c>
      <c r="B32" s="4">
        <v>2.7403569999999999</v>
      </c>
      <c r="C32" s="4">
        <v>3.5186250000000001</v>
      </c>
      <c r="D32" s="4">
        <v>1.2612449999999999</v>
      </c>
      <c r="E32" s="8"/>
      <c r="F32" s="15">
        <v>0.60514999999999997</v>
      </c>
      <c r="G32" s="20">
        <v>1149704</v>
      </c>
      <c r="H32" s="20">
        <v>437670.38</v>
      </c>
      <c r="I32" s="20">
        <v>712033.63</v>
      </c>
      <c r="J32" s="15">
        <f t="shared" si="0"/>
        <v>0.3806809230897692</v>
      </c>
      <c r="K32" s="8"/>
      <c r="L32" s="16">
        <f t="shared" si="2"/>
        <v>4.4533042610073334E-2</v>
      </c>
      <c r="M32" s="16">
        <f t="shared" si="7"/>
        <v>3.3612148595803144E-2</v>
      </c>
      <c r="N32" s="16">
        <f t="shared" si="4"/>
        <v>9.6757669538932098E-3</v>
      </c>
      <c r="O32" s="16">
        <f t="shared" si="5"/>
        <v>2.5405995364871984E-2</v>
      </c>
      <c r="Q32" s="4">
        <f t="shared" si="6"/>
        <v>0.65659329405216327</v>
      </c>
      <c r="R32" s="15">
        <f t="shared" si="1"/>
        <v>1.9282122803670176</v>
      </c>
    </row>
    <row r="33" spans="1:18" x14ac:dyDescent="0.3">
      <c r="A33">
        <v>1978</v>
      </c>
      <c r="B33" s="4">
        <v>2.8520470000000002</v>
      </c>
      <c r="C33" s="4">
        <v>3.6835040000000001</v>
      </c>
      <c r="D33" s="4">
        <v>1.3303590000000001</v>
      </c>
      <c r="E33" s="8"/>
      <c r="F33" s="15">
        <v>0.60514999999999997</v>
      </c>
      <c r="G33" s="20">
        <v>1298036.3</v>
      </c>
      <c r="H33" s="20">
        <v>495253.75</v>
      </c>
      <c r="I33" s="20">
        <v>802782.56</v>
      </c>
      <c r="J33" s="15">
        <f t="shared" si="0"/>
        <v>0.38154075506208879</v>
      </c>
      <c r="K33" s="8"/>
      <c r="L33" s="16">
        <f t="shared" si="2"/>
        <v>3.9948778196135487E-2</v>
      </c>
      <c r="M33" s="16">
        <f t="shared" si="7"/>
        <v>4.5794184767669138E-2</v>
      </c>
      <c r="N33" s="16">
        <f t="shared" si="4"/>
        <v>2.2561214452006036E-3</v>
      </c>
      <c r="O33" s="16">
        <f t="shared" si="5"/>
        <v>2.050165244805818E-2</v>
      </c>
      <c r="Q33" s="4">
        <f t="shared" si="6"/>
        <v>0.6770949465002214</v>
      </c>
      <c r="R33" s="15">
        <f t="shared" si="1"/>
        <v>1.9681518328651901</v>
      </c>
    </row>
    <row r="34" spans="1:18" x14ac:dyDescent="0.3">
      <c r="A34">
        <v>1979</v>
      </c>
      <c r="B34" s="4">
        <v>2.8714590000000002</v>
      </c>
      <c r="C34" s="4">
        <v>3.8551690000000001</v>
      </c>
      <c r="D34" s="4">
        <v>1.3723129999999999</v>
      </c>
      <c r="E34" s="8"/>
      <c r="F34" s="15">
        <v>0.60514999999999997</v>
      </c>
      <c r="G34" s="20">
        <v>1481996.5</v>
      </c>
      <c r="H34" s="20">
        <v>559856.93999999994</v>
      </c>
      <c r="I34" s="20">
        <v>922139.5</v>
      </c>
      <c r="J34" s="15">
        <f t="shared" ref="J34:J65" si="8">H34/G34</f>
        <v>0.37777210674923994</v>
      </c>
      <c r="K34" s="8"/>
      <c r="L34" s="16">
        <f t="shared" si="2"/>
        <v>6.7832808888386754E-3</v>
      </c>
      <c r="M34" s="16">
        <f t="shared" si="7"/>
        <v>4.5550372160438196E-2</v>
      </c>
      <c r="N34" s="16">
        <f t="shared" si="4"/>
        <v>-9.9265518815819451E-3</v>
      </c>
      <c r="O34" s="16">
        <f t="shared" si="5"/>
        <v>-5.1952306875710352E-3</v>
      </c>
      <c r="Q34" s="4">
        <f t="shared" si="6"/>
        <v>0.6718997158126504</v>
      </c>
      <c r="R34" s="15">
        <f t="shared" si="1"/>
        <v>1.9579533447529414</v>
      </c>
    </row>
    <row r="35" spans="1:18" x14ac:dyDescent="0.3">
      <c r="A35">
        <v>1980</v>
      </c>
      <c r="B35" s="4">
        <v>2.7331590000000001</v>
      </c>
      <c r="C35" s="4">
        <v>4.0397720000000001</v>
      </c>
      <c r="D35" s="4">
        <v>1.320125</v>
      </c>
      <c r="E35" s="8"/>
      <c r="F35" s="15">
        <v>0.60514999999999997</v>
      </c>
      <c r="G35" s="20">
        <v>1646776.1</v>
      </c>
      <c r="H35" s="20">
        <v>590986.63</v>
      </c>
      <c r="I35" s="20">
        <v>1055789.5</v>
      </c>
      <c r="J35" s="15">
        <f t="shared" si="8"/>
        <v>0.35887491323198095</v>
      </c>
      <c r="K35" s="8"/>
      <c r="L35" s="16">
        <f t="shared" si="2"/>
        <v>-4.9362179888263136E-2</v>
      </c>
      <c r="M35" s="16">
        <f t="shared" si="7"/>
        <v>4.6773409512649758E-2</v>
      </c>
      <c r="N35" s="16">
        <f t="shared" si="4"/>
        <v>-5.1317224945861439E-2</v>
      </c>
      <c r="O35" s="16">
        <f t="shared" si="5"/>
        <v>-3.6776041958344843E-2</v>
      </c>
      <c r="Q35" s="4">
        <f t="shared" si="6"/>
        <v>0.63512367385430557</v>
      </c>
      <c r="R35" s="15">
        <f t="shared" si="1"/>
        <v>1.8872555311919383</v>
      </c>
    </row>
    <row r="36" spans="1:18" x14ac:dyDescent="0.3">
      <c r="A36">
        <v>1981</v>
      </c>
      <c r="B36" s="4">
        <v>2.7829660000000001</v>
      </c>
      <c r="C36" s="4">
        <v>4.1842569999999997</v>
      </c>
      <c r="D36" s="4">
        <v>1.3217950000000001</v>
      </c>
      <c r="E36" s="8"/>
      <c r="F36" s="15">
        <v>0.60514999999999997</v>
      </c>
      <c r="G36" s="20">
        <v>1814615.1</v>
      </c>
      <c r="H36" s="20">
        <v>648645.43999999994</v>
      </c>
      <c r="I36" s="20">
        <v>1165969.8</v>
      </c>
      <c r="J36" s="15">
        <f t="shared" si="8"/>
        <v>0.35745621206392469</v>
      </c>
      <c r="K36" s="8"/>
      <c r="L36" s="16">
        <f t="shared" si="2"/>
        <v>1.8059182356914318E-2</v>
      </c>
      <c r="M36" s="16">
        <f t="shared" si="7"/>
        <v>3.5140894613459865E-2</v>
      </c>
      <c r="N36" s="16">
        <f t="shared" si="4"/>
        <v>-3.9610257683246912E-3</v>
      </c>
      <c r="O36" s="16">
        <f t="shared" si="5"/>
        <v>6.5808148624913743E-3</v>
      </c>
      <c r="Q36" s="4">
        <f t="shared" si="6"/>
        <v>0.64170448871679697</v>
      </c>
      <c r="R36" s="15">
        <f t="shared" si="1"/>
        <v>1.8997161660369279</v>
      </c>
    </row>
    <row r="37" spans="1:18" x14ac:dyDescent="0.3">
      <c r="A37">
        <v>1982</v>
      </c>
      <c r="B37" s="4">
        <v>2.6431909999999998</v>
      </c>
      <c r="C37" s="4">
        <v>4.3826479999999997</v>
      </c>
      <c r="D37" s="4">
        <v>1.228459</v>
      </c>
      <c r="E37" s="8"/>
      <c r="F37" s="15">
        <v>0.60514999999999997</v>
      </c>
      <c r="G37" s="20">
        <v>1911405.8</v>
      </c>
      <c r="H37" s="20">
        <v>653979.5</v>
      </c>
      <c r="I37" s="20">
        <v>1257426.3</v>
      </c>
      <c r="J37" s="15">
        <f t="shared" si="8"/>
        <v>0.34214581749202599</v>
      </c>
      <c r="K37" s="8"/>
      <c r="L37" s="16">
        <f t="shared" si="2"/>
        <v>-5.1530366062100742E-2</v>
      </c>
      <c r="M37" s="16">
        <f t="shared" si="7"/>
        <v>4.6323958571468864E-2</v>
      </c>
      <c r="N37" s="16">
        <f t="shared" si="4"/>
        <v>-4.3775857765243495E-2</v>
      </c>
      <c r="O37" s="16">
        <f t="shared" si="5"/>
        <v>-4.3330420777408132E-2</v>
      </c>
      <c r="Q37" s="4">
        <f t="shared" si="6"/>
        <v>0.59837406793938885</v>
      </c>
      <c r="R37" s="15">
        <f t="shared" si="1"/>
        <v>1.8191585662366736</v>
      </c>
    </row>
    <row r="38" spans="1:18" x14ac:dyDescent="0.3">
      <c r="A38">
        <v>1983</v>
      </c>
      <c r="B38" s="4">
        <v>2.7578589999999998</v>
      </c>
      <c r="C38" s="4">
        <v>4.5598320000000001</v>
      </c>
      <c r="D38" s="4">
        <v>1.2418979999999999</v>
      </c>
      <c r="E38" s="8"/>
      <c r="F38" s="15">
        <v>0.60514999999999997</v>
      </c>
      <c r="G38" s="20">
        <v>2042380.5</v>
      </c>
      <c r="H38" s="20">
        <v>670899.43999999994</v>
      </c>
      <c r="I38" s="20">
        <v>1371481.1</v>
      </c>
      <c r="J38" s="15">
        <f t="shared" si="8"/>
        <v>0.32848895688144297</v>
      </c>
      <c r="K38" s="8"/>
      <c r="L38" s="16">
        <f t="shared" si="2"/>
        <v>4.2467754686288418E-2</v>
      </c>
      <c r="M38" s="16">
        <f t="shared" si="7"/>
        <v>3.9632672820472392E-2</v>
      </c>
      <c r="N38" s="16">
        <f t="shared" si="4"/>
        <v>-4.0733792569452129E-2</v>
      </c>
      <c r="O38" s="16">
        <f t="shared" si="5"/>
        <v>5.1468848396528849E-2</v>
      </c>
      <c r="Q38" s="4">
        <f t="shared" si="6"/>
        <v>0.64984291633591773</v>
      </c>
      <c r="R38" s="15">
        <f t="shared" si="1"/>
        <v>1.9152399524737886</v>
      </c>
    </row>
    <row r="39" spans="1:18" x14ac:dyDescent="0.3">
      <c r="A39">
        <v>1984</v>
      </c>
      <c r="B39" s="4">
        <v>3.0325380000000002</v>
      </c>
      <c r="C39" s="4">
        <v>4.6733390000000004</v>
      </c>
      <c r="D39" s="4">
        <v>1.3339049999999999</v>
      </c>
      <c r="E39" s="8"/>
      <c r="F39" s="15">
        <v>0.60514999999999997</v>
      </c>
      <c r="G39" s="20">
        <v>2272605.2999999998</v>
      </c>
      <c r="H39" s="20">
        <v>760622.44</v>
      </c>
      <c r="I39" s="20">
        <v>1511982.9</v>
      </c>
      <c r="J39" s="15">
        <f t="shared" si="8"/>
        <v>0.33469183584144596</v>
      </c>
      <c r="K39" s="8"/>
      <c r="L39" s="16">
        <f t="shared" si="2"/>
        <v>9.4945238611310573E-2</v>
      </c>
      <c r="M39" s="16">
        <f t="shared" si="7"/>
        <v>2.4588024748749666E-2</v>
      </c>
      <c r="N39" s="16">
        <f t="shared" si="4"/>
        <v>1.8706994892883102E-2</v>
      </c>
      <c r="O39" s="16">
        <f t="shared" si="5"/>
        <v>7.3916119079838555E-2</v>
      </c>
      <c r="Q39" s="4">
        <f t="shared" si="6"/>
        <v>0.72375903541575626</v>
      </c>
      <c r="R39" s="15">
        <f t="shared" si="1"/>
        <v>2.0621704309738251</v>
      </c>
    </row>
    <row r="40" spans="1:18" x14ac:dyDescent="0.3">
      <c r="A40">
        <v>1985</v>
      </c>
      <c r="B40" s="4">
        <v>3.1846999999999999</v>
      </c>
      <c r="C40" s="4">
        <v>4.8268800000000001</v>
      </c>
      <c r="D40" s="4">
        <v>1.3505529999999999</v>
      </c>
      <c r="E40" s="8"/>
      <c r="F40" s="15">
        <v>0.60514999999999997</v>
      </c>
      <c r="G40" s="20">
        <v>2468433.2999999998</v>
      </c>
      <c r="H40" s="20">
        <v>806297.56</v>
      </c>
      <c r="I40" s="20">
        <v>1662135.6</v>
      </c>
      <c r="J40" s="15">
        <f t="shared" si="8"/>
        <v>0.32664344627015041</v>
      </c>
      <c r="K40" s="8"/>
      <c r="L40" s="16">
        <f t="shared" si="2"/>
        <v>4.8958200392420145E-2</v>
      </c>
      <c r="M40" s="16">
        <f t="shared" si="7"/>
        <v>3.2326490716651543E-2</v>
      </c>
      <c r="N40" s="16">
        <f t="shared" si="4"/>
        <v>-2.4341017829706352E-2</v>
      </c>
      <c r="O40" s="16">
        <f t="shared" si="5"/>
        <v>5.0924052472597084E-2</v>
      </c>
      <c r="Q40" s="4">
        <f t="shared" si="6"/>
        <v>0.77468308788835338</v>
      </c>
      <c r="R40" s="15">
        <f t="shared" si="1"/>
        <v>2.1699043492372301</v>
      </c>
    </row>
    <row r="41" spans="1:18" x14ac:dyDescent="0.3">
      <c r="A41">
        <v>1986</v>
      </c>
      <c r="B41" s="4">
        <v>3.2635100000000001</v>
      </c>
      <c r="C41" s="4">
        <v>4.9581489999999997</v>
      </c>
      <c r="D41" s="4">
        <v>1.32504</v>
      </c>
      <c r="E41" s="8"/>
      <c r="F41" s="15">
        <v>0.60514999999999997</v>
      </c>
      <c r="G41" s="20">
        <v>2613823</v>
      </c>
      <c r="H41" s="20">
        <v>832855.63</v>
      </c>
      <c r="I41" s="20">
        <v>1780967.3</v>
      </c>
      <c r="J41" s="15">
        <f t="shared" si="8"/>
        <v>0.31863505294734956</v>
      </c>
      <c r="K41" s="8"/>
      <c r="L41" s="16">
        <f t="shared" si="2"/>
        <v>2.4445210218259673E-2</v>
      </c>
      <c r="M41" s="16">
        <f t="shared" si="7"/>
        <v>2.6832189394187432E-2</v>
      </c>
      <c r="N41" s="16">
        <f t="shared" si="4"/>
        <v>-2.482278439366311E-2</v>
      </c>
      <c r="O41" s="16">
        <f t="shared" si="5"/>
        <v>2.8872028211789996E-2</v>
      </c>
      <c r="Q41" s="4">
        <f t="shared" si="6"/>
        <v>0.80355511610014341</v>
      </c>
      <c r="R41" s="15">
        <f t="shared" si="1"/>
        <v>2.2334670656997746</v>
      </c>
    </row>
    <row r="42" spans="1:18" x14ac:dyDescent="0.3">
      <c r="A42">
        <v>1987</v>
      </c>
      <c r="B42" s="4">
        <v>3.441201</v>
      </c>
      <c r="C42" s="4">
        <v>5.0682660000000004</v>
      </c>
      <c r="D42" s="4">
        <v>1.3493040000000001</v>
      </c>
      <c r="E42" s="8"/>
      <c r="F42" s="15">
        <v>0.60514999999999997</v>
      </c>
      <c r="G42" s="20">
        <v>2806064.5</v>
      </c>
      <c r="H42" s="20">
        <v>864301.31</v>
      </c>
      <c r="I42" s="20">
        <v>1941763</v>
      </c>
      <c r="J42" s="15">
        <f t="shared" si="8"/>
        <v>0.30801191847158182</v>
      </c>
      <c r="K42" s="8"/>
      <c r="L42" s="16">
        <f t="shared" si="2"/>
        <v>5.3017235077994149E-2</v>
      </c>
      <c r="M42" s="16">
        <f t="shared" si="7"/>
        <v>2.1966261667452941E-2</v>
      </c>
      <c r="N42" s="16">
        <f t="shared" si="4"/>
        <v>-3.3907934668666047E-2</v>
      </c>
      <c r="O42" s="16">
        <f t="shared" si="5"/>
        <v>6.4863243323343617E-2</v>
      </c>
      <c r="Q42" s="4">
        <f t="shared" si="6"/>
        <v>0.868418359423487</v>
      </c>
      <c r="R42" s="15">
        <f t="shared" si="1"/>
        <v>2.3831386024249097</v>
      </c>
    </row>
    <row r="43" spans="1:18" x14ac:dyDescent="0.3">
      <c r="A43">
        <v>1988</v>
      </c>
      <c r="B43" s="4">
        <v>3.5917629999999998</v>
      </c>
      <c r="C43" s="4">
        <v>5.0646699999999996</v>
      </c>
      <c r="D43" s="4">
        <v>1.403661</v>
      </c>
      <c r="E43" s="8"/>
      <c r="F43" s="15">
        <v>0.60514999999999997</v>
      </c>
      <c r="G43" s="20">
        <v>3071243.3</v>
      </c>
      <c r="H43" s="20">
        <v>933561.63</v>
      </c>
      <c r="I43" s="20">
        <v>2137681.5</v>
      </c>
      <c r="J43" s="15">
        <f t="shared" si="8"/>
        <v>0.30396863381028788</v>
      </c>
      <c r="K43" s="8"/>
      <c r="L43" s="16">
        <f t="shared" si="2"/>
        <v>4.2822629946406218E-2</v>
      </c>
      <c r="M43" s="16">
        <f t="shared" si="7"/>
        <v>-7.0976470214809692E-4</v>
      </c>
      <c r="N43" s="16">
        <f t="shared" si="4"/>
        <v>-1.3213960733847799E-2</v>
      </c>
      <c r="O43" s="16">
        <f t="shared" si="5"/>
        <v>5.1099308877137387E-2</v>
      </c>
      <c r="Q43" s="4">
        <f t="shared" si="6"/>
        <v>0.91951766830062442</v>
      </c>
      <c r="R43" s="15">
        <f t="shared" si="1"/>
        <v>2.5080803714768813</v>
      </c>
    </row>
    <row r="44" spans="1:18" x14ac:dyDescent="0.3">
      <c r="A44">
        <v>1989</v>
      </c>
      <c r="B44" s="4">
        <v>3.644574</v>
      </c>
      <c r="C44" s="4">
        <v>5.1489989999999999</v>
      </c>
      <c r="D44" s="4">
        <v>1.4126369999999999</v>
      </c>
      <c r="E44" s="8"/>
      <c r="F44" s="15">
        <v>0.60514999999999997</v>
      </c>
      <c r="G44" s="20">
        <v>3220815.3</v>
      </c>
      <c r="H44" s="20">
        <v>975114.63</v>
      </c>
      <c r="I44" s="20">
        <v>2245700.5</v>
      </c>
      <c r="J44" s="15">
        <f t="shared" si="8"/>
        <v>0.30275397350478311</v>
      </c>
      <c r="K44" s="8"/>
      <c r="L44" s="16">
        <f t="shared" si="2"/>
        <v>1.4596317894799914E-2</v>
      </c>
      <c r="M44" s="16">
        <f t="shared" si="7"/>
        <v>1.6513344284278787E-2</v>
      </c>
      <c r="N44" s="16">
        <f t="shared" si="4"/>
        <v>-4.0040107741364048E-3</v>
      </c>
      <c r="O44" s="16">
        <f t="shared" si="5"/>
        <v>1.0499051024121081E-2</v>
      </c>
      <c r="Q44" s="4">
        <f t="shared" si="6"/>
        <v>0.9300167193247455</v>
      </c>
      <c r="R44" s="15">
        <f t="shared" si="1"/>
        <v>2.534551553254111</v>
      </c>
    </row>
    <row r="45" spans="1:18" x14ac:dyDescent="0.3">
      <c r="A45">
        <v>1990</v>
      </c>
      <c r="B45" s="4">
        <v>3.650512</v>
      </c>
      <c r="C45" s="4">
        <v>5.2593199999999998</v>
      </c>
      <c r="D45" s="4">
        <v>1.402695</v>
      </c>
      <c r="E45" s="8"/>
      <c r="F45" s="15">
        <v>0.60514999999999997</v>
      </c>
      <c r="G45" s="20">
        <v>3418432.3</v>
      </c>
      <c r="H45" s="20">
        <v>990332.88</v>
      </c>
      <c r="I45" s="20">
        <v>2428099.5</v>
      </c>
      <c r="J45" s="15">
        <f t="shared" si="8"/>
        <v>0.28970381540099538</v>
      </c>
      <c r="K45" s="8"/>
      <c r="L45" s="16">
        <f t="shared" si="2"/>
        <v>1.6279455270055137E-3</v>
      </c>
      <c r="M45" s="16">
        <f t="shared" si="7"/>
        <v>2.119941397449663E-2</v>
      </c>
      <c r="N45" s="16">
        <f t="shared" si="4"/>
        <v>-4.4061432185152086E-2</v>
      </c>
      <c r="O45" s="16">
        <f t="shared" si="5"/>
        <v>1.9921132606020301E-2</v>
      </c>
      <c r="Q45" s="4">
        <f t="shared" si="6"/>
        <v>0.94993785193076585</v>
      </c>
      <c r="R45" s="15">
        <f t="shared" si="1"/>
        <v>2.5855489674463161</v>
      </c>
    </row>
    <row r="46" spans="1:18" x14ac:dyDescent="0.3">
      <c r="A46">
        <v>1991</v>
      </c>
      <c r="B46" s="4">
        <v>3.5812719999999998</v>
      </c>
      <c r="C46" s="4">
        <v>5.3583379999999998</v>
      </c>
      <c r="D46" s="4">
        <v>1.3529100000000001</v>
      </c>
      <c r="E46" s="8"/>
      <c r="F46" s="15">
        <v>0.60514999999999997</v>
      </c>
      <c r="G46" s="20">
        <v>3577624.5</v>
      </c>
      <c r="H46" s="20">
        <v>998328.81</v>
      </c>
      <c r="I46" s="20">
        <v>2579295.7999999998</v>
      </c>
      <c r="J46" s="15">
        <f t="shared" si="8"/>
        <v>0.27904795766017371</v>
      </c>
      <c r="K46" s="8"/>
      <c r="L46" s="16">
        <f t="shared" si="2"/>
        <v>-1.9149387161028094E-2</v>
      </c>
      <c r="M46" s="16">
        <f t="shared" si="7"/>
        <v>1.8652111546754217E-2</v>
      </c>
      <c r="N46" s="16">
        <f t="shared" si="4"/>
        <v>-3.7475416563199297E-2</v>
      </c>
      <c r="O46" s="16">
        <f t="shared" si="5"/>
        <v>-3.8359250720439442E-3</v>
      </c>
      <c r="Q46" s="4">
        <f t="shared" si="6"/>
        <v>0.94610192685872185</v>
      </c>
      <c r="R46" s="15">
        <f t="shared" si="1"/>
        <v>2.5756499933366328</v>
      </c>
    </row>
    <row r="47" spans="1:18" x14ac:dyDescent="0.3">
      <c r="A47">
        <v>1992</v>
      </c>
      <c r="B47" s="4">
        <v>3.6973639999999999</v>
      </c>
      <c r="C47" s="4">
        <v>5.4644529999999998</v>
      </c>
      <c r="D47" s="4">
        <v>1.349669</v>
      </c>
      <c r="E47" s="8"/>
      <c r="F47" s="15">
        <v>0.60514999999999997</v>
      </c>
      <c r="G47" s="20">
        <v>3740753.8</v>
      </c>
      <c r="H47" s="20">
        <v>1033005.1</v>
      </c>
      <c r="I47" s="20">
        <v>2707748.8</v>
      </c>
      <c r="J47" s="15">
        <f t="shared" si="8"/>
        <v>0.27614891415735515</v>
      </c>
      <c r="K47" s="8"/>
      <c r="L47" s="16">
        <f t="shared" si="2"/>
        <v>3.1902088748661295E-2</v>
      </c>
      <c r="M47" s="16">
        <f t="shared" si="7"/>
        <v>1.961017275493785E-2</v>
      </c>
      <c r="N47" s="16">
        <f t="shared" si="4"/>
        <v>-1.0443394040877289E-2</v>
      </c>
      <c r="O47" s="16">
        <f t="shared" si="5"/>
        <v>3.0478831940210976E-2</v>
      </c>
      <c r="Q47" s="4">
        <f t="shared" si="6"/>
        <v>0.9765807587989328</v>
      </c>
      <c r="R47" s="15">
        <f t="shared" si="1"/>
        <v>2.6553613809910166</v>
      </c>
    </row>
    <row r="48" spans="1:18" x14ac:dyDescent="0.3">
      <c r="A48">
        <v>1993</v>
      </c>
      <c r="B48" s="4">
        <v>3.7805240000000002</v>
      </c>
      <c r="C48" s="4">
        <v>5.5819369999999999</v>
      </c>
      <c r="D48" s="4">
        <v>1.372838</v>
      </c>
      <c r="E48" s="8"/>
      <c r="F48" s="15">
        <v>0.60514999999999997</v>
      </c>
      <c r="G48" s="20">
        <v>3962040.5</v>
      </c>
      <c r="H48" s="20">
        <v>1065297.3999999999</v>
      </c>
      <c r="I48" s="20">
        <v>2896743</v>
      </c>
      <c r="J48" s="15">
        <f t="shared" si="8"/>
        <v>0.26887594914792007</v>
      </c>
      <c r="K48" s="8"/>
      <c r="L48" s="16">
        <f t="shared" si="2"/>
        <v>2.224249104549253E-2</v>
      </c>
      <c r="M48" s="16">
        <f t="shared" si="7"/>
        <v>2.1271823645414054E-2</v>
      </c>
      <c r="N48" s="16">
        <f t="shared" si="4"/>
        <v>-2.669014661102137E-2</v>
      </c>
      <c r="O48" s="16">
        <f t="shared" si="5"/>
        <v>2.9994853700760368E-2</v>
      </c>
      <c r="Q48" s="4">
        <f t="shared" si="6"/>
        <v>1.0065756124996932</v>
      </c>
      <c r="R48" s="15">
        <f t="shared" si="1"/>
        <v>2.7362150929093794</v>
      </c>
    </row>
    <row r="49" spans="1:18" x14ac:dyDescent="0.3">
      <c r="A49">
        <v>1994</v>
      </c>
      <c r="B49" s="4">
        <v>4.0222069999999999</v>
      </c>
      <c r="C49" s="4">
        <v>5.7040790000000001</v>
      </c>
      <c r="D49" s="4">
        <v>1.4140090000000001</v>
      </c>
      <c r="E49" s="8"/>
      <c r="F49" s="15">
        <v>0.60514999999999997</v>
      </c>
      <c r="G49" s="20">
        <v>4108492.7999999998</v>
      </c>
      <c r="H49" s="20">
        <v>1109825.1000000001</v>
      </c>
      <c r="I49" s="20">
        <v>2998667.5</v>
      </c>
      <c r="J49" s="15">
        <f t="shared" si="8"/>
        <v>0.27012949858400631</v>
      </c>
      <c r="K49" s="8"/>
      <c r="L49" s="16">
        <f t="shared" si="2"/>
        <v>6.1968132595302823E-2</v>
      </c>
      <c r="M49" s="16">
        <f t="shared" si="7"/>
        <v>2.1645684172839314E-2</v>
      </c>
      <c r="N49" s="16">
        <f t="shared" si="4"/>
        <v>4.651350747611427E-3</v>
      </c>
      <c r="O49" s="16">
        <f t="shared" si="5"/>
        <v>5.0606569294740167E-2</v>
      </c>
      <c r="Q49" s="4">
        <f t="shared" si="6"/>
        <v>1.0571821817944334</v>
      </c>
      <c r="R49" s="15">
        <f t="shared" si="1"/>
        <v>2.8782491688271343</v>
      </c>
    </row>
    <row r="50" spans="1:18" x14ac:dyDescent="0.3">
      <c r="A50">
        <v>1995</v>
      </c>
      <c r="B50" s="4">
        <v>4.1044390000000002</v>
      </c>
      <c r="C50" s="4">
        <v>5.8766239999999996</v>
      </c>
      <c r="D50" s="4">
        <v>1.4318299999999999</v>
      </c>
      <c r="E50" s="8"/>
      <c r="F50" s="15">
        <v>0.60514999999999997</v>
      </c>
      <c r="G50" s="20">
        <v>4331886.5</v>
      </c>
      <c r="H50" s="20">
        <v>1137367.5</v>
      </c>
      <c r="I50" s="20">
        <v>3194519</v>
      </c>
      <c r="J50" s="15">
        <f t="shared" si="8"/>
        <v>0.26255708684888213</v>
      </c>
      <c r="K50" s="8"/>
      <c r="L50" s="16">
        <f t="shared" si="2"/>
        <v>2.0238314000671394E-2</v>
      </c>
      <c r="M50" s="16">
        <f t="shared" si="7"/>
        <v>2.9800914417680093E-2</v>
      </c>
      <c r="N50" s="16">
        <f t="shared" si="4"/>
        <v>-2.8432936302846008E-2</v>
      </c>
      <c r="O50" s="16">
        <f t="shared" si="5"/>
        <v>2.567761434651767E-2</v>
      </c>
      <c r="Q50" s="4">
        <f t="shared" si="6"/>
        <v>1.082859796140951</v>
      </c>
      <c r="R50" s="15">
        <f t="shared" si="1"/>
        <v>2.9531127872025236</v>
      </c>
    </row>
    <row r="51" spans="1:18" x14ac:dyDescent="0.3">
      <c r="A51">
        <v>1996</v>
      </c>
      <c r="B51" s="4">
        <v>4.2611600000000003</v>
      </c>
      <c r="C51" s="4">
        <v>6.0986029999999998</v>
      </c>
      <c r="D51" s="4">
        <v>1.4549510000000001</v>
      </c>
      <c r="E51" s="8"/>
      <c r="F51" s="15">
        <v>0.60514999999999997</v>
      </c>
      <c r="G51" s="20">
        <v>4551839.5</v>
      </c>
      <c r="H51" s="20">
        <v>1193016.5</v>
      </c>
      <c r="I51" s="20">
        <v>3358822.8</v>
      </c>
      <c r="J51" s="15">
        <f t="shared" si="8"/>
        <v>0.26209546711829362</v>
      </c>
      <c r="K51" s="8"/>
      <c r="L51" s="16">
        <f t="shared" si="2"/>
        <v>3.7472352725089211E-2</v>
      </c>
      <c r="M51" s="16">
        <f t="shared" si="7"/>
        <v>3.7077281193924783E-2</v>
      </c>
      <c r="N51" s="16">
        <f t="shared" si="4"/>
        <v>-1.7597163921874745E-3</v>
      </c>
      <c r="O51" s="16">
        <f t="shared" si="5"/>
        <v>2.3897280620400259E-2</v>
      </c>
      <c r="Q51" s="4">
        <f t="shared" si="6"/>
        <v>1.1067570767613513</v>
      </c>
      <c r="R51" s="15">
        <f t="shared" si="1"/>
        <v>3.0245341413430697</v>
      </c>
    </row>
    <row r="52" spans="1:18" x14ac:dyDescent="0.3">
      <c r="A52">
        <v>1997</v>
      </c>
      <c r="B52" s="4">
        <v>4.4793760000000002</v>
      </c>
      <c r="C52" s="4">
        <v>6.3500719999999999</v>
      </c>
      <c r="D52" s="4">
        <v>1.487053</v>
      </c>
      <c r="E52" s="8"/>
      <c r="F52" s="15">
        <v>0.60514999999999997</v>
      </c>
      <c r="G52" s="20">
        <v>4892870.5</v>
      </c>
      <c r="H52" s="20">
        <v>1244620.3999999999</v>
      </c>
      <c r="I52" s="20">
        <v>3648250.3</v>
      </c>
      <c r="J52" s="15">
        <f t="shared" si="8"/>
        <v>0.25437427783956268</v>
      </c>
      <c r="K52" s="8"/>
      <c r="L52" s="16">
        <f t="shared" si="2"/>
        <v>4.9942327327733509E-2</v>
      </c>
      <c r="M52" s="16">
        <f t="shared" si="7"/>
        <v>4.0406422865431987E-2</v>
      </c>
      <c r="N52" s="16">
        <f t="shared" si="4"/>
        <v>-2.9902098472659247E-2</v>
      </c>
      <c r="O52" s="16">
        <f t="shared" si="5"/>
        <v>5.2083106150047437E-2</v>
      </c>
      <c r="Q52" s="4">
        <f t="shared" si="6"/>
        <v>1.1588401829113988</v>
      </c>
      <c r="R52" s="15">
        <f t="shared" si="1"/>
        <v>3.1862356816721515</v>
      </c>
    </row>
    <row r="53" spans="1:18" x14ac:dyDescent="0.3">
      <c r="A53">
        <v>1998</v>
      </c>
      <c r="B53" s="4">
        <v>4.6318739999999998</v>
      </c>
      <c r="C53" s="4">
        <v>6.6430439999999997</v>
      </c>
      <c r="D53" s="4">
        <v>1.498397</v>
      </c>
      <c r="E53" s="8"/>
      <c r="F53" s="15">
        <v>0.60514999999999997</v>
      </c>
      <c r="G53" s="20">
        <v>5330721.5</v>
      </c>
      <c r="H53" s="20">
        <v>1311015.3999999999</v>
      </c>
      <c r="I53" s="20">
        <v>4019706</v>
      </c>
      <c r="J53" s="15">
        <f t="shared" si="8"/>
        <v>0.24593582688572269</v>
      </c>
      <c r="K53" s="8"/>
      <c r="L53" s="16">
        <f t="shared" si="2"/>
        <v>3.3477786816720041E-2</v>
      </c>
      <c r="M53" s="16">
        <f t="shared" si="7"/>
        <v>4.5104140751645302E-2</v>
      </c>
      <c r="N53" s="16">
        <f t="shared" si="4"/>
        <v>-3.3736081650253602E-2</v>
      </c>
      <c r="O53" s="16">
        <f t="shared" si="5"/>
        <v>3.6083806651583859E-2</v>
      </c>
      <c r="Q53" s="4">
        <f t="shared" si="6"/>
        <v>1.1949239895629826</v>
      </c>
      <c r="R53" s="15">
        <f t="shared" si="1"/>
        <v>3.303306675174877</v>
      </c>
    </row>
    <row r="54" spans="1:18" x14ac:dyDescent="0.3">
      <c r="A54">
        <v>1999</v>
      </c>
      <c r="B54" s="4">
        <v>4.8693369999999998</v>
      </c>
      <c r="C54" s="4">
        <v>6.9041860000000002</v>
      </c>
      <c r="D54" s="4">
        <v>1.5101709999999999</v>
      </c>
      <c r="E54" s="8"/>
      <c r="F54" s="15">
        <v>0.60514999999999997</v>
      </c>
      <c r="G54" s="20">
        <v>5614821.5</v>
      </c>
      <c r="H54" s="20">
        <v>1375409.3</v>
      </c>
      <c r="I54" s="20">
        <v>4239412</v>
      </c>
      <c r="J54" s="15">
        <f t="shared" si="8"/>
        <v>0.24496046757675199</v>
      </c>
      <c r="K54" s="8"/>
      <c r="L54" s="16">
        <f t="shared" si="2"/>
        <v>4.9996250368095484E-2</v>
      </c>
      <c r="M54" s="16">
        <f t="shared" si="7"/>
        <v>3.8557602147409484E-2</v>
      </c>
      <c r="N54" s="16">
        <f t="shared" si="4"/>
        <v>-3.9737948868962944E-3</v>
      </c>
      <c r="O54" s="16">
        <f t="shared" si="5"/>
        <v>3.7176523135996141E-2</v>
      </c>
      <c r="Q54" s="4">
        <f t="shared" si="6"/>
        <v>1.2321005126989788</v>
      </c>
      <c r="R54" s="15">
        <f t="shared" si="1"/>
        <v>3.4284234251591892</v>
      </c>
    </row>
    <row r="55" spans="1:18" x14ac:dyDescent="0.3">
      <c r="A55">
        <v>2000</v>
      </c>
      <c r="B55" s="4">
        <v>5.1124029999999996</v>
      </c>
      <c r="C55" s="4">
        <v>7.0885790000000002</v>
      </c>
      <c r="D55" s="4">
        <v>1.5151859999999999</v>
      </c>
      <c r="E55" s="8"/>
      <c r="F55" s="15">
        <v>0.60514999999999997</v>
      </c>
      <c r="G55" s="20">
        <v>6093353.5</v>
      </c>
      <c r="H55" s="20">
        <v>1480172.5</v>
      </c>
      <c r="I55" s="20">
        <v>4613181.5</v>
      </c>
      <c r="J55" s="15">
        <f t="shared" si="8"/>
        <v>0.24291590829253545</v>
      </c>
      <c r="K55" s="8"/>
      <c r="L55" s="16">
        <f t="shared" si="2"/>
        <v>4.8711759887526358E-2</v>
      </c>
      <c r="M55" s="16">
        <f t="shared" si="7"/>
        <v>2.6357003003414529E-2</v>
      </c>
      <c r="N55" s="16">
        <f t="shared" si="4"/>
        <v>-8.3815136558369665E-3</v>
      </c>
      <c r="O55" s="16">
        <f t="shared" si="5"/>
        <v>4.3376770240457871E-2</v>
      </c>
      <c r="Q55" s="4">
        <f t="shared" si="6"/>
        <v>1.2754772829394367</v>
      </c>
      <c r="R55" s="15">
        <f t="shared" si="1"/>
        <v>3.5804098709071246</v>
      </c>
    </row>
    <row r="56" spans="1:18" x14ac:dyDescent="0.3">
      <c r="A56">
        <v>2001</v>
      </c>
      <c r="B56" s="4">
        <v>4.9205680000000003</v>
      </c>
      <c r="C56" s="4">
        <v>7.2298609999999996</v>
      </c>
      <c r="D56" s="4">
        <v>1.468113</v>
      </c>
      <c r="E56" s="8"/>
      <c r="F56" s="15">
        <v>0.60514999999999997</v>
      </c>
      <c r="G56" s="20">
        <v>6282005.5</v>
      </c>
      <c r="H56" s="20">
        <v>1428762.5</v>
      </c>
      <c r="I56" s="20">
        <v>4853243</v>
      </c>
      <c r="J56" s="15">
        <f t="shared" si="8"/>
        <v>0.22743732077280099</v>
      </c>
      <c r="K56" s="8"/>
      <c r="L56" s="16">
        <f t="shared" si="2"/>
        <v>-3.8245577088615465E-2</v>
      </c>
      <c r="M56" s="16">
        <f t="shared" si="7"/>
        <v>1.9734913210880285E-2</v>
      </c>
      <c r="N56" s="16">
        <f t="shared" si="4"/>
        <v>-6.5840639696179537E-2</v>
      </c>
      <c r="O56" s="16">
        <f t="shared" si="5"/>
        <v>-6.1944444577885019E-3</v>
      </c>
      <c r="Q56" s="4">
        <f t="shared" si="6"/>
        <v>1.2692828384816481</v>
      </c>
      <c r="R56" s="15">
        <f t="shared" si="1"/>
        <v>3.5582997714164004</v>
      </c>
    </row>
    <row r="57" spans="1:18" x14ac:dyDescent="0.3">
      <c r="A57">
        <v>2002</v>
      </c>
      <c r="B57" s="4">
        <v>4.9539479999999996</v>
      </c>
      <c r="C57" s="4">
        <v>7.3315760000000001</v>
      </c>
      <c r="D57" s="4">
        <v>1.40394</v>
      </c>
      <c r="E57" s="8"/>
      <c r="F57" s="15">
        <v>0.60514999999999997</v>
      </c>
      <c r="G57" s="20">
        <v>6338332</v>
      </c>
      <c r="H57" s="20">
        <v>1394944.1</v>
      </c>
      <c r="I57" s="20">
        <v>4943388</v>
      </c>
      <c r="J57" s="15">
        <f t="shared" si="8"/>
        <v>0.22008063004588591</v>
      </c>
      <c r="K57" s="8"/>
      <c r="L57" s="16">
        <f t="shared" si="2"/>
        <v>6.7608634484704081E-3</v>
      </c>
      <c r="M57" s="16">
        <f t="shared" si="7"/>
        <v>1.3970689072842534E-2</v>
      </c>
      <c r="N57" s="16">
        <f t="shared" si="4"/>
        <v>-3.2880707927575421E-2</v>
      </c>
      <c r="O57" s="16">
        <f t="shared" si="5"/>
        <v>2.1142297270430797E-2</v>
      </c>
      <c r="Q57" s="4">
        <f t="shared" si="6"/>
        <v>1.2904251357520788</v>
      </c>
      <c r="R57" s="15">
        <f t="shared" si="1"/>
        <v>3.6343313115395208</v>
      </c>
    </row>
    <row r="58" spans="1:18" x14ac:dyDescent="0.3">
      <c r="A58">
        <v>2003</v>
      </c>
      <c r="B58" s="4">
        <v>5.1064590000000001</v>
      </c>
      <c r="C58" s="4">
        <v>7.3823169999999996</v>
      </c>
      <c r="D58" s="4">
        <v>1.3568640000000001</v>
      </c>
      <c r="E58" s="8"/>
      <c r="F58" s="15">
        <v>0.60514999999999997</v>
      </c>
      <c r="G58" s="20">
        <v>6580236.5</v>
      </c>
      <c r="H58" s="20">
        <v>1440760.3</v>
      </c>
      <c r="I58" s="20">
        <v>5139476</v>
      </c>
      <c r="J58" s="15">
        <f t="shared" si="8"/>
        <v>0.21895266226373475</v>
      </c>
      <c r="K58" s="8"/>
      <c r="L58" s="16">
        <f t="shared" si="2"/>
        <v>3.0321374577466201E-2</v>
      </c>
      <c r="M58" s="16">
        <f t="shared" si="7"/>
        <v>6.8970463686863024E-3</v>
      </c>
      <c r="N58" s="16">
        <f t="shared" si="4"/>
        <v>-5.1384270111630827E-3</v>
      </c>
      <c r="O58" s="16">
        <f t="shared" si="5"/>
        <v>3.0707594924595752E-2</v>
      </c>
      <c r="Q58" s="4">
        <f t="shared" si="6"/>
        <v>1.3211327306766747</v>
      </c>
      <c r="R58" s="15">
        <f t="shared" si="1"/>
        <v>3.7476640679499114</v>
      </c>
    </row>
    <row r="59" spans="1:18" x14ac:dyDescent="0.3">
      <c r="A59">
        <v>2004</v>
      </c>
      <c r="B59" s="4">
        <v>5.3833260000000003</v>
      </c>
      <c r="C59" s="4">
        <v>7.4532210000000001</v>
      </c>
      <c r="D59" s="4">
        <v>1.378763</v>
      </c>
      <c r="E59" s="8"/>
      <c r="F59" s="15">
        <v>0.60514999999999997</v>
      </c>
      <c r="G59" s="20">
        <v>6947251</v>
      </c>
      <c r="H59" s="20">
        <v>1512635.5</v>
      </c>
      <c r="I59" s="20">
        <v>5434615</v>
      </c>
      <c r="J59" s="15">
        <f t="shared" si="8"/>
        <v>0.21773151711374758</v>
      </c>
      <c r="K59" s="8"/>
      <c r="L59" s="16">
        <f t="shared" si="2"/>
        <v>5.2800189749410961E-2</v>
      </c>
      <c r="M59" s="16">
        <f t="shared" si="7"/>
        <v>9.5587419709862644E-3</v>
      </c>
      <c r="N59" s="16">
        <f t="shared" si="4"/>
        <v>-5.5928214977208068E-3</v>
      </c>
      <c r="O59" s="16">
        <f t="shared" si="5"/>
        <v>5.2410416411512784E-2</v>
      </c>
      <c r="Q59" s="4">
        <f t="shared" si="6"/>
        <v>1.3735431470881876</v>
      </c>
      <c r="R59" s="15">
        <f t="shared" si="1"/>
        <v>3.9493189530106454</v>
      </c>
    </row>
    <row r="60" spans="1:18" x14ac:dyDescent="0.3">
      <c r="A60">
        <v>2005</v>
      </c>
      <c r="B60" s="4">
        <v>5.430301</v>
      </c>
      <c r="C60" s="4">
        <v>7.5717299999999996</v>
      </c>
      <c r="D60" s="4">
        <v>1.4021950000000001</v>
      </c>
      <c r="E60" s="8"/>
      <c r="F60" s="15">
        <v>0.60514999999999997</v>
      </c>
      <c r="G60" s="20">
        <v>7261420</v>
      </c>
      <c r="H60" s="20">
        <v>1548997.4</v>
      </c>
      <c r="I60" s="20">
        <v>5712423</v>
      </c>
      <c r="J60" s="15">
        <f t="shared" si="8"/>
        <v>0.21331879990415098</v>
      </c>
      <c r="K60" s="8"/>
      <c r="L60" s="16">
        <f t="shared" si="2"/>
        <v>8.6881664198255621E-3</v>
      </c>
      <c r="M60" s="16">
        <f t="shared" si="7"/>
        <v>1.5775287076252587E-2</v>
      </c>
      <c r="N60" s="16">
        <f t="shared" si="4"/>
        <v>-2.0474970991581944E-2</v>
      </c>
      <c r="O60" s="16">
        <f t="shared" si="5"/>
        <v>1.4849723013323039E-2</v>
      </c>
      <c r="Q60" s="4">
        <f t="shared" si="6"/>
        <v>1.3883928701015107</v>
      </c>
      <c r="R60" s="15">
        <f t="shared" si="1"/>
        <v>4.008402849570464</v>
      </c>
    </row>
    <row r="61" spans="1:18" x14ac:dyDescent="0.3">
      <c r="A61">
        <v>2006</v>
      </c>
      <c r="B61" s="4">
        <v>5.6408209999999999</v>
      </c>
      <c r="C61" s="4">
        <v>7.7608860000000002</v>
      </c>
      <c r="D61" s="4">
        <v>1.439835</v>
      </c>
      <c r="E61" s="8"/>
      <c r="F61" s="15">
        <v>0.60514999999999997</v>
      </c>
      <c r="G61" s="20">
        <v>7746959.5</v>
      </c>
      <c r="H61" s="20">
        <v>1637687.8</v>
      </c>
      <c r="I61" s="20">
        <v>6109271.5</v>
      </c>
      <c r="J61" s="15">
        <f t="shared" si="8"/>
        <v>0.21139749084786102</v>
      </c>
      <c r="K61" s="8"/>
      <c r="L61" s="16">
        <f t="shared" si="2"/>
        <v>3.8035057101600191E-2</v>
      </c>
      <c r="M61" s="16">
        <f t="shared" si="7"/>
        <v>2.4674927910247078E-2</v>
      </c>
      <c r="N61" s="16">
        <f t="shared" si="4"/>
        <v>-9.0475557653903558E-3</v>
      </c>
      <c r="O61" s="16">
        <f t="shared" si="5"/>
        <v>3.3767290187665104E-2</v>
      </c>
      <c r="Q61" s="4">
        <f t="shared" si="6"/>
        <v>1.4221601602891758</v>
      </c>
      <c r="R61" s="15">
        <f t="shared" si="1"/>
        <v>4.1460669429990267</v>
      </c>
    </row>
    <row r="62" spans="1:18" x14ac:dyDescent="0.3">
      <c r="A62">
        <v>2007</v>
      </c>
      <c r="B62" s="4">
        <v>5.7021649999999999</v>
      </c>
      <c r="C62" s="4">
        <v>7.9950989999999997</v>
      </c>
      <c r="D62" s="4">
        <v>1.4242889999999999</v>
      </c>
      <c r="E62" s="8"/>
      <c r="F62" s="15">
        <v>0.60514999999999997</v>
      </c>
      <c r="G62" s="20">
        <v>8060485.5</v>
      </c>
      <c r="H62" s="20">
        <v>1713762.1</v>
      </c>
      <c r="I62" s="20">
        <v>6346723.5</v>
      </c>
      <c r="J62" s="15">
        <f t="shared" si="8"/>
        <v>0.2126127638341388</v>
      </c>
      <c r="K62" s="8"/>
      <c r="L62" s="16">
        <f t="shared" si="2"/>
        <v>1.0816304994867817E-2</v>
      </c>
      <c r="M62" s="16">
        <f t="shared" si="7"/>
        <v>2.9732226013103245E-2</v>
      </c>
      <c r="N62" s="16">
        <f t="shared" si="4"/>
        <v>5.7322968046212607E-3</v>
      </c>
      <c r="O62" s="16">
        <f t="shared" si="5"/>
        <v>-4.3923638577225551E-3</v>
      </c>
      <c r="Q62" s="4">
        <f t="shared" si="6"/>
        <v>1.4177677964314532</v>
      </c>
      <c r="R62" s="15">
        <f t="shared" si="1"/>
        <v>4.1278958446590632</v>
      </c>
    </row>
    <row r="63" spans="1:18" x14ac:dyDescent="0.3">
      <c r="A63">
        <v>2008</v>
      </c>
      <c r="B63" s="4">
        <v>5.5270710000000003</v>
      </c>
      <c r="C63" s="4">
        <v>8.2383129999999998</v>
      </c>
      <c r="D63" s="4">
        <v>1.395367</v>
      </c>
      <c r="E63" s="8"/>
      <c r="F63" s="15">
        <v>0.60514999999999997</v>
      </c>
      <c r="G63" s="20">
        <v>8103027</v>
      </c>
      <c r="H63" s="20">
        <v>1707546.4</v>
      </c>
      <c r="I63" s="20">
        <v>6395480.5</v>
      </c>
      <c r="J63" s="15">
        <f t="shared" si="8"/>
        <v>0.21072944715598257</v>
      </c>
      <c r="K63" s="8"/>
      <c r="L63" s="16">
        <f t="shared" si="2"/>
        <v>-3.1187908489616025E-2</v>
      </c>
      <c r="M63" s="16">
        <f t="shared" si="7"/>
        <v>2.9966861002543886E-2</v>
      </c>
      <c r="N63" s="16">
        <f t="shared" si="4"/>
        <v>-8.8974312200973526E-3</v>
      </c>
      <c r="O63" s="16">
        <f t="shared" si="5"/>
        <v>-3.7636043053628568E-2</v>
      </c>
      <c r="Q63" s="4">
        <f t="shared" si="6"/>
        <v>1.3801317533778246</v>
      </c>
      <c r="R63" s="15">
        <f t="shared" si="1"/>
        <v>3.9754253687122705</v>
      </c>
    </row>
    <row r="64" spans="1:18" x14ac:dyDescent="0.3">
      <c r="A64">
        <v>2009</v>
      </c>
      <c r="B64" s="4">
        <v>5.2170699999999997</v>
      </c>
      <c r="C64" s="4">
        <v>8.3436029999999999</v>
      </c>
      <c r="D64" s="4">
        <v>1.2373689999999999</v>
      </c>
      <c r="E64" s="8"/>
      <c r="F64" s="15">
        <v>0.60514999999999997</v>
      </c>
      <c r="G64" s="20">
        <v>7824084.5</v>
      </c>
      <c r="H64" s="20">
        <v>1506983.4</v>
      </c>
      <c r="I64" s="20">
        <v>6317101.5</v>
      </c>
      <c r="J64" s="15">
        <f t="shared" si="8"/>
        <v>0.19260827257169832</v>
      </c>
      <c r="K64" s="8"/>
      <c r="L64" s="16">
        <f t="shared" si="2"/>
        <v>-5.7722077173971827E-2</v>
      </c>
      <c r="M64" s="16">
        <f t="shared" si="7"/>
        <v>1.2699547516788435E-2</v>
      </c>
      <c r="N64" s="16">
        <f t="shared" si="4"/>
        <v>-8.9916619207533563E-2</v>
      </c>
      <c r="O64" s="16">
        <f t="shared" si="5"/>
        <v>-8.3234513975368046E-3</v>
      </c>
      <c r="Q64" s="4">
        <f t="shared" si="6"/>
        <v>1.3718083019802878</v>
      </c>
      <c r="R64" s="15">
        <f t="shared" si="1"/>
        <v>3.9424734360182172</v>
      </c>
    </row>
    <row r="65" spans="1:18" x14ac:dyDescent="0.3">
      <c r="A65">
        <v>2010</v>
      </c>
      <c r="B65" s="4">
        <v>5.3481209999999999</v>
      </c>
      <c r="C65" s="4">
        <v>8.3235869999999998</v>
      </c>
      <c r="D65" s="4">
        <v>1.223725</v>
      </c>
      <c r="E65" s="8"/>
      <c r="F65" s="15">
        <v>0.60514999999999997</v>
      </c>
      <c r="G65" s="20">
        <v>7872716</v>
      </c>
      <c r="H65" s="20">
        <v>1529352.5</v>
      </c>
      <c r="I65" s="20">
        <v>6343363.5</v>
      </c>
      <c r="J65" s="15">
        <f t="shared" si="8"/>
        <v>0.19425983358220975</v>
      </c>
      <c r="K65" s="8"/>
      <c r="L65" s="16">
        <f t="shared" si="2"/>
        <v>2.4809342640996018E-2</v>
      </c>
      <c r="M65" s="16">
        <f t="shared" si="7"/>
        <v>-2.4018457367394152E-3</v>
      </c>
      <c r="N65" s="16">
        <f t="shared" si="4"/>
        <v>8.5381607710064179E-3</v>
      </c>
      <c r="O65" s="16">
        <f t="shared" si="5"/>
        <v>2.0590843439573042E-2</v>
      </c>
      <c r="Q65" s="4">
        <f t="shared" si="6"/>
        <v>1.3923991454198608</v>
      </c>
      <c r="R65" s="15">
        <f t="shared" si="1"/>
        <v>4.0244938258913443</v>
      </c>
    </row>
    <row r="66" spans="1:18" x14ac:dyDescent="0.3">
      <c r="A66">
        <v>2011</v>
      </c>
      <c r="B66" s="4">
        <v>5.3872260000000001</v>
      </c>
      <c r="C66" s="4">
        <v>8.4123079999999995</v>
      </c>
      <c r="D66" s="4">
        <v>1.248048</v>
      </c>
      <c r="E66" s="8"/>
      <c r="F66" s="15">
        <v>0.60514999999999997</v>
      </c>
      <c r="G66" s="20">
        <v>8269258</v>
      </c>
      <c r="H66" s="20">
        <v>1583466.9</v>
      </c>
      <c r="I66" s="20">
        <v>6685791</v>
      </c>
      <c r="J66" s="15">
        <f t="shared" ref="J66:J72" si="9">H66/G66</f>
        <v>0.19148838988939515</v>
      </c>
      <c r="K66" s="8"/>
      <c r="L66" s="16">
        <f t="shared" si="2"/>
        <v>7.2853114036253519E-3</v>
      </c>
      <c r="M66" s="16">
        <f t="shared" si="7"/>
        <v>1.0602579799544353E-2</v>
      </c>
      <c r="N66" s="16">
        <f t="shared" si="4"/>
        <v>-1.4369431724905977E-2</v>
      </c>
      <c r="O66" s="16">
        <f t="shared" si="5"/>
        <v>1.1794544378102114E-2</v>
      </c>
      <c r="Q66" s="4">
        <f t="shared" si="6"/>
        <v>1.4041936897979628</v>
      </c>
      <c r="R66" s="15">
        <f t="shared" si="1"/>
        <v>4.0722419269449812</v>
      </c>
    </row>
    <row r="67" spans="1:18" x14ac:dyDescent="0.3">
      <c r="A67">
        <v>2012</v>
      </c>
      <c r="B67" s="4">
        <v>5.4642340000000003</v>
      </c>
      <c r="C67" s="4">
        <v>8.5398530000000008</v>
      </c>
      <c r="D67" s="4">
        <v>1.2823359999999999</v>
      </c>
      <c r="E67" s="8"/>
      <c r="F67" s="15">
        <v>0.60514999999999997</v>
      </c>
      <c r="G67" s="20">
        <v>8658893</v>
      </c>
      <c r="H67" s="20">
        <v>1640924.1</v>
      </c>
      <c r="I67" s="20">
        <v>7017969</v>
      </c>
      <c r="J67" s="15">
        <f t="shared" si="9"/>
        <v>0.18950737698225398</v>
      </c>
      <c r="K67" s="8"/>
      <c r="L67" s="16">
        <f t="shared" si="2"/>
        <v>1.4193351452306725E-2</v>
      </c>
      <c r="M67" s="16">
        <f t="shared" si="7"/>
        <v>1.5047923006975626E-2</v>
      </c>
      <c r="N67" s="16">
        <f t="shared" si="4"/>
        <v>-1.0399227142344231E-2</v>
      </c>
      <c r="O67" s="16">
        <f t="shared" si="5"/>
        <v>1.4544771358192009E-2</v>
      </c>
      <c r="Q67" s="4">
        <f t="shared" si="6"/>
        <v>1.4187384611561549</v>
      </c>
      <c r="R67" s="15">
        <f t="shared" ref="R67:R71" si="10">EXP(Q67)</f>
        <v>4.1319045928031732</v>
      </c>
    </row>
    <row r="68" spans="1:18" x14ac:dyDescent="0.3">
      <c r="A68">
        <v>2013</v>
      </c>
      <c r="B68" s="4">
        <v>5.6457750000000004</v>
      </c>
      <c r="C68" s="4">
        <v>8.7107729999999997</v>
      </c>
      <c r="D68" s="4">
        <v>1.3157350000000001</v>
      </c>
      <c r="E68" s="8"/>
      <c r="F68" s="15">
        <v>0.60514999999999997</v>
      </c>
      <c r="G68" s="20">
        <v>8849509</v>
      </c>
      <c r="H68" s="20">
        <v>1676683.9</v>
      </c>
      <c r="I68" s="20">
        <v>7172825</v>
      </c>
      <c r="J68" s="15">
        <f t="shared" si="9"/>
        <v>0.18946631954383006</v>
      </c>
      <c r="K68" s="8"/>
      <c r="L68" s="16">
        <f t="shared" ref="L68:L72" si="11">LN(B68/B67)</f>
        <v>3.2683530694952778E-2</v>
      </c>
      <c r="M68" s="16">
        <f t="shared" si="7"/>
        <v>1.9816740953781366E-2</v>
      </c>
      <c r="N68" s="16">
        <f t="shared" ref="N68:N72" si="12">LN(J68/J67)</f>
        <v>-2.1667698291941354E-4</v>
      </c>
      <c r="O68" s="16">
        <f t="shared" ref="O68:O72" si="13">L68-(1-F68)*M68-F68*N68</f>
        <v>2.4990012605565888E-2</v>
      </c>
      <c r="Q68" s="4">
        <f t="shared" ref="Q68:Q71" si="14">Q67+O68</f>
        <v>1.4437284737617209</v>
      </c>
      <c r="R68" s="15">
        <f t="shared" si="10"/>
        <v>4.2364619441376954</v>
      </c>
    </row>
    <row r="69" spans="1:18" x14ac:dyDescent="0.3">
      <c r="A69">
        <v>2014</v>
      </c>
      <c r="B69" s="4">
        <v>5.7472409999999998</v>
      </c>
      <c r="C69" s="4">
        <v>8.9021609999999995</v>
      </c>
      <c r="D69" s="4">
        <v>1.3451820000000001</v>
      </c>
      <c r="E69" s="8"/>
      <c r="F69" s="15">
        <v>0.60514999999999997</v>
      </c>
      <c r="G69" s="20">
        <v>9245439</v>
      </c>
      <c r="H69" s="20">
        <v>1778240.8</v>
      </c>
      <c r="I69" s="20">
        <v>7467198.5</v>
      </c>
      <c r="J69" s="15">
        <f t="shared" si="9"/>
        <v>0.19233708642715613</v>
      </c>
      <c r="K69" s="8"/>
      <c r="L69" s="16">
        <f t="shared" si="11"/>
        <v>1.7812435753816094E-2</v>
      </c>
      <c r="M69" s="16">
        <f t="shared" si="7"/>
        <v>2.1733520762168047E-2</v>
      </c>
      <c r="N69" s="16">
        <f t="shared" si="12"/>
        <v>1.5038215687575995E-2</v>
      </c>
      <c r="O69" s="16">
        <f t="shared" si="13"/>
        <v>1.3057885753742747E-4</v>
      </c>
      <c r="Q69" s="4">
        <f t="shared" si="14"/>
        <v>1.4438590526192583</v>
      </c>
      <c r="R69" s="15">
        <f t="shared" si="10"/>
        <v>4.2370151726175473</v>
      </c>
    </row>
    <row r="70" spans="1:18" x14ac:dyDescent="0.3">
      <c r="A70">
        <v>2015</v>
      </c>
      <c r="B70" s="4">
        <v>5.8926340000000001</v>
      </c>
      <c r="C70" s="4">
        <v>8.9749359999999996</v>
      </c>
      <c r="D70" s="4">
        <v>1.363334</v>
      </c>
      <c r="E70" s="8"/>
      <c r="F70" s="15">
        <v>0.60514999999999997</v>
      </c>
      <c r="G70" s="20">
        <v>9481602</v>
      </c>
      <c r="H70" s="20">
        <v>1913431.6</v>
      </c>
      <c r="I70" s="20">
        <v>7568170.5</v>
      </c>
      <c r="J70" s="15">
        <f t="shared" si="9"/>
        <v>0.2018046739359024</v>
      </c>
      <c r="K70" s="8"/>
      <c r="L70" s="16">
        <f t="shared" si="11"/>
        <v>2.498318277282131E-2</v>
      </c>
      <c r="M70" s="16">
        <f t="shared" si="7"/>
        <v>8.1417471761708882E-3</v>
      </c>
      <c r="N70" s="16">
        <f t="shared" si="12"/>
        <v>4.8050777744062773E-2</v>
      </c>
      <c r="O70" s="16">
        <f t="shared" si="13"/>
        <v>-7.3095142515093477E-3</v>
      </c>
      <c r="Q70" s="4">
        <f t="shared" si="14"/>
        <v>1.4365495383677489</v>
      </c>
      <c r="R70" s="15">
        <f t="shared" si="10"/>
        <v>4.2061575642841813</v>
      </c>
    </row>
    <row r="71" spans="1:18" x14ac:dyDescent="0.3">
      <c r="A71">
        <v>2016</v>
      </c>
      <c r="B71" s="4">
        <v>5.9103209999999997</v>
      </c>
      <c r="C71" s="4">
        <v>9.0388800000000007</v>
      </c>
      <c r="D71" s="4">
        <v>1.377327</v>
      </c>
      <c r="E71" s="8"/>
      <c r="F71" s="15">
        <v>0.60514999999999997</v>
      </c>
      <c r="G71" s="20">
        <v>9777438</v>
      </c>
      <c r="H71" s="20">
        <v>1943353.5</v>
      </c>
      <c r="I71" s="20">
        <v>7834084.5</v>
      </c>
      <c r="J71" s="15">
        <f t="shared" si="9"/>
        <v>0.19875896937418575</v>
      </c>
      <c r="K71" s="8"/>
      <c r="L71" s="16">
        <f t="shared" si="11"/>
        <v>2.9970483220782872E-3</v>
      </c>
      <c r="M71" s="16">
        <f t="shared" si="7"/>
        <v>7.0994694936066891E-3</v>
      </c>
      <c r="N71" s="16">
        <f t="shared" si="12"/>
        <v>-1.5207387436864757E-2</v>
      </c>
      <c r="O71" s="16">
        <f t="shared" si="13"/>
        <v>9.3965732999463925E-3</v>
      </c>
      <c r="Q71" s="4">
        <f t="shared" si="14"/>
        <v>1.4459461116676953</v>
      </c>
      <c r="R71" s="15">
        <f t="shared" si="10"/>
        <v>4.2458673077230698</v>
      </c>
    </row>
    <row r="72" spans="1:18" x14ac:dyDescent="0.3">
      <c r="A72">
        <v>2017</v>
      </c>
      <c r="B72" s="4">
        <v>5.9903810000000002</v>
      </c>
      <c r="C72" s="4">
        <v>9.0580610000000004</v>
      </c>
      <c r="D72" s="4">
        <v>1.391302</v>
      </c>
      <c r="E72" s="8"/>
      <c r="F72" s="15">
        <v>0.60514999999999997</v>
      </c>
      <c r="G72" s="20">
        <v>10225408</v>
      </c>
      <c r="H72" s="20">
        <v>2023748.8</v>
      </c>
      <c r="I72" s="20">
        <v>8201659.5</v>
      </c>
      <c r="J72" s="15">
        <f t="shared" si="9"/>
        <v>0.1979137458378189</v>
      </c>
      <c r="K72" s="8"/>
      <c r="L72" s="16">
        <f t="shared" si="11"/>
        <v>1.3454871450770282E-2</v>
      </c>
      <c r="M72" s="16">
        <f t="shared" si="7"/>
        <v>2.1198065664923341E-3</v>
      </c>
      <c r="N72" s="16">
        <f t="shared" si="12"/>
        <v>-4.2615727431127145E-3</v>
      </c>
      <c r="O72" s="16">
        <f t="shared" si="13"/>
        <v>1.5196756573485444E-2</v>
      </c>
      <c r="Q72" s="4">
        <f>Q71+O72</f>
        <v>1.4611428682411807</v>
      </c>
      <c r="R72" s="15">
        <f>EXP(Q72)</f>
        <v>4.3108834859193763</v>
      </c>
    </row>
    <row r="74" spans="1:18" x14ac:dyDescent="0.3">
      <c r="A74" t="s">
        <v>123</v>
      </c>
      <c r="B74" s="15">
        <f>LN(B72/B35)</f>
        <v>0.78469693303436716</v>
      </c>
      <c r="C74" s="15">
        <f>LN(C72/C35)</f>
        <v>0.80746682475285281</v>
      </c>
      <c r="D74" s="15">
        <f>LN(D72/D35)</f>
        <v>5.2513570284651527E-2</v>
      </c>
      <c r="E74" s="15"/>
      <c r="K74" s="15"/>
      <c r="R74" s="15">
        <f>LN(R72/R35)</f>
        <v>0.82601919438687532</v>
      </c>
    </row>
    <row r="75" spans="1:18" x14ac:dyDescent="0.3">
      <c r="A75" t="s">
        <v>124</v>
      </c>
      <c r="B75" s="4">
        <f>B74/($A$72-$A$35)</f>
        <v>2.1208025217145057E-2</v>
      </c>
      <c r="C75" s="4">
        <f>C74/($A$72-$A$35)</f>
        <v>2.1823427696023048E-2</v>
      </c>
      <c r="D75" s="4">
        <f>D74/($A$72-$A$35)</f>
        <v>1.4192856833689601E-3</v>
      </c>
      <c r="E75" s="4"/>
      <c r="F75" s="4">
        <f>B75-(1-F72)*C75-F72*D75</f>
        <v>1.1732164060079629E-2</v>
      </c>
      <c r="K75" s="4"/>
      <c r="R75" s="15">
        <f>R74/($A$72-$A$35)</f>
        <v>2.2324843091537171E-2</v>
      </c>
    </row>
    <row r="76" spans="1:18" x14ac:dyDescent="0.3">
      <c r="F76" s="4">
        <f>F75/F72</f>
        <v>1.9387199967081929E-2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A030-C377-4A7B-82ED-BA295BC809CF}">
  <dimension ref="A1:S76"/>
  <sheetViews>
    <sheetView topLeftCell="C50" workbookViewId="0">
      <selection activeCell="R72" sqref="R72"/>
    </sheetView>
  </sheetViews>
  <sheetFormatPr defaultColWidth="8.77734375" defaultRowHeight="14.4" x14ac:dyDescent="0.3"/>
  <cols>
    <col min="2" max="2" width="12.109375" bestFit="1" customWidth="1"/>
    <col min="3" max="4" width="13.33203125" bestFit="1" customWidth="1"/>
    <col min="5" max="5" width="13.33203125" style="8" customWidth="1"/>
    <col min="6" max="6" width="13.77734375" bestFit="1" customWidth="1"/>
    <col min="7" max="7" width="10" bestFit="1" customWidth="1"/>
    <col min="8" max="8" width="10.109375" bestFit="1" customWidth="1"/>
    <col min="9" max="9" width="10" bestFit="1" customWidth="1"/>
    <col min="10" max="10" width="17.33203125" bestFit="1" customWidth="1"/>
    <col min="11" max="11" width="13.109375" customWidth="1"/>
    <col min="12" max="15" width="11.33203125" style="3" customWidth="1"/>
    <col min="17" max="17" width="12.44140625" bestFit="1" customWidth="1"/>
    <col min="18" max="19" width="10.44140625" bestFit="1" customWidth="1"/>
  </cols>
  <sheetData>
    <row r="1" spans="1:19" x14ac:dyDescent="0.3">
      <c r="A1" t="s">
        <v>0</v>
      </c>
      <c r="B1" t="s">
        <v>26</v>
      </c>
      <c r="C1" t="s">
        <v>29</v>
      </c>
      <c r="D1" t="s">
        <v>32</v>
      </c>
      <c r="F1" t="s">
        <v>91</v>
      </c>
      <c r="G1" t="s">
        <v>20</v>
      </c>
      <c r="H1" t="s">
        <v>21</v>
      </c>
      <c r="I1" t="s">
        <v>22</v>
      </c>
      <c r="J1" t="s">
        <v>117</v>
      </c>
      <c r="K1" s="8"/>
      <c r="L1" s="3" t="s">
        <v>118</v>
      </c>
      <c r="M1" s="3" t="s">
        <v>119</v>
      </c>
      <c r="N1" s="3" t="s">
        <v>120</v>
      </c>
      <c r="O1" s="3" t="s">
        <v>121</v>
      </c>
      <c r="Q1" s="3" t="s">
        <v>125</v>
      </c>
      <c r="R1" s="3" t="s">
        <v>122</v>
      </c>
    </row>
    <row r="2" spans="1:19" x14ac:dyDescent="0.3">
      <c r="A2">
        <v>1947</v>
      </c>
      <c r="B2" s="15">
        <v>1</v>
      </c>
      <c r="C2" s="15">
        <v>1</v>
      </c>
      <c r="D2" s="15">
        <v>1</v>
      </c>
      <c r="E2" s="18"/>
      <c r="F2">
        <v>0.53786230000000002</v>
      </c>
      <c r="G2">
        <v>128228.27</v>
      </c>
      <c r="H2">
        <v>62056.688000000002</v>
      </c>
      <c r="I2">
        <v>66171.577999999994</v>
      </c>
      <c r="J2">
        <f>I2/G2</f>
        <v>0.51604515915250193</v>
      </c>
      <c r="K2" s="8"/>
      <c r="Q2" s="4">
        <v>0</v>
      </c>
      <c r="R2" s="15">
        <f>EXP(Q2)</f>
        <v>1</v>
      </c>
      <c r="S2" s="15"/>
    </row>
    <row r="3" spans="1:19" x14ac:dyDescent="0.3">
      <c r="A3">
        <v>1948</v>
      </c>
      <c r="B3" s="15">
        <v>1.006005</v>
      </c>
      <c r="C3" s="15">
        <v>1.0218959999999999</v>
      </c>
      <c r="D3" s="15">
        <v>1.028721</v>
      </c>
      <c r="E3" s="18"/>
      <c r="F3">
        <v>0.53786230000000002</v>
      </c>
      <c r="G3">
        <v>141262.28</v>
      </c>
      <c r="H3">
        <v>70286.914000000004</v>
      </c>
      <c r="I3">
        <v>70975.366999999998</v>
      </c>
      <c r="J3">
        <f t="shared" ref="J3:J66" si="0">I3/G3</f>
        <v>0.50243679345965531</v>
      </c>
      <c r="K3" s="8"/>
      <c r="L3" s="16">
        <f>LN(B3/B2)</f>
        <v>5.9870418441226444E-3</v>
      </c>
      <c r="M3" s="16">
        <f>LN(C3/C2)</f>
        <v>2.165972535103889E-2</v>
      </c>
      <c r="N3" s="16">
        <f>LN(J3/J2)</f>
        <v>-2.6724431527665869E-2</v>
      </c>
      <c r="O3" s="16">
        <f>L3-(1-F3)*M3-F3*N3</f>
        <v>1.035133039542472E-2</v>
      </c>
      <c r="Q3" s="4">
        <f>Q2+O3</f>
        <v>1.035133039542472E-2</v>
      </c>
      <c r="R3" s="15">
        <f t="shared" ref="R3:R66" si="1">EXP(Q3)</f>
        <v>1.0104050907528541</v>
      </c>
      <c r="S3" s="15"/>
    </row>
    <row r="4" spans="1:19" x14ac:dyDescent="0.3">
      <c r="A4">
        <v>1949</v>
      </c>
      <c r="B4" s="15">
        <v>1.0156810000000001</v>
      </c>
      <c r="C4" s="15">
        <v>1.050305</v>
      </c>
      <c r="D4" s="15">
        <v>1.0251479999999999</v>
      </c>
      <c r="E4" s="18"/>
      <c r="F4">
        <v>0.53786230000000002</v>
      </c>
      <c r="G4">
        <v>144455.76999999999</v>
      </c>
      <c r="H4">
        <v>68189.233999999997</v>
      </c>
      <c r="I4">
        <v>76266.531000000003</v>
      </c>
      <c r="J4">
        <f t="shared" si="0"/>
        <v>0.52795766482709561</v>
      </c>
      <c r="K4" s="8"/>
      <c r="L4" s="16">
        <f t="shared" ref="L4:M67" si="2">LN(B4/B3)</f>
        <v>9.572281633312061E-3</v>
      </c>
      <c r="M4" s="16">
        <f t="shared" si="2"/>
        <v>2.7420872828828827E-2</v>
      </c>
      <c r="N4" s="16">
        <f t="shared" ref="N4:N67" si="3">LN(J4/J3)</f>
        <v>4.9546252378090357E-2</v>
      </c>
      <c r="O4" s="16">
        <f t="shared" ref="O4:O67" si="4">L4-(1-F4)*M4-F4*N4</f>
        <v>-2.9748998728255534E-2</v>
      </c>
      <c r="Q4" s="4">
        <f t="shared" ref="Q4:Q67" si="5">Q3+O4</f>
        <v>-1.9397668332830815E-2</v>
      </c>
      <c r="R4" s="15">
        <f t="shared" si="1"/>
        <v>0.98078925585323462</v>
      </c>
      <c r="S4" s="15"/>
    </row>
    <row r="5" spans="1:19" x14ac:dyDescent="0.3">
      <c r="A5">
        <v>1950</v>
      </c>
      <c r="B5" s="15">
        <v>1.077523</v>
      </c>
      <c r="C5" s="15">
        <v>1.088106</v>
      </c>
      <c r="D5" s="15">
        <v>1.047293</v>
      </c>
      <c r="E5" s="18"/>
      <c r="F5">
        <v>0.53786230000000002</v>
      </c>
      <c r="G5">
        <v>153536.10999999999</v>
      </c>
      <c r="H5">
        <v>73332.335999999996</v>
      </c>
      <c r="I5">
        <v>80203.781000000003</v>
      </c>
      <c r="J5">
        <f t="shared" si="0"/>
        <v>0.52237731566860723</v>
      </c>
      <c r="K5" s="8"/>
      <c r="L5" s="16">
        <f t="shared" si="2"/>
        <v>5.9105564998171378E-2</v>
      </c>
      <c r="M5" s="16">
        <f t="shared" si="2"/>
        <v>3.5357971978821089E-2</v>
      </c>
      <c r="N5" s="16">
        <f t="shared" si="3"/>
        <v>-1.0625946519528579E-2</v>
      </c>
      <c r="O5" s="16">
        <f t="shared" si="4"/>
        <v>4.848060918588519E-2</v>
      </c>
      <c r="Q5" s="4">
        <f t="shared" si="5"/>
        <v>2.9082940853054375E-2</v>
      </c>
      <c r="R5" s="15">
        <f t="shared" si="1"/>
        <v>1.0295099793700508</v>
      </c>
      <c r="S5" s="15"/>
    </row>
    <row r="6" spans="1:19" x14ac:dyDescent="0.3">
      <c r="A6">
        <v>1951</v>
      </c>
      <c r="B6" s="15">
        <v>1.1529229999999999</v>
      </c>
      <c r="C6" s="15">
        <v>1.130576</v>
      </c>
      <c r="D6" s="15">
        <v>1.1203419999999999</v>
      </c>
      <c r="E6" s="18"/>
      <c r="F6">
        <v>0.53786230000000002</v>
      </c>
      <c r="G6">
        <v>174406.78</v>
      </c>
      <c r="H6">
        <v>86367.093999999997</v>
      </c>
      <c r="I6">
        <v>88039.687999999995</v>
      </c>
      <c r="J6">
        <f t="shared" si="0"/>
        <v>0.50479510028222518</v>
      </c>
      <c r="K6" s="8"/>
      <c r="L6" s="16">
        <f t="shared" si="2"/>
        <v>6.763556827425321E-2</v>
      </c>
      <c r="M6" s="16">
        <f t="shared" si="2"/>
        <v>3.8288667208328783E-2</v>
      </c>
      <c r="N6" s="16">
        <f t="shared" si="3"/>
        <v>-3.4237548796011284E-2</v>
      </c>
      <c r="O6" s="16">
        <f t="shared" si="4"/>
        <v>6.8356018416315584E-2</v>
      </c>
      <c r="Q6" s="4">
        <f t="shared" si="5"/>
        <v>9.7438959269369962E-2</v>
      </c>
      <c r="R6" s="15">
        <f t="shared" si="1"/>
        <v>1.1023441516172128</v>
      </c>
      <c r="S6" s="15"/>
    </row>
    <row r="7" spans="1:19" x14ac:dyDescent="0.3">
      <c r="A7">
        <v>1952</v>
      </c>
      <c r="B7" s="15">
        <v>1.19085</v>
      </c>
      <c r="C7" s="15">
        <v>1.177001</v>
      </c>
      <c r="D7" s="15">
        <v>1.1484730000000001</v>
      </c>
      <c r="E7" s="18"/>
      <c r="F7">
        <v>0.53786230000000002</v>
      </c>
      <c r="G7">
        <v>184289.89</v>
      </c>
      <c r="H7">
        <v>90294.358999999997</v>
      </c>
      <c r="I7">
        <v>93995.531000000003</v>
      </c>
      <c r="J7">
        <f t="shared" si="0"/>
        <v>0.51004171200058779</v>
      </c>
      <c r="K7" s="8"/>
      <c r="L7" s="16">
        <f t="shared" si="2"/>
        <v>3.2366881107235713E-2</v>
      </c>
      <c r="M7" s="16">
        <f t="shared" si="2"/>
        <v>4.0242440528433121E-2</v>
      </c>
      <c r="N7" s="16">
        <f t="shared" si="3"/>
        <v>1.0339905685942119E-2</v>
      </c>
      <c r="O7" s="16">
        <f t="shared" si="4"/>
        <v>8.2078867450149397E-3</v>
      </c>
      <c r="Q7" s="4">
        <f>Q6+O7</f>
        <v>0.1056468460143849</v>
      </c>
      <c r="R7" s="15">
        <f t="shared" si="1"/>
        <v>1.1114293015033421</v>
      </c>
      <c r="S7" s="15"/>
    </row>
    <row r="8" spans="1:19" x14ac:dyDescent="0.3">
      <c r="A8">
        <v>1953</v>
      </c>
      <c r="B8" s="15">
        <v>1.233355</v>
      </c>
      <c r="C8" s="15">
        <v>1.2272719999999999</v>
      </c>
      <c r="D8" s="15">
        <v>1.169648</v>
      </c>
      <c r="E8" s="18"/>
      <c r="F8">
        <v>0.53786230000000002</v>
      </c>
      <c r="G8">
        <v>202171.13</v>
      </c>
      <c r="H8">
        <v>100464.4</v>
      </c>
      <c r="I8">
        <v>101706.73</v>
      </c>
      <c r="J8">
        <f t="shared" si="0"/>
        <v>0.5030724713266429</v>
      </c>
      <c r="K8" s="8"/>
      <c r="L8" s="16">
        <f t="shared" si="2"/>
        <v>3.5070760538233776E-2</v>
      </c>
      <c r="M8" s="16">
        <f t="shared" si="2"/>
        <v>4.18241421577943E-2</v>
      </c>
      <c r="N8" s="16">
        <f t="shared" si="3"/>
        <v>-1.3758272704687437E-2</v>
      </c>
      <c r="O8" s="16">
        <f t="shared" si="4"/>
        <v>2.3142303877928087E-2</v>
      </c>
      <c r="Q8" s="4">
        <f t="shared" si="5"/>
        <v>0.12878914989231299</v>
      </c>
      <c r="R8" s="15">
        <f t="shared" si="1"/>
        <v>1.1374502673683411</v>
      </c>
      <c r="S8" s="15"/>
    </row>
    <row r="9" spans="1:19" x14ac:dyDescent="0.3">
      <c r="A9">
        <v>1954</v>
      </c>
      <c r="B9" s="15">
        <v>1.2526969999999999</v>
      </c>
      <c r="C9" s="15">
        <v>1.2842279999999999</v>
      </c>
      <c r="D9" s="15">
        <v>1.1657500000000001</v>
      </c>
      <c r="E9" s="18"/>
      <c r="F9">
        <v>0.53786230000000002</v>
      </c>
      <c r="G9">
        <v>197065.75</v>
      </c>
      <c r="H9">
        <v>94278.422000000006</v>
      </c>
      <c r="I9">
        <v>102787.32</v>
      </c>
      <c r="J9">
        <f t="shared" si="0"/>
        <v>0.52158896205961724</v>
      </c>
      <c r="K9" s="8"/>
      <c r="L9" s="16">
        <f t="shared" si="2"/>
        <v>1.5560728642639627E-2</v>
      </c>
      <c r="M9" s="16">
        <f t="shared" si="2"/>
        <v>4.5363939544279322E-2</v>
      </c>
      <c r="N9" s="16">
        <f t="shared" si="3"/>
        <v>3.6145610787357008E-2</v>
      </c>
      <c r="O9" s="16">
        <f t="shared" si="4"/>
        <v>-2.4845019394285323E-2</v>
      </c>
      <c r="Q9" s="4">
        <f t="shared" si="5"/>
        <v>0.10394413049802767</v>
      </c>
      <c r="R9" s="15">
        <f t="shared" si="1"/>
        <v>1.1095384638225001</v>
      </c>
      <c r="S9" s="15"/>
    </row>
    <row r="10" spans="1:19" x14ac:dyDescent="0.3">
      <c r="A10">
        <v>1955</v>
      </c>
      <c r="B10" s="15">
        <v>1.3262100000000001</v>
      </c>
      <c r="C10" s="15">
        <v>1.3420840000000001</v>
      </c>
      <c r="D10" s="15">
        <v>1.192706</v>
      </c>
      <c r="E10" s="18"/>
      <c r="F10">
        <v>0.53786230000000002</v>
      </c>
      <c r="G10">
        <v>222725.77</v>
      </c>
      <c r="H10">
        <v>105471.14</v>
      </c>
      <c r="I10">
        <v>117254.63</v>
      </c>
      <c r="J10">
        <f t="shared" si="0"/>
        <v>0.52645291112923309</v>
      </c>
      <c r="K10" s="8"/>
      <c r="L10" s="16">
        <f t="shared" si="2"/>
        <v>5.7026423227057144E-2</v>
      </c>
      <c r="M10" s="16">
        <f t="shared" si="2"/>
        <v>4.4065870137657032E-2</v>
      </c>
      <c r="N10" s="16">
        <f t="shared" si="3"/>
        <v>9.2820413299274911E-3</v>
      </c>
      <c r="O10" s="16">
        <f t="shared" si="4"/>
        <v>3.1669463254731779E-2</v>
      </c>
      <c r="Q10" s="4">
        <f t="shared" si="5"/>
        <v>0.13561359375275944</v>
      </c>
      <c r="R10" s="15">
        <f t="shared" si="1"/>
        <v>1.1452392804735712</v>
      </c>
      <c r="S10" s="15"/>
    </row>
    <row r="11" spans="1:19" x14ac:dyDescent="0.3">
      <c r="A11">
        <v>1956</v>
      </c>
      <c r="B11" s="15">
        <v>1.3629990000000001</v>
      </c>
      <c r="C11" s="15">
        <v>1.4044019999999999</v>
      </c>
      <c r="D11" s="15">
        <v>1.227325</v>
      </c>
      <c r="E11" s="18"/>
      <c r="F11">
        <v>0.53786230000000002</v>
      </c>
      <c r="G11">
        <v>236725.03</v>
      </c>
      <c r="H11">
        <v>110789.3</v>
      </c>
      <c r="I11">
        <v>125935.74</v>
      </c>
      <c r="J11">
        <f t="shared" si="0"/>
        <v>0.5319916529316735</v>
      </c>
      <c r="K11" s="8"/>
      <c r="L11" s="16">
        <f t="shared" si="2"/>
        <v>2.7362168773385639E-2</v>
      </c>
      <c r="M11" s="16">
        <f t="shared" si="2"/>
        <v>4.538795967164392E-2</v>
      </c>
      <c r="N11" s="16">
        <f t="shared" si="3"/>
        <v>1.0465909217558321E-2</v>
      </c>
      <c r="O11" s="16">
        <f t="shared" si="4"/>
        <v>7.5746347969224501E-4</v>
      </c>
      <c r="Q11" s="4">
        <f t="shared" si="5"/>
        <v>0.13637105723245169</v>
      </c>
      <c r="R11" s="15">
        <f t="shared" si="1"/>
        <v>1.1461070860280544</v>
      </c>
      <c r="S11" s="15"/>
    </row>
    <row r="12" spans="1:19" x14ac:dyDescent="0.3">
      <c r="A12">
        <v>1957</v>
      </c>
      <c r="B12" s="15">
        <v>1.4055470000000001</v>
      </c>
      <c r="C12" s="15">
        <v>1.4651620000000001</v>
      </c>
      <c r="D12" s="15">
        <v>1.2448049999999999</v>
      </c>
      <c r="E12" s="18"/>
      <c r="F12">
        <v>0.53786230000000002</v>
      </c>
      <c r="G12">
        <v>253734.33</v>
      </c>
      <c r="H12">
        <v>117129.34</v>
      </c>
      <c r="I12">
        <v>136605</v>
      </c>
      <c r="J12">
        <f t="shared" si="0"/>
        <v>0.53837807442138397</v>
      </c>
      <c r="K12" s="8"/>
      <c r="L12" s="16">
        <f t="shared" si="2"/>
        <v>3.0739131823851445E-2</v>
      </c>
      <c r="M12" s="16">
        <f t="shared" si="2"/>
        <v>4.235422715344337E-2</v>
      </c>
      <c r="N12" s="16">
        <f t="shared" si="3"/>
        <v>1.1933254674952735E-2</v>
      </c>
      <c r="O12" s="16">
        <f t="shared" si="4"/>
        <v>4.7471988959257479E-3</v>
      </c>
      <c r="Q12" s="4">
        <f t="shared" si="5"/>
        <v>0.14111825612837745</v>
      </c>
      <c r="R12" s="15">
        <f t="shared" si="1"/>
        <v>1.1515608190571065</v>
      </c>
      <c r="S12" s="15"/>
    </row>
    <row r="13" spans="1:19" x14ac:dyDescent="0.3">
      <c r="A13">
        <v>1958</v>
      </c>
      <c r="B13" s="15">
        <v>1.428272</v>
      </c>
      <c r="C13" s="15">
        <v>1.5260370000000001</v>
      </c>
      <c r="D13" s="15">
        <v>1.239519</v>
      </c>
      <c r="E13" s="18"/>
      <c r="F13">
        <v>0.53786230000000002</v>
      </c>
      <c r="G13">
        <v>259092.78</v>
      </c>
      <c r="H13">
        <v>114589.17</v>
      </c>
      <c r="I13">
        <v>144503.60999999999</v>
      </c>
      <c r="J13">
        <f t="shared" si="0"/>
        <v>0.55772920418700966</v>
      </c>
      <c r="K13" s="8"/>
      <c r="L13" s="16">
        <f t="shared" si="2"/>
        <v>1.6038771107319855E-2</v>
      </c>
      <c r="M13" s="16">
        <f t="shared" si="2"/>
        <v>4.0708362403863586E-2</v>
      </c>
      <c r="N13" s="16">
        <f t="shared" si="3"/>
        <v>3.5312493515186831E-2</v>
      </c>
      <c r="O13" s="16">
        <f t="shared" si="4"/>
        <v>-2.176735684558161E-2</v>
      </c>
      <c r="Q13" s="4">
        <f t="shared" si="5"/>
        <v>0.11935089928279584</v>
      </c>
      <c r="R13" s="15">
        <f t="shared" si="1"/>
        <v>1.1267652300380917</v>
      </c>
      <c r="S13" s="15"/>
    </row>
    <row r="14" spans="1:19" x14ac:dyDescent="0.3">
      <c r="A14">
        <v>1959</v>
      </c>
      <c r="B14" s="15">
        <v>1.5122850000000001</v>
      </c>
      <c r="C14" s="15">
        <v>1.5946549999999999</v>
      </c>
      <c r="D14" s="15">
        <v>1.2617910000000001</v>
      </c>
      <c r="E14" s="18"/>
      <c r="F14">
        <v>0.53786230000000002</v>
      </c>
      <c r="G14">
        <v>275964.78000000003</v>
      </c>
      <c r="H14">
        <v>124572.48</v>
      </c>
      <c r="I14">
        <v>151392.31</v>
      </c>
      <c r="J14">
        <f t="shared" si="0"/>
        <v>0.5485928675391113</v>
      </c>
      <c r="K14" s="8"/>
      <c r="L14" s="16">
        <f t="shared" si="2"/>
        <v>5.7156430088853939E-2</v>
      </c>
      <c r="M14" s="16">
        <f t="shared" si="2"/>
        <v>4.3983232935814381E-2</v>
      </c>
      <c r="N14" s="16">
        <f t="shared" si="3"/>
        <v>-1.6516970216333519E-2</v>
      </c>
      <c r="O14" s="16">
        <f t="shared" si="4"/>
        <v>4.5713975570921078E-2</v>
      </c>
      <c r="Q14" s="4">
        <f t="shared" si="5"/>
        <v>0.1650648748537169</v>
      </c>
      <c r="R14" s="15">
        <f t="shared" si="1"/>
        <v>1.1794696341493789</v>
      </c>
      <c r="S14" s="15"/>
    </row>
    <row r="15" spans="1:19" x14ac:dyDescent="0.3">
      <c r="A15">
        <v>1960</v>
      </c>
      <c r="B15" s="15">
        <v>1.5580039999999999</v>
      </c>
      <c r="C15" s="15">
        <v>1.6720360000000001</v>
      </c>
      <c r="D15" s="15">
        <v>1.293679</v>
      </c>
      <c r="E15" s="18"/>
      <c r="F15">
        <v>0.53786230000000002</v>
      </c>
      <c r="G15">
        <v>297053.84000000003</v>
      </c>
      <c r="H15">
        <v>130059.3</v>
      </c>
      <c r="I15">
        <v>166994.53</v>
      </c>
      <c r="J15">
        <f t="shared" si="0"/>
        <v>0.56216923504506788</v>
      </c>
      <c r="K15" s="8"/>
      <c r="L15" s="16">
        <f t="shared" si="2"/>
        <v>2.9783762780919369E-2</v>
      </c>
      <c r="M15" s="16">
        <f t="shared" si="2"/>
        <v>4.7384633631250762E-2</v>
      </c>
      <c r="N15" s="16">
        <f t="shared" si="3"/>
        <v>2.4446357322286821E-2</v>
      </c>
      <c r="O15" s="16">
        <f t="shared" si="4"/>
        <v>-5.2632367967565385E-3</v>
      </c>
      <c r="Q15" s="4">
        <f t="shared" si="5"/>
        <v>0.15980163805696038</v>
      </c>
      <c r="R15" s="15">
        <f t="shared" si="1"/>
        <v>1.173278114181072</v>
      </c>
      <c r="S15" s="15"/>
    </row>
    <row r="16" spans="1:19" x14ac:dyDescent="0.3">
      <c r="A16">
        <v>1961</v>
      </c>
      <c r="B16" s="15">
        <v>1.610884</v>
      </c>
      <c r="C16" s="15">
        <v>1.748904</v>
      </c>
      <c r="D16" s="15">
        <v>1.3095460000000001</v>
      </c>
      <c r="E16" s="18"/>
      <c r="F16">
        <v>0.53786230000000002</v>
      </c>
      <c r="G16">
        <v>301880.84000000003</v>
      </c>
      <c r="H16">
        <v>129954.74</v>
      </c>
      <c r="I16">
        <v>171926.11</v>
      </c>
      <c r="J16">
        <f t="shared" si="0"/>
        <v>0.56951646881597373</v>
      </c>
      <c r="K16" s="8"/>
      <c r="L16" s="16">
        <f t="shared" si="2"/>
        <v>3.3377581797139948E-2</v>
      </c>
      <c r="M16" s="16">
        <f t="shared" si="2"/>
        <v>4.4947260491119391E-2</v>
      </c>
      <c r="N16" s="16">
        <f t="shared" si="3"/>
        <v>1.2984765958820381E-2</v>
      </c>
      <c r="O16" s="16">
        <f t="shared" si="4"/>
        <v>5.6217421289003261E-3</v>
      </c>
      <c r="Q16" s="4">
        <f t="shared" si="5"/>
        <v>0.1654233801858607</v>
      </c>
      <c r="R16" s="15">
        <f t="shared" si="1"/>
        <v>1.1798925561076818</v>
      </c>
      <c r="S16" s="15"/>
    </row>
    <row r="17" spans="1:19" x14ac:dyDescent="0.3">
      <c r="A17">
        <v>1962</v>
      </c>
      <c r="B17" s="15">
        <v>1.6984440000000001</v>
      </c>
      <c r="C17" s="15">
        <v>1.836125</v>
      </c>
      <c r="D17" s="15">
        <v>1.336781</v>
      </c>
      <c r="E17" s="18"/>
      <c r="F17">
        <v>0.53786230000000002</v>
      </c>
      <c r="G17">
        <v>314614.19</v>
      </c>
      <c r="H17">
        <v>138979.09</v>
      </c>
      <c r="I17">
        <v>175635.11</v>
      </c>
      <c r="J17">
        <f t="shared" si="0"/>
        <v>0.5582555256010544</v>
      </c>
      <c r="K17" s="8"/>
      <c r="L17" s="16">
        <f t="shared" si="2"/>
        <v>5.2929441170591368E-2</v>
      </c>
      <c r="M17" s="16">
        <f t="shared" si="2"/>
        <v>4.8668066647124912E-2</v>
      </c>
      <c r="N17" s="16">
        <f t="shared" si="3"/>
        <v>-1.9970911747901714E-2</v>
      </c>
      <c r="O17" s="16">
        <f t="shared" si="4"/>
        <v>4.1179693312665785E-2</v>
      </c>
      <c r="Q17" s="4">
        <f t="shared" si="5"/>
        <v>0.20660307349852647</v>
      </c>
      <c r="R17" s="15">
        <f t="shared" si="1"/>
        <v>1.2294944559811194</v>
      </c>
      <c r="S17" s="15"/>
    </row>
    <row r="18" spans="1:19" x14ac:dyDescent="0.3">
      <c r="A18">
        <v>1963</v>
      </c>
      <c r="B18" s="15">
        <v>1.770599</v>
      </c>
      <c r="C18" s="15">
        <v>1.9283159999999999</v>
      </c>
      <c r="D18" s="15">
        <v>1.352044</v>
      </c>
      <c r="E18" s="18"/>
      <c r="F18">
        <v>0.53786230000000002</v>
      </c>
      <c r="G18">
        <v>337196.31</v>
      </c>
      <c r="H18">
        <v>147642.20000000001</v>
      </c>
      <c r="I18">
        <v>189554.13</v>
      </c>
      <c r="J18">
        <f t="shared" si="0"/>
        <v>0.56214769965899092</v>
      </c>
      <c r="K18" s="8"/>
      <c r="L18" s="16">
        <f t="shared" si="2"/>
        <v>4.1605369607264804E-2</v>
      </c>
      <c r="M18" s="16">
        <f t="shared" si="2"/>
        <v>4.8989710503644139E-2</v>
      </c>
      <c r="N18" s="16">
        <f t="shared" si="3"/>
        <v>6.9478373985999995E-3</v>
      </c>
      <c r="O18" s="16">
        <f t="shared" si="4"/>
        <v>1.5228397668207848E-2</v>
      </c>
      <c r="Q18" s="4">
        <f t="shared" si="5"/>
        <v>0.22183147116673432</v>
      </c>
      <c r="R18" s="15">
        <f t="shared" si="1"/>
        <v>1.2483609753166689</v>
      </c>
      <c r="S18" s="15"/>
    </row>
    <row r="19" spans="1:19" x14ac:dyDescent="0.3">
      <c r="A19">
        <v>1964</v>
      </c>
      <c r="B19" s="15">
        <v>1.869464</v>
      </c>
      <c r="C19" s="15">
        <v>2.026313</v>
      </c>
      <c r="D19" s="15">
        <v>1.3852690000000001</v>
      </c>
      <c r="E19" s="18"/>
      <c r="F19">
        <v>0.53786230000000002</v>
      </c>
      <c r="G19">
        <v>365229.28</v>
      </c>
      <c r="H19">
        <v>157930.57999999999</v>
      </c>
      <c r="I19">
        <v>207298.7</v>
      </c>
      <c r="J19">
        <f t="shared" si="0"/>
        <v>0.56758510708670451</v>
      </c>
      <c r="K19" s="8"/>
      <c r="L19" s="16">
        <f t="shared" si="2"/>
        <v>5.4333851349579847E-2</v>
      </c>
      <c r="M19" s="16">
        <f t="shared" si="2"/>
        <v>4.9570802329887829E-2</v>
      </c>
      <c r="N19" s="16">
        <f t="shared" si="3"/>
        <v>9.6260804000279625E-3</v>
      </c>
      <c r="O19" s="16">
        <f t="shared" si="4"/>
        <v>2.6247809029746882E-2</v>
      </c>
      <c r="Q19" s="4">
        <f t="shared" si="5"/>
        <v>0.24807928019648121</v>
      </c>
      <c r="R19" s="15">
        <f t="shared" si="1"/>
        <v>1.2815615306165464</v>
      </c>
      <c r="S19" s="15"/>
    </row>
    <row r="20" spans="1:19" x14ac:dyDescent="0.3">
      <c r="A20">
        <v>1965</v>
      </c>
      <c r="B20" s="15">
        <v>1.9680390000000001</v>
      </c>
      <c r="C20" s="15">
        <v>2.1412239999999998</v>
      </c>
      <c r="D20" s="15">
        <v>1.4238839999999999</v>
      </c>
      <c r="E20" s="18"/>
      <c r="F20">
        <v>0.53786230000000002</v>
      </c>
      <c r="G20">
        <v>390363.72</v>
      </c>
      <c r="H20">
        <v>170224.2</v>
      </c>
      <c r="I20">
        <v>220139.53</v>
      </c>
      <c r="J20">
        <f t="shared" si="0"/>
        <v>0.56393439943650503</v>
      </c>
      <c r="K20" s="8"/>
      <c r="L20" s="16">
        <f t="shared" si="2"/>
        <v>5.1385856742945379E-2</v>
      </c>
      <c r="M20" s="16">
        <f t="shared" si="2"/>
        <v>5.5159742639335166E-2</v>
      </c>
      <c r="N20" s="16">
        <f t="shared" si="3"/>
        <v>-6.452774868809053E-3</v>
      </c>
      <c r="O20" s="16">
        <f t="shared" si="4"/>
        <v>2.9365164479330935E-2</v>
      </c>
      <c r="Q20" s="4">
        <f t="shared" si="5"/>
        <v>0.27744444467581214</v>
      </c>
      <c r="R20" s="15">
        <f t="shared" si="1"/>
        <v>1.3197527978125523</v>
      </c>
      <c r="S20" s="15"/>
    </row>
    <row r="21" spans="1:19" x14ac:dyDescent="0.3">
      <c r="A21">
        <v>1966</v>
      </c>
      <c r="B21" s="15">
        <v>2.0876830000000002</v>
      </c>
      <c r="C21" s="15">
        <v>2.260008</v>
      </c>
      <c r="D21" s="15">
        <v>1.479541</v>
      </c>
      <c r="E21" s="18"/>
      <c r="F21">
        <v>0.53786230000000002</v>
      </c>
      <c r="G21">
        <v>436812.81</v>
      </c>
      <c r="H21">
        <v>189492.31</v>
      </c>
      <c r="I21">
        <v>247320.5</v>
      </c>
      <c r="J21">
        <f t="shared" si="0"/>
        <v>0.56619333118916548</v>
      </c>
      <c r="K21" s="8"/>
      <c r="L21" s="16">
        <f t="shared" si="2"/>
        <v>5.9017223064332679E-2</v>
      </c>
      <c r="M21" s="16">
        <f t="shared" si="2"/>
        <v>5.3990724958629256E-2</v>
      </c>
      <c r="N21" s="16">
        <f t="shared" si="3"/>
        <v>3.997662741713752E-3</v>
      </c>
      <c r="O21" s="16">
        <f t="shared" si="4"/>
        <v>3.1915881533736687E-2</v>
      </c>
      <c r="Q21" s="4">
        <f t="shared" si="5"/>
        <v>0.30936032620954884</v>
      </c>
      <c r="R21" s="15">
        <f t="shared" si="1"/>
        <v>1.3625532457068441</v>
      </c>
      <c r="S21" s="15"/>
    </row>
    <row r="22" spans="1:19" x14ac:dyDescent="0.3">
      <c r="A22">
        <v>1967</v>
      </c>
      <c r="B22" s="15">
        <v>2.1673149999999999</v>
      </c>
      <c r="C22" s="15">
        <v>2.3938959999999998</v>
      </c>
      <c r="D22" s="15">
        <v>1.5120960000000001</v>
      </c>
      <c r="E22" s="18"/>
      <c r="F22">
        <v>0.53786230000000002</v>
      </c>
      <c r="G22">
        <v>470879.13</v>
      </c>
      <c r="H22">
        <v>198423.53</v>
      </c>
      <c r="I22">
        <v>272455.59000000003</v>
      </c>
      <c r="J22">
        <f t="shared" si="0"/>
        <v>0.57861045997090599</v>
      </c>
      <c r="K22" s="8"/>
      <c r="L22" s="16">
        <f t="shared" si="2"/>
        <v>3.7434235670905251E-2</v>
      </c>
      <c r="M22" s="16">
        <f t="shared" si="2"/>
        <v>5.7553811153036032E-2</v>
      </c>
      <c r="N22" s="16">
        <f t="shared" si="3"/>
        <v>2.1693876028901618E-2</v>
      </c>
      <c r="O22" s="16">
        <f t="shared" si="4"/>
        <v>-8.3186829841305938E-4</v>
      </c>
      <c r="Q22" s="4">
        <f t="shared" si="5"/>
        <v>0.30852845791113576</v>
      </c>
      <c r="R22" s="15">
        <f t="shared" si="1"/>
        <v>1.3614202521728789</v>
      </c>
      <c r="S22" s="15"/>
    </row>
    <row r="23" spans="1:19" x14ac:dyDescent="0.3">
      <c r="A23">
        <v>1968</v>
      </c>
      <c r="B23" s="15">
        <v>2.2727020000000002</v>
      </c>
      <c r="C23" s="15">
        <v>2.527965</v>
      </c>
      <c r="D23" s="15">
        <v>1.556195</v>
      </c>
      <c r="E23" s="18"/>
      <c r="F23">
        <v>0.53786230000000002</v>
      </c>
      <c r="G23">
        <v>511077.38</v>
      </c>
      <c r="H23">
        <v>212542.47</v>
      </c>
      <c r="I23">
        <v>298534.88</v>
      </c>
      <c r="J23">
        <f t="shared" si="0"/>
        <v>0.5841285325521548</v>
      </c>
      <c r="K23" s="8"/>
      <c r="L23" s="16">
        <f t="shared" si="2"/>
        <v>4.7480357765887965E-2</v>
      </c>
      <c r="M23" s="16">
        <f t="shared" si="2"/>
        <v>5.4492466998085888E-2</v>
      </c>
      <c r="N23" s="16">
        <f t="shared" si="3"/>
        <v>9.4915781506014745E-3</v>
      </c>
      <c r="O23" s="16">
        <f t="shared" si="4"/>
        <v>1.7192172345354393E-2</v>
      </c>
      <c r="Q23" s="4">
        <f t="shared" si="5"/>
        <v>0.32572063025649017</v>
      </c>
      <c r="R23" s="15">
        <f t="shared" si="1"/>
        <v>1.3850283797955647</v>
      </c>
      <c r="S23" s="15"/>
    </row>
    <row r="24" spans="1:19" x14ac:dyDescent="0.3">
      <c r="A24">
        <v>1969</v>
      </c>
      <c r="B24" s="15">
        <v>2.3497870000000001</v>
      </c>
      <c r="C24" s="15">
        <v>2.66805</v>
      </c>
      <c r="D24" s="15">
        <v>1.5978479999999999</v>
      </c>
      <c r="E24" s="18"/>
      <c r="F24">
        <v>0.53786230000000002</v>
      </c>
      <c r="G24">
        <v>563248.68999999994</v>
      </c>
      <c r="H24">
        <v>234578.59</v>
      </c>
      <c r="I24">
        <v>328670.09000000003</v>
      </c>
      <c r="J24">
        <f t="shared" si="0"/>
        <v>0.58352570691287375</v>
      </c>
      <c r="K24" s="8"/>
      <c r="L24" s="16">
        <f t="shared" si="2"/>
        <v>3.3355253742293887E-2</v>
      </c>
      <c r="M24" s="16">
        <f t="shared" si="2"/>
        <v>5.3933237255399002E-2</v>
      </c>
      <c r="N24" s="16">
        <f t="shared" si="3"/>
        <v>-1.0325414364365302E-3</v>
      </c>
      <c r="O24" s="16">
        <f t="shared" si="4"/>
        <v>8.9860366353765372E-3</v>
      </c>
      <c r="Q24" s="4">
        <f t="shared" si="5"/>
        <v>0.33470666689186673</v>
      </c>
      <c r="R24" s="15">
        <f t="shared" si="1"/>
        <v>1.3975303831608141</v>
      </c>
      <c r="S24" s="15"/>
    </row>
    <row r="25" spans="1:19" x14ac:dyDescent="0.3">
      <c r="A25">
        <v>1970</v>
      </c>
      <c r="B25" s="15">
        <v>2.3940670000000002</v>
      </c>
      <c r="C25" s="15">
        <v>2.7946200000000001</v>
      </c>
      <c r="D25" s="15">
        <v>1.593048</v>
      </c>
      <c r="E25" s="18"/>
      <c r="F25">
        <v>0.53786230000000002</v>
      </c>
      <c r="G25">
        <v>610929.81000000006</v>
      </c>
      <c r="H25">
        <v>237534.92</v>
      </c>
      <c r="I25">
        <v>373394.91</v>
      </c>
      <c r="J25">
        <f t="shared" si="0"/>
        <v>0.61119117759207053</v>
      </c>
      <c r="K25" s="8"/>
      <c r="L25" s="16">
        <f t="shared" si="2"/>
        <v>1.8668907627116243E-2</v>
      </c>
      <c r="M25" s="16">
        <f t="shared" si="2"/>
        <v>4.6348271790414175E-2</v>
      </c>
      <c r="N25" s="16">
        <f t="shared" si="3"/>
        <v>4.6321296018074942E-2</v>
      </c>
      <c r="O25" s="16">
        <f t="shared" si="4"/>
        <v>-2.7664854912343276E-2</v>
      </c>
      <c r="Q25" s="4">
        <f t="shared" si="5"/>
        <v>0.30704181197952346</v>
      </c>
      <c r="R25" s="15">
        <f t="shared" si="1"/>
        <v>1.3593978059969478</v>
      </c>
      <c r="S25" s="15"/>
    </row>
    <row r="26" spans="1:19" x14ac:dyDescent="0.3">
      <c r="A26">
        <v>1971</v>
      </c>
      <c r="B26" s="15">
        <v>2.473808</v>
      </c>
      <c r="C26" s="15">
        <v>2.9310179999999999</v>
      </c>
      <c r="D26" s="15">
        <v>1.6077619999999999</v>
      </c>
      <c r="E26" s="18"/>
      <c r="F26">
        <v>0.53786230000000002</v>
      </c>
      <c r="G26">
        <v>642072.13</v>
      </c>
      <c r="H26">
        <v>247685.98</v>
      </c>
      <c r="I26">
        <v>394386.16</v>
      </c>
      <c r="J26">
        <f t="shared" si="0"/>
        <v>0.61423964936774311</v>
      </c>
      <c r="K26" s="8"/>
      <c r="L26" s="16">
        <f t="shared" si="2"/>
        <v>3.2765070467310024E-2</v>
      </c>
      <c r="M26" s="16">
        <f t="shared" si="2"/>
        <v>4.7653662660745409E-2</v>
      </c>
      <c r="N26" s="16">
        <f t="shared" si="3"/>
        <v>4.9753572329623358E-3</v>
      </c>
      <c r="O26" s="16">
        <f t="shared" si="4"/>
        <v>8.0664593240545035E-3</v>
      </c>
      <c r="Q26" s="4">
        <f t="shared" si="5"/>
        <v>0.31510827130357799</v>
      </c>
      <c r="R26" s="15">
        <f t="shared" si="1"/>
        <v>1.370407678750676</v>
      </c>
      <c r="S26" s="15"/>
    </row>
    <row r="27" spans="1:19" x14ac:dyDescent="0.3">
      <c r="A27">
        <v>1972</v>
      </c>
      <c r="B27" s="15">
        <v>2.5881479999999999</v>
      </c>
      <c r="C27" s="15">
        <v>3.0582799999999999</v>
      </c>
      <c r="D27" s="15">
        <v>1.635891</v>
      </c>
      <c r="E27" s="18"/>
      <c r="F27">
        <v>0.53786230000000002</v>
      </c>
      <c r="G27">
        <v>709898.75</v>
      </c>
      <c r="H27">
        <v>274307.28000000003</v>
      </c>
      <c r="I27">
        <v>435591.44</v>
      </c>
      <c r="J27">
        <f t="shared" si="0"/>
        <v>0.61359657275069157</v>
      </c>
      <c r="K27" s="8"/>
      <c r="L27" s="16">
        <f t="shared" si="2"/>
        <v>4.5183898175817659E-2</v>
      </c>
      <c r="M27" s="16">
        <f t="shared" si="2"/>
        <v>4.250286346975176E-2</v>
      </c>
      <c r="N27" s="16">
        <f t="shared" si="3"/>
        <v>-1.0474958537111721E-3</v>
      </c>
      <c r="O27" s="16">
        <f t="shared" si="4"/>
        <v>2.6105131137610114E-2</v>
      </c>
      <c r="Q27" s="4">
        <f t="shared" si="5"/>
        <v>0.34121340244118809</v>
      </c>
      <c r="R27" s="15">
        <f t="shared" si="1"/>
        <v>1.4066533921023066</v>
      </c>
      <c r="S27" s="15"/>
    </row>
    <row r="28" spans="1:19" x14ac:dyDescent="0.3">
      <c r="A28">
        <v>1973</v>
      </c>
      <c r="B28" s="15">
        <v>2.7119469999999999</v>
      </c>
      <c r="C28" s="15">
        <v>3.194696</v>
      </c>
      <c r="D28" s="15">
        <v>1.6909970000000001</v>
      </c>
      <c r="E28" s="18"/>
      <c r="F28">
        <v>0.53786230000000002</v>
      </c>
      <c r="G28">
        <v>795746.81</v>
      </c>
      <c r="H28">
        <v>314278.88</v>
      </c>
      <c r="I28">
        <v>481467.91</v>
      </c>
      <c r="J28">
        <f t="shared" si="0"/>
        <v>0.60505163696477771</v>
      </c>
      <c r="K28" s="8"/>
      <c r="L28" s="16">
        <f t="shared" si="2"/>
        <v>4.672426509378471E-2</v>
      </c>
      <c r="M28" s="16">
        <f t="shared" si="2"/>
        <v>4.3639268204409366E-2</v>
      </c>
      <c r="N28" s="16">
        <f t="shared" si="3"/>
        <v>-1.4023859815723492E-2</v>
      </c>
      <c r="O28" s="16">
        <f t="shared" si="4"/>
        <v>3.409981955147845E-2</v>
      </c>
      <c r="Q28" s="4">
        <f t="shared" si="5"/>
        <v>0.37531322199266653</v>
      </c>
      <c r="R28" s="15">
        <f t="shared" si="1"/>
        <v>1.4554472213090142</v>
      </c>
      <c r="S28" s="15"/>
    </row>
    <row r="29" spans="1:19" x14ac:dyDescent="0.3">
      <c r="A29">
        <v>1974</v>
      </c>
      <c r="B29" s="15">
        <v>2.767728</v>
      </c>
      <c r="C29" s="15">
        <v>3.3333840000000001</v>
      </c>
      <c r="D29" s="15">
        <v>1.7033240000000001</v>
      </c>
      <c r="E29" s="18"/>
      <c r="F29">
        <v>0.53786230000000002</v>
      </c>
      <c r="G29">
        <v>839624.31</v>
      </c>
      <c r="H29">
        <v>328322.81</v>
      </c>
      <c r="I29">
        <v>511301.53</v>
      </c>
      <c r="J29">
        <f t="shared" si="0"/>
        <v>0.6089646570619186</v>
      </c>
      <c r="K29" s="8"/>
      <c r="L29" s="16">
        <f t="shared" si="2"/>
        <v>2.0359939916734633E-2</v>
      </c>
      <c r="M29" s="16">
        <f t="shared" si="2"/>
        <v>4.2496069577637491E-2</v>
      </c>
      <c r="N29" s="16">
        <f t="shared" si="3"/>
        <v>6.4464269010394096E-3</v>
      </c>
      <c r="O29" s="16">
        <f t="shared" si="4"/>
        <v>-2.7463859366896582E-3</v>
      </c>
      <c r="Q29" s="4">
        <f t="shared" si="5"/>
        <v>0.3725668360559769</v>
      </c>
      <c r="R29" s="15">
        <f t="shared" si="1"/>
        <v>1.4514554854614317</v>
      </c>
      <c r="S29" s="15"/>
    </row>
    <row r="30" spans="1:19" x14ac:dyDescent="0.3">
      <c r="A30">
        <v>1975</v>
      </c>
      <c r="B30" s="15">
        <v>2.8210109999999999</v>
      </c>
      <c r="C30" s="15">
        <v>3.4348800000000002</v>
      </c>
      <c r="D30" s="15">
        <v>1.7119180000000001</v>
      </c>
      <c r="E30" s="18"/>
      <c r="F30">
        <v>0.53786230000000002</v>
      </c>
      <c r="G30">
        <v>911870.06</v>
      </c>
      <c r="H30">
        <v>342504.88</v>
      </c>
      <c r="I30">
        <v>569365.18999999994</v>
      </c>
      <c r="J30">
        <f t="shared" si="0"/>
        <v>0.62439289869874648</v>
      </c>
      <c r="K30" s="8"/>
      <c r="L30" s="16">
        <f t="shared" si="2"/>
        <v>1.9068564307676963E-2</v>
      </c>
      <c r="M30" s="16">
        <f t="shared" si="2"/>
        <v>2.9993986355855182E-2</v>
      </c>
      <c r="N30" s="16">
        <f t="shared" si="3"/>
        <v>2.5019583931766988E-2</v>
      </c>
      <c r="O30" s="16">
        <f t="shared" si="4"/>
        <v>-8.2498785192325671E-3</v>
      </c>
      <c r="Q30" s="4">
        <f t="shared" si="5"/>
        <v>0.36431695753674431</v>
      </c>
      <c r="R30" s="15">
        <f t="shared" si="1"/>
        <v>1.4395304118699903</v>
      </c>
      <c r="S30" s="15"/>
    </row>
    <row r="31" spans="1:19" x14ac:dyDescent="0.3">
      <c r="A31">
        <v>1976</v>
      </c>
      <c r="B31" s="15">
        <v>2.9364690000000002</v>
      </c>
      <c r="C31" s="15">
        <v>3.5218829999999999</v>
      </c>
      <c r="D31" s="15">
        <v>1.7519720000000001</v>
      </c>
      <c r="E31" s="18"/>
      <c r="F31">
        <v>0.53786230000000002</v>
      </c>
      <c r="G31">
        <v>1030431.8</v>
      </c>
      <c r="H31">
        <v>388488.56</v>
      </c>
      <c r="I31">
        <v>641943.18999999994</v>
      </c>
      <c r="J31">
        <f t="shared" si="0"/>
        <v>0.62298464585429125</v>
      </c>
      <c r="K31" s="8"/>
      <c r="L31" s="16">
        <f t="shared" si="2"/>
        <v>4.0112507800688472E-2</v>
      </c>
      <c r="M31" s="16">
        <f t="shared" si="2"/>
        <v>2.5013799194454366E-2</v>
      </c>
      <c r="N31" s="16">
        <f t="shared" si="3"/>
        <v>-2.2579425915003099E-3</v>
      </c>
      <c r="O31" s="16">
        <f t="shared" si="4"/>
        <v>2.9767150368233797E-2</v>
      </c>
      <c r="Q31" s="4">
        <f t="shared" si="5"/>
        <v>0.39408410790497811</v>
      </c>
      <c r="R31" s="15">
        <f t="shared" si="1"/>
        <v>1.4830252775784629</v>
      </c>
      <c r="S31" s="15"/>
    </row>
    <row r="32" spans="1:19" x14ac:dyDescent="0.3">
      <c r="A32">
        <v>1977</v>
      </c>
      <c r="B32" s="15">
        <v>3.0533459999999999</v>
      </c>
      <c r="C32" s="15">
        <v>3.6268880000000001</v>
      </c>
      <c r="D32" s="15">
        <v>1.813463</v>
      </c>
      <c r="E32" s="18"/>
      <c r="F32">
        <v>0.53786230000000002</v>
      </c>
      <c r="G32">
        <v>1149704</v>
      </c>
      <c r="H32">
        <v>437670.38</v>
      </c>
      <c r="I32">
        <v>712033.63</v>
      </c>
      <c r="J32">
        <f t="shared" si="0"/>
        <v>0.61931908560812177</v>
      </c>
      <c r="K32" s="8"/>
      <c r="L32" s="16">
        <f t="shared" si="2"/>
        <v>3.9030199341514617E-2</v>
      </c>
      <c r="M32" s="16">
        <f t="shared" si="2"/>
        <v>2.9379190548506101E-2</v>
      </c>
      <c r="N32" s="16">
        <f t="shared" si="3"/>
        <v>-5.9012474824085611E-3</v>
      </c>
      <c r="O32" s="16">
        <f t="shared" si="4"/>
        <v>2.8627026337323745E-2</v>
      </c>
      <c r="Q32" s="4">
        <f t="shared" si="5"/>
        <v>0.42271113424230183</v>
      </c>
      <c r="R32" s="15">
        <f t="shared" si="1"/>
        <v>1.5260933961638936</v>
      </c>
      <c r="S32" s="15"/>
    </row>
    <row r="33" spans="1:19" x14ac:dyDescent="0.3">
      <c r="A33">
        <v>1978</v>
      </c>
      <c r="B33" s="15">
        <v>3.223376</v>
      </c>
      <c r="C33" s="15">
        <v>3.8051119999999998</v>
      </c>
      <c r="D33" s="15">
        <v>1.892177</v>
      </c>
      <c r="E33" s="18"/>
      <c r="F33">
        <v>0.53786230000000002</v>
      </c>
      <c r="G33">
        <v>1298036.3</v>
      </c>
      <c r="H33">
        <v>495253.75</v>
      </c>
      <c r="I33">
        <v>802782.56</v>
      </c>
      <c r="J33">
        <f t="shared" si="0"/>
        <v>0.61845925264185608</v>
      </c>
      <c r="K33" s="8"/>
      <c r="L33" s="16">
        <f t="shared" si="2"/>
        <v>5.4191219043438918E-2</v>
      </c>
      <c r="M33" s="16">
        <f t="shared" si="2"/>
        <v>4.7970445525224448E-2</v>
      </c>
      <c r="N33" s="16">
        <f t="shared" si="3"/>
        <v>-1.3893167750625296E-3</v>
      </c>
      <c r="O33" s="16">
        <f t="shared" si="4"/>
        <v>3.2769528796500115E-2</v>
      </c>
      <c r="Q33" s="4">
        <f t="shared" si="5"/>
        <v>0.45548066303880197</v>
      </c>
      <c r="R33" s="15">
        <f t="shared" si="1"/>
        <v>1.576931173428286</v>
      </c>
      <c r="S33" s="15"/>
    </row>
    <row r="34" spans="1:19" x14ac:dyDescent="0.3">
      <c r="A34">
        <v>1979</v>
      </c>
      <c r="B34" s="15">
        <v>3.3611650000000002</v>
      </c>
      <c r="C34" s="15">
        <v>3.9968089999999998</v>
      </c>
      <c r="D34" s="15">
        <v>1.955738</v>
      </c>
      <c r="E34" s="18"/>
      <c r="F34">
        <v>0.53786230000000002</v>
      </c>
      <c r="G34">
        <v>1481996.5</v>
      </c>
      <c r="H34">
        <v>559856.93999999994</v>
      </c>
      <c r="I34">
        <v>922139.5</v>
      </c>
      <c r="J34">
        <f t="shared" si="0"/>
        <v>0.6222278527648345</v>
      </c>
      <c r="K34" s="8"/>
      <c r="L34" s="16">
        <f t="shared" si="2"/>
        <v>4.1858382545575355E-2</v>
      </c>
      <c r="M34" s="16">
        <f t="shared" si="2"/>
        <v>4.9150866913569971E-2</v>
      </c>
      <c r="N34" s="16">
        <f t="shared" si="3"/>
        <v>6.0750397048728007E-3</v>
      </c>
      <c r="O34" s="16">
        <f t="shared" si="4"/>
        <v>1.5876379128877825E-2</v>
      </c>
      <c r="Q34" s="4">
        <f t="shared" si="5"/>
        <v>0.47135704216767982</v>
      </c>
      <c r="R34" s="15">
        <f t="shared" si="1"/>
        <v>1.602166926717653</v>
      </c>
      <c r="S34" s="15"/>
    </row>
    <row r="35" spans="1:19" x14ac:dyDescent="0.3">
      <c r="A35">
        <v>1980</v>
      </c>
      <c r="B35" s="15">
        <v>3.410164</v>
      </c>
      <c r="C35" s="15">
        <v>4.1866899999999996</v>
      </c>
      <c r="D35" s="15">
        <v>1.976499</v>
      </c>
      <c r="E35" s="18"/>
      <c r="F35">
        <v>0.53786230000000002</v>
      </c>
      <c r="G35">
        <v>1646776.1</v>
      </c>
      <c r="H35">
        <v>590986.63</v>
      </c>
      <c r="I35">
        <v>1055789.5</v>
      </c>
      <c r="J35">
        <f t="shared" si="0"/>
        <v>0.64112510498543185</v>
      </c>
      <c r="K35" s="8"/>
      <c r="L35" s="16">
        <f t="shared" si="2"/>
        <v>1.4472743910641668E-2</v>
      </c>
      <c r="M35" s="16">
        <f t="shared" si="2"/>
        <v>4.6414152856792609E-2</v>
      </c>
      <c r="N35" s="16">
        <f t="shared" si="3"/>
        <v>2.9918261028891648E-2</v>
      </c>
      <c r="O35" s="16">
        <f t="shared" si="4"/>
        <v>-2.3068890627044925E-2</v>
      </c>
      <c r="Q35" s="4">
        <f t="shared" si="5"/>
        <v>0.44828815154063489</v>
      </c>
      <c r="R35" s="15">
        <f t="shared" si="1"/>
        <v>1.5656297692917038</v>
      </c>
      <c r="S35" s="15"/>
    </row>
    <row r="36" spans="1:19" x14ac:dyDescent="0.3">
      <c r="A36">
        <v>1981</v>
      </c>
      <c r="B36" s="15">
        <v>3.5070000000000001</v>
      </c>
      <c r="C36" s="15">
        <v>4.3535370000000002</v>
      </c>
      <c r="D36" s="15">
        <v>2.015952</v>
      </c>
      <c r="E36" s="18"/>
      <c r="F36">
        <v>0.53786230000000002</v>
      </c>
      <c r="G36">
        <v>1814615.1</v>
      </c>
      <c r="H36">
        <v>648645.43999999994</v>
      </c>
      <c r="I36">
        <v>1165969.8</v>
      </c>
      <c r="J36">
        <f t="shared" si="0"/>
        <v>0.64254386508742267</v>
      </c>
      <c r="K36" s="8"/>
      <c r="L36" s="16">
        <f t="shared" si="2"/>
        <v>2.8000587177445201E-2</v>
      </c>
      <c r="M36" s="16">
        <f t="shared" si="2"/>
        <v>3.907817255452168E-2</v>
      </c>
      <c r="N36" s="16">
        <f t="shared" si="3"/>
        <v>2.2104774872090871E-3</v>
      </c>
      <c r="O36" s="16">
        <f t="shared" si="4"/>
        <v>8.7521578875269269E-3</v>
      </c>
      <c r="Q36" s="4">
        <f t="shared" si="5"/>
        <v>0.45704030942816182</v>
      </c>
      <c r="R36" s="15">
        <f t="shared" si="1"/>
        <v>1.5793925473767481</v>
      </c>
      <c r="S36" s="15"/>
    </row>
    <row r="37" spans="1:19" x14ac:dyDescent="0.3">
      <c r="A37">
        <v>1982</v>
      </c>
      <c r="B37" s="15">
        <v>3.4945119999999998</v>
      </c>
      <c r="C37" s="15">
        <v>4.5141</v>
      </c>
      <c r="D37" s="15">
        <v>2.0306250000000001</v>
      </c>
      <c r="E37" s="18"/>
      <c r="F37">
        <v>0.53786230000000002</v>
      </c>
      <c r="G37">
        <v>1911405.8</v>
      </c>
      <c r="H37">
        <v>653979.5</v>
      </c>
      <c r="I37">
        <v>1257426.3</v>
      </c>
      <c r="J37">
        <f t="shared" si="0"/>
        <v>0.65785418250797401</v>
      </c>
      <c r="K37" s="8"/>
      <c r="L37" s="16">
        <f t="shared" si="2"/>
        <v>-3.5672332612270317E-3</v>
      </c>
      <c r="M37" s="16">
        <f t="shared" si="2"/>
        <v>3.6217213291463511E-2</v>
      </c>
      <c r="N37" s="16">
        <f t="shared" si="3"/>
        <v>2.3548212687569722E-2</v>
      </c>
      <c r="O37" s="16">
        <f t="shared" si="4"/>
        <v>-3.2970268749178841E-2</v>
      </c>
      <c r="Q37" s="4">
        <f t="shared" si="5"/>
        <v>0.42407004067898296</v>
      </c>
      <c r="R37" s="15">
        <f t="shared" si="1"/>
        <v>1.5281686240038044</v>
      </c>
      <c r="S37" s="15"/>
    </row>
    <row r="38" spans="1:19" x14ac:dyDescent="0.3">
      <c r="A38">
        <v>1983</v>
      </c>
      <c r="B38" s="15">
        <v>3.6693530000000001</v>
      </c>
      <c r="C38" s="15">
        <v>4.6771219999999998</v>
      </c>
      <c r="D38" s="15">
        <v>2.066738</v>
      </c>
      <c r="E38" s="18"/>
      <c r="F38">
        <v>0.53786230000000002</v>
      </c>
      <c r="G38">
        <v>2042380.5</v>
      </c>
      <c r="H38">
        <v>670899.43999999994</v>
      </c>
      <c r="I38">
        <v>1371481.1</v>
      </c>
      <c r="J38">
        <f t="shared" si="0"/>
        <v>0.67151106270354621</v>
      </c>
      <c r="K38" s="8"/>
      <c r="L38" s="16">
        <f t="shared" si="2"/>
        <v>4.8821614350072928E-2</v>
      </c>
      <c r="M38" s="16">
        <f t="shared" si="2"/>
        <v>3.5477132050018484E-2</v>
      </c>
      <c r="N38" s="16">
        <f t="shared" si="3"/>
        <v>2.0547190805862241E-2</v>
      </c>
      <c r="O38" s="16">
        <f t="shared" si="4"/>
        <v>2.137473483650118E-2</v>
      </c>
      <c r="Q38" s="4">
        <f t="shared" si="5"/>
        <v>0.44544477551548411</v>
      </c>
      <c r="R38" s="15">
        <f t="shared" si="1"/>
        <v>1.5611844180390013</v>
      </c>
      <c r="S38" s="15"/>
    </row>
    <row r="39" spans="1:19" x14ac:dyDescent="0.3">
      <c r="A39">
        <v>1984</v>
      </c>
      <c r="B39" s="15">
        <v>3.882101</v>
      </c>
      <c r="C39" s="15">
        <v>4.9088859999999999</v>
      </c>
      <c r="D39" s="15">
        <v>2.1653159999999998</v>
      </c>
      <c r="E39" s="18"/>
      <c r="F39">
        <v>0.53786230000000002</v>
      </c>
      <c r="G39">
        <v>2272605.2999999998</v>
      </c>
      <c r="H39">
        <v>760622.44</v>
      </c>
      <c r="I39">
        <v>1511982.9</v>
      </c>
      <c r="J39">
        <f t="shared" si="0"/>
        <v>0.66530818175949868</v>
      </c>
      <c r="K39" s="8"/>
      <c r="L39" s="16">
        <f t="shared" si="2"/>
        <v>5.6361149678225808E-2</v>
      </c>
      <c r="M39" s="16">
        <f t="shared" si="2"/>
        <v>4.836406865317075E-2</v>
      </c>
      <c r="N39" s="16">
        <f t="shared" si="3"/>
        <v>-9.2801259198883948E-3</v>
      </c>
      <c r="O39" s="16">
        <f t="shared" si="4"/>
        <v>3.900172009976817E-2</v>
      </c>
      <c r="Q39" s="4">
        <f t="shared" si="5"/>
        <v>0.48444649561525227</v>
      </c>
      <c r="R39" s="15">
        <f t="shared" si="1"/>
        <v>1.6232762696062362</v>
      </c>
      <c r="S39" s="15"/>
    </row>
    <row r="40" spans="1:19" x14ac:dyDescent="0.3">
      <c r="A40">
        <v>1985</v>
      </c>
      <c r="B40" s="15">
        <v>4.0423220000000004</v>
      </c>
      <c r="C40" s="15">
        <v>5.1692369999999999</v>
      </c>
      <c r="D40" s="15">
        <v>2.2215229999999999</v>
      </c>
      <c r="E40" s="18"/>
      <c r="F40">
        <v>0.53786230000000002</v>
      </c>
      <c r="G40">
        <v>2468433.2999999998</v>
      </c>
      <c r="H40">
        <v>806297.56</v>
      </c>
      <c r="I40">
        <v>1662135.6</v>
      </c>
      <c r="J40">
        <f t="shared" si="0"/>
        <v>0.67335649701371325</v>
      </c>
      <c r="K40" s="8"/>
      <c r="L40" s="16">
        <f t="shared" si="2"/>
        <v>4.0442777416250388E-2</v>
      </c>
      <c r="M40" s="16">
        <f t="shared" si="2"/>
        <v>5.1678063269989499E-2</v>
      </c>
      <c r="N40" s="16">
        <f t="shared" si="3"/>
        <v>1.2024538118873229E-2</v>
      </c>
      <c r="O40" s="16">
        <f t="shared" si="4"/>
        <v>1.0092850387148133E-2</v>
      </c>
      <c r="Q40" s="4">
        <f t="shared" si="5"/>
        <v>0.4945393460024004</v>
      </c>
      <c r="R40" s="15">
        <f t="shared" si="1"/>
        <v>1.6397427110170337</v>
      </c>
      <c r="S40" s="15"/>
    </row>
    <row r="41" spans="1:19" x14ac:dyDescent="0.3">
      <c r="A41">
        <v>1986</v>
      </c>
      <c r="B41" s="15">
        <v>4.2105350000000001</v>
      </c>
      <c r="C41" s="15">
        <v>5.4448569999999998</v>
      </c>
      <c r="D41" s="15">
        <v>2.2674470000000002</v>
      </c>
      <c r="E41" s="18"/>
      <c r="F41">
        <v>0.53786230000000002</v>
      </c>
      <c r="G41">
        <v>2613823</v>
      </c>
      <c r="H41">
        <v>832855.63</v>
      </c>
      <c r="I41">
        <v>1780967.3</v>
      </c>
      <c r="J41">
        <f t="shared" si="0"/>
        <v>0.68136492027195417</v>
      </c>
      <c r="K41" s="8"/>
      <c r="L41" s="16">
        <f t="shared" si="2"/>
        <v>4.0770438663950991E-2</v>
      </c>
      <c r="M41" s="16">
        <f t="shared" si="2"/>
        <v>5.1946397989808789E-2</v>
      </c>
      <c r="N41" s="16">
        <f t="shared" si="3"/>
        <v>1.1823119417362277E-2</v>
      </c>
      <c r="O41" s="16">
        <f t="shared" si="4"/>
        <v>1.0404839570659002E-2</v>
      </c>
      <c r="Q41" s="4">
        <f t="shared" si="5"/>
        <v>0.50494418557305942</v>
      </c>
      <c r="R41" s="15">
        <f t="shared" si="1"/>
        <v>1.6568930393444916</v>
      </c>
      <c r="S41" s="15"/>
    </row>
    <row r="42" spans="1:19" x14ac:dyDescent="0.3">
      <c r="A42">
        <v>1987</v>
      </c>
      <c r="B42" s="15">
        <v>4.306114</v>
      </c>
      <c r="C42" s="15">
        <v>5.743887</v>
      </c>
      <c r="D42" s="15">
        <v>2.3659129999999999</v>
      </c>
      <c r="E42" s="18"/>
      <c r="F42">
        <v>0.53786230000000002</v>
      </c>
      <c r="G42">
        <v>2806064.5</v>
      </c>
      <c r="H42">
        <v>864301.31</v>
      </c>
      <c r="I42">
        <v>1941763</v>
      </c>
      <c r="J42">
        <f t="shared" si="0"/>
        <v>0.69198801381792896</v>
      </c>
      <c r="K42" s="8"/>
      <c r="L42" s="16">
        <f t="shared" si="2"/>
        <v>2.2446155272892666E-2</v>
      </c>
      <c r="M42" s="16">
        <f t="shared" si="2"/>
        <v>5.3464665436670625E-2</v>
      </c>
      <c r="N42" s="16">
        <f t="shared" si="3"/>
        <v>1.5470612337001539E-2</v>
      </c>
      <c r="O42" s="16">
        <f t="shared" si="4"/>
        <v>-1.0582941377267814E-2</v>
      </c>
      <c r="Q42" s="4">
        <f t="shared" si="5"/>
        <v>0.49436124419579158</v>
      </c>
      <c r="R42" s="15">
        <f t="shared" si="1"/>
        <v>1.6394506958828112</v>
      </c>
      <c r="S42" s="15"/>
    </row>
    <row r="43" spans="1:19" x14ac:dyDescent="0.3">
      <c r="A43">
        <v>1988</v>
      </c>
      <c r="B43" s="15">
        <v>4.4832460000000003</v>
      </c>
      <c r="C43" s="15">
        <v>6.0273120000000002</v>
      </c>
      <c r="D43" s="15">
        <v>2.4168090000000002</v>
      </c>
      <c r="E43" s="18"/>
      <c r="F43">
        <v>0.53786230000000002</v>
      </c>
      <c r="G43">
        <v>3071243.3</v>
      </c>
      <c r="H43">
        <v>933561.63</v>
      </c>
      <c r="I43">
        <v>2137681.5</v>
      </c>
      <c r="J43">
        <f t="shared" si="0"/>
        <v>0.69603131083753611</v>
      </c>
      <c r="K43" s="8"/>
      <c r="L43" s="16">
        <f t="shared" si="2"/>
        <v>4.0311464357899167E-2</v>
      </c>
      <c r="M43" s="16">
        <f t="shared" si="2"/>
        <v>4.8164981358859348E-2</v>
      </c>
      <c r="N43" s="16">
        <f t="shared" si="3"/>
        <v>5.8260117627816589E-3</v>
      </c>
      <c r="O43" s="16">
        <f t="shared" si="4"/>
        <v>1.4919018565616237E-2</v>
      </c>
      <c r="Q43" s="4">
        <f t="shared" si="5"/>
        <v>0.50928026276140781</v>
      </c>
      <c r="R43" s="15">
        <f t="shared" si="1"/>
        <v>1.6640930540848033</v>
      </c>
      <c r="S43" s="15"/>
    </row>
    <row r="44" spans="1:19" x14ac:dyDescent="0.3">
      <c r="A44">
        <v>1989</v>
      </c>
      <c r="B44" s="15">
        <v>4.6776980000000004</v>
      </c>
      <c r="C44" s="15">
        <v>6.2785520000000004</v>
      </c>
      <c r="D44" s="15">
        <v>2.5043679999999999</v>
      </c>
      <c r="E44" s="18"/>
      <c r="F44">
        <v>0.53786230000000002</v>
      </c>
      <c r="G44">
        <v>3220815.3</v>
      </c>
      <c r="H44">
        <v>975114.63</v>
      </c>
      <c r="I44">
        <v>2245700.5</v>
      </c>
      <c r="J44">
        <f t="shared" si="0"/>
        <v>0.69724597371355013</v>
      </c>
      <c r="K44" s="8"/>
      <c r="L44" s="16">
        <f t="shared" si="2"/>
        <v>4.24587709387493E-2</v>
      </c>
      <c r="M44" s="16">
        <f t="shared" si="2"/>
        <v>4.083824043627915E-2</v>
      </c>
      <c r="N44" s="16">
        <f t="shared" si="3"/>
        <v>1.7436058094297793E-3</v>
      </c>
      <c r="O44" s="16">
        <f t="shared" si="4"/>
        <v>2.2648060600526994E-2</v>
      </c>
      <c r="Q44" s="4">
        <f t="shared" si="5"/>
        <v>0.53192832336193485</v>
      </c>
      <c r="R44" s="15">
        <f t="shared" si="1"/>
        <v>1.7022115601921761</v>
      </c>
      <c r="S44" s="15"/>
    </row>
    <row r="45" spans="1:19" x14ac:dyDescent="0.3">
      <c r="A45">
        <v>1990</v>
      </c>
      <c r="B45" s="15">
        <v>4.7953580000000002</v>
      </c>
      <c r="C45" s="15">
        <v>6.5381330000000002</v>
      </c>
      <c r="D45" s="15">
        <v>2.5562290000000001</v>
      </c>
      <c r="E45" s="18"/>
      <c r="F45">
        <v>0.53786230000000002</v>
      </c>
      <c r="G45">
        <v>3418432.3</v>
      </c>
      <c r="H45">
        <v>990332.88</v>
      </c>
      <c r="I45">
        <v>2428099.5</v>
      </c>
      <c r="J45">
        <f t="shared" si="0"/>
        <v>0.71029620800154503</v>
      </c>
      <c r="K45" s="8"/>
      <c r="L45" s="16">
        <f t="shared" si="2"/>
        <v>2.4842258078862488E-2</v>
      </c>
      <c r="M45" s="16">
        <f t="shared" si="2"/>
        <v>4.0512270061929062E-2</v>
      </c>
      <c r="N45" s="16">
        <f t="shared" si="3"/>
        <v>1.8543825434848182E-2</v>
      </c>
      <c r="O45" s="16">
        <f t="shared" si="4"/>
        <v>-3.8540138285222073E-3</v>
      </c>
      <c r="Q45" s="4">
        <f t="shared" si="5"/>
        <v>0.52807430953341261</v>
      </c>
      <c r="R45" s="15">
        <f t="shared" si="1"/>
        <v>1.6956638389089811</v>
      </c>
      <c r="S45" s="15"/>
    </row>
    <row r="46" spans="1:19" x14ac:dyDescent="0.3">
      <c r="A46">
        <v>1991</v>
      </c>
      <c r="B46" s="15">
        <v>4.8310389999999996</v>
      </c>
      <c r="C46" s="15">
        <v>6.7529599999999999</v>
      </c>
      <c r="D46" s="15">
        <v>2.5460569999999998</v>
      </c>
      <c r="E46" s="18"/>
      <c r="F46">
        <v>0.53786230000000002</v>
      </c>
      <c r="G46">
        <v>3577624.5</v>
      </c>
      <c r="H46">
        <v>998328.81</v>
      </c>
      <c r="I46">
        <v>2579295.7999999998</v>
      </c>
      <c r="J46">
        <f t="shared" si="0"/>
        <v>0.72095207308648512</v>
      </c>
      <c r="K46" s="8"/>
      <c r="L46" s="16">
        <f t="shared" si="2"/>
        <v>7.4131917487274936E-3</v>
      </c>
      <c r="M46" s="16">
        <f t="shared" si="2"/>
        <v>3.2329276574280592E-2</v>
      </c>
      <c r="N46" s="16">
        <f t="shared" si="3"/>
        <v>1.4890584838893108E-2</v>
      </c>
      <c r="O46" s="16">
        <f t="shared" si="4"/>
        <v>-1.5536469979766595E-2</v>
      </c>
      <c r="Q46" s="4">
        <f t="shared" si="5"/>
        <v>0.51253783955364607</v>
      </c>
      <c r="R46" s="15">
        <f t="shared" si="1"/>
        <v>1.6695228041101295</v>
      </c>
      <c r="S46" s="15"/>
    </row>
    <row r="47" spans="1:19" x14ac:dyDescent="0.3">
      <c r="A47">
        <v>1992</v>
      </c>
      <c r="B47" s="15">
        <v>4.9996460000000003</v>
      </c>
      <c r="C47" s="15">
        <v>6.9660830000000002</v>
      </c>
      <c r="D47" s="15">
        <v>2.558233</v>
      </c>
      <c r="E47" s="18"/>
      <c r="F47">
        <v>0.53786230000000002</v>
      </c>
      <c r="G47">
        <v>3740753.8</v>
      </c>
      <c r="H47">
        <v>1033005.1</v>
      </c>
      <c r="I47">
        <v>2707748.8</v>
      </c>
      <c r="J47">
        <f t="shared" si="0"/>
        <v>0.72385111257522483</v>
      </c>
      <c r="K47" s="8"/>
      <c r="L47" s="16">
        <f t="shared" si="2"/>
        <v>3.4305551525216575E-2</v>
      </c>
      <c r="M47" s="16">
        <f t="shared" si="2"/>
        <v>3.1072159606806281E-2</v>
      </c>
      <c r="N47" s="16">
        <f t="shared" si="3"/>
        <v>4.013063382173508E-3</v>
      </c>
      <c r="O47" s="16">
        <f t="shared" si="4"/>
        <v>1.7787459649712598E-2</v>
      </c>
      <c r="Q47" s="4">
        <f t="shared" si="5"/>
        <v>0.53032529920335869</v>
      </c>
      <c r="R47" s="15">
        <f t="shared" si="1"/>
        <v>1.6994850598449971</v>
      </c>
      <c r="S47" s="15"/>
    </row>
    <row r="48" spans="1:19" x14ac:dyDescent="0.3">
      <c r="A48">
        <v>1993</v>
      </c>
      <c r="B48" s="15">
        <v>5.1351699999999996</v>
      </c>
      <c r="C48" s="15">
        <v>7.230785</v>
      </c>
      <c r="D48" s="15">
        <v>2.6217630000000001</v>
      </c>
      <c r="E48" s="18"/>
      <c r="F48">
        <v>0.53786230000000002</v>
      </c>
      <c r="G48">
        <v>3962040.5</v>
      </c>
      <c r="H48">
        <v>1065297.3999999999</v>
      </c>
      <c r="I48">
        <v>2896743</v>
      </c>
      <c r="J48">
        <f t="shared" si="0"/>
        <v>0.73112402561255996</v>
      </c>
      <c r="K48" s="8"/>
      <c r="L48" s="16">
        <f t="shared" si="2"/>
        <v>2.6745839039235407E-2</v>
      </c>
      <c r="M48" s="16">
        <f t="shared" si="2"/>
        <v>3.7294518768535768E-2</v>
      </c>
      <c r="N48" s="16">
        <f t="shared" si="3"/>
        <v>9.9973854154139646E-3</v>
      </c>
      <c r="O48" s="16">
        <f t="shared" si="4"/>
        <v>4.1334191994164445E-3</v>
      </c>
      <c r="Q48" s="4">
        <f t="shared" si="5"/>
        <v>0.53445871840277515</v>
      </c>
      <c r="R48" s="15">
        <f t="shared" si="1"/>
        <v>1.7065242820263582</v>
      </c>
      <c r="S48" s="15"/>
    </row>
    <row r="49" spans="1:19" x14ac:dyDescent="0.3">
      <c r="A49">
        <v>1994</v>
      </c>
      <c r="B49" s="15">
        <v>5.2988419999999996</v>
      </c>
      <c r="C49" s="15">
        <v>7.5210249999999998</v>
      </c>
      <c r="D49" s="15">
        <v>2.6848329999999998</v>
      </c>
      <c r="E49" s="18"/>
      <c r="F49">
        <v>0.53786230000000002</v>
      </c>
      <c r="G49">
        <v>4108492.7999999998</v>
      </c>
      <c r="H49">
        <v>1109825.1000000001</v>
      </c>
      <c r="I49">
        <v>2998667.5</v>
      </c>
      <c r="J49">
        <f t="shared" si="0"/>
        <v>0.72987045273634166</v>
      </c>
      <c r="K49" s="8"/>
      <c r="L49" s="16">
        <f t="shared" si="2"/>
        <v>3.1375357152599856E-2</v>
      </c>
      <c r="M49" s="16">
        <f t="shared" si="2"/>
        <v>3.9354826207648928E-2</v>
      </c>
      <c r="N49" s="16">
        <f t="shared" si="3"/>
        <v>-1.7160546496606799E-3</v>
      </c>
      <c r="O49" s="16">
        <f t="shared" si="4"/>
        <v>1.4111009385889446E-2</v>
      </c>
      <c r="Q49" s="4">
        <f t="shared" si="5"/>
        <v>0.54856972778866464</v>
      </c>
      <c r="R49" s="15">
        <f t="shared" si="1"/>
        <v>1.7307757662351164</v>
      </c>
      <c r="S49" s="15"/>
    </row>
    <row r="50" spans="1:19" x14ac:dyDescent="0.3">
      <c r="A50">
        <v>1995</v>
      </c>
      <c r="B50" s="15">
        <v>5.4227169999999996</v>
      </c>
      <c r="C50" s="15">
        <v>7.8340290000000001</v>
      </c>
      <c r="D50" s="15">
        <v>2.7652109999999999</v>
      </c>
      <c r="E50" s="18"/>
      <c r="F50">
        <v>0.53786230000000002</v>
      </c>
      <c r="G50">
        <v>4331886.5</v>
      </c>
      <c r="H50">
        <v>1137367.5</v>
      </c>
      <c r="I50">
        <v>3194519</v>
      </c>
      <c r="J50">
        <f t="shared" si="0"/>
        <v>0.73744291315111787</v>
      </c>
      <c r="K50" s="8"/>
      <c r="L50" s="16">
        <f t="shared" si="2"/>
        <v>2.3108675240356855E-2</v>
      </c>
      <c r="M50" s="16">
        <f t="shared" si="2"/>
        <v>4.0774505184597673E-2</v>
      </c>
      <c r="N50" s="16">
        <f t="shared" si="3"/>
        <v>1.0321622932014031E-2</v>
      </c>
      <c r="O50" s="16">
        <f t="shared" si="4"/>
        <v>-1.2863726542369997E-3</v>
      </c>
      <c r="Q50" s="4">
        <f t="shared" si="5"/>
        <v>0.54728335513442761</v>
      </c>
      <c r="R50" s="15">
        <f t="shared" si="1"/>
        <v>1.7285507750095674</v>
      </c>
      <c r="S50" s="15"/>
    </row>
    <row r="51" spans="1:19" x14ac:dyDescent="0.3">
      <c r="A51">
        <v>1996</v>
      </c>
      <c r="B51" s="15">
        <v>5.6475609999999996</v>
      </c>
      <c r="C51" s="15">
        <v>8.1678259999999998</v>
      </c>
      <c r="D51" s="15">
        <v>2.8087339999999998</v>
      </c>
      <c r="E51" s="18"/>
      <c r="F51">
        <v>0.53786230000000002</v>
      </c>
      <c r="G51">
        <v>4551839.5</v>
      </c>
      <c r="H51">
        <v>1193016.5</v>
      </c>
      <c r="I51">
        <v>3358822.8</v>
      </c>
      <c r="J51">
        <f t="shared" si="0"/>
        <v>0.73790448894342597</v>
      </c>
      <c r="K51" s="8"/>
      <c r="L51" s="16">
        <f t="shared" si="2"/>
        <v>4.0626789181320712E-2</v>
      </c>
      <c r="M51" s="16">
        <f t="shared" si="2"/>
        <v>4.1725840941594074E-2</v>
      </c>
      <c r="N51" s="16">
        <f t="shared" si="3"/>
        <v>6.2571812810008364E-4</v>
      </c>
      <c r="O51" s="16">
        <f t="shared" si="4"/>
        <v>2.1007154826474989E-2</v>
      </c>
      <c r="Q51" s="4">
        <f t="shared" si="5"/>
        <v>0.56829050996090258</v>
      </c>
      <c r="R51" s="15">
        <f t="shared" si="1"/>
        <v>1.7652467988042591</v>
      </c>
      <c r="S51" s="15"/>
    </row>
    <row r="52" spans="1:19" x14ac:dyDescent="0.3">
      <c r="A52">
        <v>1997</v>
      </c>
      <c r="B52" s="15">
        <v>5.9142809999999999</v>
      </c>
      <c r="C52" s="15">
        <v>8.5780399999999997</v>
      </c>
      <c r="D52" s="15">
        <v>2.8978820000000001</v>
      </c>
      <c r="E52" s="18"/>
      <c r="F52">
        <v>0.53786230000000002</v>
      </c>
      <c r="G52">
        <v>4892870.5</v>
      </c>
      <c r="H52">
        <v>1244620.3999999999</v>
      </c>
      <c r="I52">
        <v>3648250.3</v>
      </c>
      <c r="J52">
        <f t="shared" si="0"/>
        <v>0.74562576303623807</v>
      </c>
      <c r="K52" s="8"/>
      <c r="L52" s="16">
        <f t="shared" si="2"/>
        <v>4.6146164133013604E-2</v>
      </c>
      <c r="M52" s="16">
        <f t="shared" si="2"/>
        <v>4.900267118445252E-2</v>
      </c>
      <c r="N52" s="16">
        <f t="shared" si="3"/>
        <v>1.0409418753561755E-2</v>
      </c>
      <c r="O52" s="16">
        <f t="shared" si="4"/>
        <v>1.7901348465520581E-2</v>
      </c>
      <c r="Q52" s="4">
        <f t="shared" si="5"/>
        <v>0.58619185842642318</v>
      </c>
      <c r="R52" s="15">
        <f t="shared" si="1"/>
        <v>1.7971316361942851</v>
      </c>
      <c r="S52" s="15"/>
    </row>
    <row r="53" spans="1:19" x14ac:dyDescent="0.3">
      <c r="A53">
        <v>1998</v>
      </c>
      <c r="B53" s="15">
        <v>6.1789100000000001</v>
      </c>
      <c r="C53" s="15">
        <v>9.0732619999999997</v>
      </c>
      <c r="D53" s="15">
        <v>3.0030839999999999</v>
      </c>
      <c r="E53" s="18"/>
      <c r="F53">
        <v>0.53786230000000002</v>
      </c>
      <c r="G53">
        <v>5330721.5</v>
      </c>
      <c r="H53">
        <v>1311015.3999999999</v>
      </c>
      <c r="I53">
        <v>4019706</v>
      </c>
      <c r="J53">
        <f t="shared" si="0"/>
        <v>0.75406415435509055</v>
      </c>
      <c r="K53" s="8"/>
      <c r="L53" s="16">
        <f t="shared" si="2"/>
        <v>4.3771945834909488E-2</v>
      </c>
      <c r="M53" s="16">
        <f t="shared" si="2"/>
        <v>5.6126397482584703E-2</v>
      </c>
      <c r="N53" s="16">
        <f t="shared" si="3"/>
        <v>1.1253633537125451E-2</v>
      </c>
      <c r="O53" s="16">
        <f t="shared" si="4"/>
        <v>1.1780916375386575E-2</v>
      </c>
      <c r="Q53" s="4">
        <f t="shared" si="5"/>
        <v>0.59797277480180977</v>
      </c>
      <c r="R53" s="15">
        <f t="shared" si="1"/>
        <v>1.8184286968434586</v>
      </c>
      <c r="S53" s="15"/>
    </row>
    <row r="54" spans="1:19" x14ac:dyDescent="0.3">
      <c r="A54">
        <v>1999</v>
      </c>
      <c r="B54" s="15">
        <v>6.4527910000000004</v>
      </c>
      <c r="C54" s="15">
        <v>9.6734069999999992</v>
      </c>
      <c r="D54" s="15">
        <v>3.0707339999999999</v>
      </c>
      <c r="E54" s="18"/>
      <c r="F54">
        <v>0.53786230000000002</v>
      </c>
      <c r="G54">
        <v>5614821.5</v>
      </c>
      <c r="H54">
        <v>1375409.3</v>
      </c>
      <c r="I54">
        <v>4239412</v>
      </c>
      <c r="J54">
        <f t="shared" si="0"/>
        <v>0.75503949680323768</v>
      </c>
      <c r="K54" s="8"/>
      <c r="L54" s="16">
        <f t="shared" si="2"/>
        <v>4.3370869883528895E-2</v>
      </c>
      <c r="M54" s="16">
        <f t="shared" si="2"/>
        <v>6.4048727538533051E-2</v>
      </c>
      <c r="N54" s="16">
        <f t="shared" si="3"/>
        <v>1.292611787404224E-3</v>
      </c>
      <c r="O54" s="16">
        <f t="shared" si="4"/>
        <v>1.3076291101964224E-2</v>
      </c>
      <c r="Q54" s="4">
        <f t="shared" si="5"/>
        <v>0.61104906590377395</v>
      </c>
      <c r="R54" s="15">
        <f t="shared" si="1"/>
        <v>1.8423631456980831</v>
      </c>
      <c r="S54" s="15"/>
    </row>
    <row r="55" spans="1:19" x14ac:dyDescent="0.3">
      <c r="A55">
        <v>2000</v>
      </c>
      <c r="B55" s="15">
        <v>6.6897520000000004</v>
      </c>
      <c r="C55" s="15">
        <v>10.30064</v>
      </c>
      <c r="D55" s="15">
        <v>3.1465559999999999</v>
      </c>
      <c r="E55" s="18"/>
      <c r="F55">
        <v>0.53786230000000002</v>
      </c>
      <c r="G55">
        <v>6093353.5</v>
      </c>
      <c r="H55">
        <v>1480172.5</v>
      </c>
      <c r="I55">
        <v>4613181.5</v>
      </c>
      <c r="J55">
        <f t="shared" si="0"/>
        <v>0.75708417376408577</v>
      </c>
      <c r="K55" s="8"/>
      <c r="L55" s="16">
        <f t="shared" si="2"/>
        <v>3.6064052806280944E-2</v>
      </c>
      <c r="M55" s="16">
        <f t="shared" si="2"/>
        <v>6.282545503099965E-2</v>
      </c>
      <c r="N55" s="16">
        <f t="shared" si="3"/>
        <v>2.7043796044209545E-3</v>
      </c>
      <c r="O55" s="16">
        <f t="shared" si="4"/>
        <v>5.5754576826943939E-3</v>
      </c>
      <c r="Q55" s="4">
        <f t="shared" si="5"/>
        <v>0.61662452358646835</v>
      </c>
      <c r="R55" s="15">
        <f t="shared" si="1"/>
        <v>1.8526638523463546</v>
      </c>
      <c r="S55" s="15"/>
    </row>
    <row r="56" spans="1:19" x14ac:dyDescent="0.3">
      <c r="A56">
        <v>2001</v>
      </c>
      <c r="B56" s="15">
        <v>6.8407600000000004</v>
      </c>
      <c r="C56" s="15">
        <v>10.807650000000001</v>
      </c>
      <c r="D56" s="15">
        <v>3.1608350000000001</v>
      </c>
      <c r="E56" s="18"/>
      <c r="F56">
        <v>0.53786230000000002</v>
      </c>
      <c r="G56">
        <v>6282005.5</v>
      </c>
      <c r="H56">
        <v>1428762.5</v>
      </c>
      <c r="I56">
        <v>4853243</v>
      </c>
      <c r="J56">
        <f t="shared" si="0"/>
        <v>0.77256267922719901</v>
      </c>
      <c r="K56" s="8"/>
      <c r="L56" s="16">
        <f t="shared" si="2"/>
        <v>2.2322033374280188E-2</v>
      </c>
      <c r="M56" s="16">
        <f t="shared" si="2"/>
        <v>4.8048187486290653E-2</v>
      </c>
      <c r="N56" s="16">
        <f t="shared" si="3"/>
        <v>2.0238702506757748E-2</v>
      </c>
      <c r="O56" s="16">
        <f t="shared" si="4"/>
        <v>-1.0768480559103441E-2</v>
      </c>
      <c r="Q56" s="4">
        <f t="shared" si="5"/>
        <v>0.60585604302736495</v>
      </c>
      <c r="R56" s="15">
        <f t="shared" si="1"/>
        <v>1.8328205107416986</v>
      </c>
      <c r="S56" s="15"/>
    </row>
    <row r="57" spans="1:19" x14ac:dyDescent="0.3">
      <c r="A57">
        <v>2002</v>
      </c>
      <c r="B57" s="15">
        <v>7.0051449999999997</v>
      </c>
      <c r="C57" s="15">
        <v>11.15659</v>
      </c>
      <c r="D57" s="15">
        <v>3.1783039999999998</v>
      </c>
      <c r="E57" s="18"/>
      <c r="F57">
        <v>0.53786230000000002</v>
      </c>
      <c r="G57">
        <v>6338332</v>
      </c>
      <c r="H57">
        <v>1394944.1</v>
      </c>
      <c r="I57">
        <v>4943388</v>
      </c>
      <c r="J57">
        <f t="shared" si="0"/>
        <v>0.77991938573113562</v>
      </c>
      <c r="K57" s="8"/>
      <c r="L57" s="16">
        <f t="shared" si="2"/>
        <v>2.3746042501907483E-2</v>
      </c>
      <c r="M57" s="16">
        <f t="shared" si="2"/>
        <v>3.1776137992144654E-2</v>
      </c>
      <c r="N57" s="16">
        <f t="shared" si="3"/>
        <v>9.4774190771761569E-3</v>
      </c>
      <c r="O57" s="16">
        <f t="shared" si="4"/>
        <v>3.9635447524212905E-3</v>
      </c>
      <c r="Q57" s="4">
        <f t="shared" si="5"/>
        <v>0.60981958777978629</v>
      </c>
      <c r="R57" s="15">
        <f t="shared" si="1"/>
        <v>1.8400993924167355</v>
      </c>
      <c r="S57" s="15"/>
    </row>
    <row r="58" spans="1:19" x14ac:dyDescent="0.3">
      <c r="A58">
        <v>2003</v>
      </c>
      <c r="B58" s="15">
        <v>7.1905169999999998</v>
      </c>
      <c r="C58" s="15">
        <v>11.53589</v>
      </c>
      <c r="D58" s="15">
        <v>3.201327</v>
      </c>
      <c r="E58" s="18"/>
      <c r="F58">
        <v>0.53786230000000002</v>
      </c>
      <c r="G58">
        <v>6580236.5</v>
      </c>
      <c r="H58">
        <v>1440760.3</v>
      </c>
      <c r="I58">
        <v>5139476</v>
      </c>
      <c r="J58">
        <f t="shared" si="0"/>
        <v>0.78104730734222094</v>
      </c>
      <c r="K58" s="8"/>
      <c r="L58" s="16">
        <f t="shared" si="2"/>
        <v>2.6118195496988936E-2</v>
      </c>
      <c r="M58" s="16">
        <f t="shared" si="2"/>
        <v>3.3432690423587236E-2</v>
      </c>
      <c r="N58" s="16">
        <f t="shared" si="3"/>
        <v>1.4451580708211968E-3</v>
      </c>
      <c r="O58" s="16">
        <f t="shared" si="4"/>
        <v>9.8903927959848557E-3</v>
      </c>
      <c r="Q58" s="4">
        <f t="shared" si="5"/>
        <v>0.61970998057577109</v>
      </c>
      <c r="R58" s="15">
        <f t="shared" si="1"/>
        <v>1.8583889947768015</v>
      </c>
      <c r="S58" s="15"/>
    </row>
    <row r="59" spans="1:19" x14ac:dyDescent="0.3">
      <c r="A59">
        <v>2004</v>
      </c>
      <c r="B59" s="15">
        <v>7.4134719999999996</v>
      </c>
      <c r="C59" s="15">
        <v>11.96001</v>
      </c>
      <c r="D59" s="15">
        <v>3.240307</v>
      </c>
      <c r="E59" s="18"/>
      <c r="F59">
        <v>0.53786230000000002</v>
      </c>
      <c r="G59">
        <v>6947251</v>
      </c>
      <c r="H59">
        <v>1512635.5</v>
      </c>
      <c r="I59">
        <v>5434615</v>
      </c>
      <c r="J59">
        <f t="shared" si="0"/>
        <v>0.78226841091533905</v>
      </c>
      <c r="K59" s="8"/>
      <c r="L59" s="16">
        <f t="shared" si="2"/>
        <v>3.0535811003221593E-2</v>
      </c>
      <c r="M59" s="16">
        <f t="shared" si="2"/>
        <v>3.6105539512951208E-2</v>
      </c>
      <c r="N59" s="16">
        <f t="shared" si="3"/>
        <v>1.5621973312172461E-3</v>
      </c>
      <c r="O59" s="16">
        <f t="shared" si="4"/>
        <v>1.3009832965824834E-2</v>
      </c>
      <c r="Q59" s="4">
        <f t="shared" si="5"/>
        <v>0.6327198135415959</v>
      </c>
      <c r="R59" s="15">
        <f t="shared" si="1"/>
        <v>1.8827242809488798</v>
      </c>
      <c r="S59" s="15"/>
    </row>
    <row r="60" spans="1:19" x14ac:dyDescent="0.3">
      <c r="A60">
        <v>2005</v>
      </c>
      <c r="B60" s="15">
        <v>7.7011830000000003</v>
      </c>
      <c r="C60" s="15">
        <v>12.41126</v>
      </c>
      <c r="D60" s="15">
        <v>3.2888139999999999</v>
      </c>
      <c r="E60" s="18"/>
      <c r="F60">
        <v>0.53786230000000002</v>
      </c>
      <c r="G60">
        <v>7261420</v>
      </c>
      <c r="H60">
        <v>1548997.4</v>
      </c>
      <c r="I60">
        <v>5712423</v>
      </c>
      <c r="J60">
        <f t="shared" si="0"/>
        <v>0.78668125518149346</v>
      </c>
      <c r="K60" s="8"/>
      <c r="L60" s="16">
        <f t="shared" si="2"/>
        <v>3.8075067847110948E-2</v>
      </c>
      <c r="M60" s="16">
        <f t="shared" si="2"/>
        <v>3.7035540443421104E-2</v>
      </c>
      <c r="N60" s="16">
        <f t="shared" si="3"/>
        <v>5.6252357840530049E-3</v>
      </c>
      <c r="O60" s="16">
        <f t="shared" si="4"/>
        <v>1.7933946111478288E-2</v>
      </c>
      <c r="Q60" s="4">
        <f t="shared" si="5"/>
        <v>0.65065375965307415</v>
      </c>
      <c r="R60" s="15">
        <f t="shared" si="1"/>
        <v>1.9167935417636304</v>
      </c>
      <c r="S60" s="15"/>
    </row>
    <row r="61" spans="1:19" x14ac:dyDescent="0.3">
      <c r="A61">
        <v>2006</v>
      </c>
      <c r="B61" s="15">
        <v>7.8938610000000002</v>
      </c>
      <c r="C61" s="15">
        <v>12.85934</v>
      </c>
      <c r="D61" s="15">
        <v>3.3863639999999999</v>
      </c>
      <c r="E61" s="18"/>
      <c r="F61">
        <v>0.53786230000000002</v>
      </c>
      <c r="G61">
        <v>7746959.5</v>
      </c>
      <c r="H61">
        <v>1637687.8</v>
      </c>
      <c r="I61">
        <v>6109271.5</v>
      </c>
      <c r="J61">
        <f t="shared" si="0"/>
        <v>0.78860248333555893</v>
      </c>
      <c r="K61" s="8"/>
      <c r="L61" s="16">
        <f t="shared" si="2"/>
        <v>2.4711415353101219E-2</v>
      </c>
      <c r="M61" s="16">
        <f t="shared" si="2"/>
        <v>3.5466270478039047E-2</v>
      </c>
      <c r="N61" s="16">
        <f t="shared" si="3"/>
        <v>2.4392165800522603E-3</v>
      </c>
      <c r="O61" s="16">
        <f t="shared" si="4"/>
        <v>7.0091520468573091E-3</v>
      </c>
      <c r="Q61" s="4">
        <f t="shared" si="5"/>
        <v>0.65766291169993141</v>
      </c>
      <c r="R61" s="15">
        <f t="shared" si="1"/>
        <v>1.9302758336605117</v>
      </c>
      <c r="S61" s="15"/>
    </row>
    <row r="62" spans="1:19" x14ac:dyDescent="0.3">
      <c r="A62">
        <v>2007</v>
      </c>
      <c r="B62" s="15">
        <v>8.0252929999999996</v>
      </c>
      <c r="C62" s="15">
        <v>13.150359999999999</v>
      </c>
      <c r="D62" s="15">
        <v>3.473309</v>
      </c>
      <c r="E62" s="18"/>
      <c r="F62">
        <v>0.53786230000000002</v>
      </c>
      <c r="G62">
        <v>8060485.5</v>
      </c>
      <c r="H62">
        <v>1713762.1</v>
      </c>
      <c r="I62">
        <v>6346723.5</v>
      </c>
      <c r="J62">
        <f t="shared" si="0"/>
        <v>0.78738724857206177</v>
      </c>
      <c r="K62" s="8"/>
      <c r="L62" s="16">
        <f t="shared" si="2"/>
        <v>1.6512810477481234E-2</v>
      </c>
      <c r="M62" s="16">
        <f t="shared" si="2"/>
        <v>2.2378739110903875E-2</v>
      </c>
      <c r="N62" s="16">
        <f t="shared" si="3"/>
        <v>-1.5421864492474531E-3</v>
      </c>
      <c r="O62" s="16">
        <f t="shared" si="4"/>
        <v>7.0002354064891414E-3</v>
      </c>
      <c r="Q62" s="4">
        <f t="shared" si="5"/>
        <v>0.6646631471064206</v>
      </c>
      <c r="R62" s="15">
        <f t="shared" si="1"/>
        <v>1.9438356243863399</v>
      </c>
      <c r="S62" s="15"/>
    </row>
    <row r="63" spans="1:19" x14ac:dyDescent="0.3">
      <c r="A63">
        <v>2008</v>
      </c>
      <c r="B63" s="15">
        <v>8.0460370000000001</v>
      </c>
      <c r="C63" s="15">
        <v>13.501519999999999</v>
      </c>
      <c r="D63" s="15">
        <v>3.477122</v>
      </c>
      <c r="E63" s="18"/>
      <c r="F63">
        <v>0.53786230000000002</v>
      </c>
      <c r="G63">
        <v>8103027</v>
      </c>
      <c r="H63">
        <v>1707546.4</v>
      </c>
      <c r="I63">
        <v>6395480.5</v>
      </c>
      <c r="J63">
        <f t="shared" si="0"/>
        <v>0.78927054050295031</v>
      </c>
      <c r="K63" s="8"/>
      <c r="L63" s="16">
        <f t="shared" si="2"/>
        <v>2.5814928223134425E-3</v>
      </c>
      <c r="M63" s="16">
        <f t="shared" si="2"/>
        <v>2.6353137024004616E-2</v>
      </c>
      <c r="N63" s="16">
        <f t="shared" si="3"/>
        <v>2.3889684110619228E-3</v>
      </c>
      <c r="O63" s="16">
        <f t="shared" si="4"/>
        <v>-1.0882221353946007E-2</v>
      </c>
      <c r="Q63" s="4">
        <f t="shared" si="5"/>
        <v>0.6537809257524746</v>
      </c>
      <c r="R63" s="15">
        <f t="shared" si="1"/>
        <v>1.9227970556470833</v>
      </c>
      <c r="S63" s="15"/>
    </row>
    <row r="64" spans="1:19" x14ac:dyDescent="0.3">
      <c r="A64">
        <v>2009</v>
      </c>
      <c r="B64" s="15">
        <v>7.901033</v>
      </c>
      <c r="C64" s="15">
        <v>13.637879999999999</v>
      </c>
      <c r="D64" s="15">
        <v>3.3886980000000002</v>
      </c>
      <c r="E64" s="18"/>
      <c r="F64">
        <v>0.53786230000000002</v>
      </c>
      <c r="G64">
        <v>7824084.5</v>
      </c>
      <c r="H64">
        <v>1506983.4</v>
      </c>
      <c r="I64">
        <v>6317101.5</v>
      </c>
      <c r="J64">
        <f t="shared" si="0"/>
        <v>0.80739177855249389</v>
      </c>
      <c r="K64" s="8"/>
      <c r="L64" s="16">
        <f t="shared" si="2"/>
        <v>-1.8186161656943735E-2</v>
      </c>
      <c r="M64" s="16">
        <f t="shared" si="2"/>
        <v>1.0048943416717375E-2</v>
      </c>
      <c r="N64" s="16">
        <f t="shared" si="3"/>
        <v>2.2699873303151992E-2</v>
      </c>
      <c r="O64" s="16">
        <f t="shared" si="4"/>
        <v>-3.5039563319517575E-2</v>
      </c>
      <c r="Q64" s="4">
        <f t="shared" si="5"/>
        <v>0.61874136243295697</v>
      </c>
      <c r="R64" s="15">
        <f t="shared" si="1"/>
        <v>1.8565897969885352</v>
      </c>
      <c r="S64" s="15"/>
    </row>
    <row r="65" spans="1:19" x14ac:dyDescent="0.3">
      <c r="A65">
        <v>2010</v>
      </c>
      <c r="B65" s="15">
        <v>8.0758530000000004</v>
      </c>
      <c r="C65" s="15">
        <v>13.696770000000001</v>
      </c>
      <c r="D65" s="15">
        <v>3.3982329999999998</v>
      </c>
      <c r="E65" s="18"/>
      <c r="F65">
        <v>0.53786230000000002</v>
      </c>
      <c r="G65">
        <v>7872716</v>
      </c>
      <c r="H65">
        <v>1529352.5</v>
      </c>
      <c r="I65">
        <v>6343363.5</v>
      </c>
      <c r="J65">
        <f t="shared" si="0"/>
        <v>0.80574016641779023</v>
      </c>
      <c r="K65" s="8"/>
      <c r="L65" s="16">
        <f t="shared" si="2"/>
        <v>2.1884987786324153E-2</v>
      </c>
      <c r="M65" s="16">
        <f t="shared" si="2"/>
        <v>4.3088234978258984E-3</v>
      </c>
      <c r="N65" s="16">
        <f t="shared" si="3"/>
        <v>-2.0477093854223173E-3</v>
      </c>
      <c r="O65" s="16">
        <f t="shared" si="4"/>
        <v>2.099510368510777E-2</v>
      </c>
      <c r="Q65" s="4">
        <f t="shared" si="5"/>
        <v>0.63973646611806478</v>
      </c>
      <c r="R65" s="15">
        <f t="shared" si="1"/>
        <v>1.8959811581864274</v>
      </c>
      <c r="S65" s="15"/>
    </row>
    <row r="66" spans="1:19" x14ac:dyDescent="0.3">
      <c r="A66">
        <v>2011</v>
      </c>
      <c r="B66" s="15">
        <v>8.2237829999999992</v>
      </c>
      <c r="C66" s="15">
        <v>13.825939999999999</v>
      </c>
      <c r="D66" s="15">
        <v>3.4754659999999999</v>
      </c>
      <c r="E66" s="18"/>
      <c r="F66">
        <v>0.53786230000000002</v>
      </c>
      <c r="G66">
        <v>8269258</v>
      </c>
      <c r="H66">
        <v>1583466.9</v>
      </c>
      <c r="I66">
        <v>6685791</v>
      </c>
      <c r="J66">
        <f t="shared" si="0"/>
        <v>0.8085115980176214</v>
      </c>
      <c r="K66" s="8"/>
      <c r="L66" s="16">
        <f t="shared" si="2"/>
        <v>1.8151823973223628E-2</v>
      </c>
      <c r="M66" s="16">
        <f t="shared" si="2"/>
        <v>9.3864992502727465E-3</v>
      </c>
      <c r="N66" s="16">
        <f t="shared" si="3"/>
        <v>3.433707658126066E-3</v>
      </c>
      <c r="O66" s="16">
        <f t="shared" si="4"/>
        <v>1.1967106900123557E-2</v>
      </c>
      <c r="Q66" s="4">
        <f t="shared" si="5"/>
        <v>0.65170357301818838</v>
      </c>
      <c r="R66" s="15">
        <f t="shared" si="1"/>
        <v>1.9188068738685053</v>
      </c>
      <c r="S66" s="15"/>
    </row>
    <row r="67" spans="1:19" x14ac:dyDescent="0.3">
      <c r="A67">
        <v>2012</v>
      </c>
      <c r="B67" s="15">
        <v>8.4050890000000003</v>
      </c>
      <c r="C67" s="15">
        <v>13.971439999999999</v>
      </c>
      <c r="D67" s="15">
        <v>3.5433129999999999</v>
      </c>
      <c r="E67" s="18"/>
      <c r="F67">
        <v>0.53786230000000002</v>
      </c>
      <c r="G67">
        <v>8658893</v>
      </c>
      <c r="H67">
        <v>1640924.1</v>
      </c>
      <c r="I67">
        <v>7017969</v>
      </c>
      <c r="J67">
        <f t="shared" ref="J67:J72" si="6">I67/G67</f>
        <v>0.81049263456656639</v>
      </c>
      <c r="K67" s="8"/>
      <c r="L67" s="16">
        <f t="shared" si="2"/>
        <v>2.1807033561757023E-2</v>
      </c>
      <c r="M67" s="16">
        <f t="shared" si="2"/>
        <v>1.0468708117311718E-2</v>
      </c>
      <c r="N67" s="16">
        <f t="shared" si="3"/>
        <v>2.4472295967676583E-3</v>
      </c>
      <c r="O67" s="16">
        <f t="shared" si="4"/>
        <v>1.565277633090573E-2</v>
      </c>
      <c r="Q67" s="4">
        <f t="shared" si="5"/>
        <v>0.66735634934909416</v>
      </c>
      <c r="R67" s="15">
        <f t="shared" ref="R67:R71" si="7">EXP(Q67)</f>
        <v>1.9490778228310104</v>
      </c>
      <c r="S67" s="15"/>
    </row>
    <row r="68" spans="1:19" x14ac:dyDescent="0.3">
      <c r="A68">
        <v>2013</v>
      </c>
      <c r="B68" s="15">
        <v>8.5184160000000002</v>
      </c>
      <c r="C68" s="15">
        <v>14.16333</v>
      </c>
      <c r="D68" s="15">
        <v>3.6127400000000001</v>
      </c>
      <c r="E68" s="18"/>
      <c r="F68">
        <v>0.53786230000000002</v>
      </c>
      <c r="G68">
        <v>8849509</v>
      </c>
      <c r="H68">
        <v>1676683.9</v>
      </c>
      <c r="I68">
        <v>7172825</v>
      </c>
      <c r="J68">
        <f t="shared" si="6"/>
        <v>0.81053366915610803</v>
      </c>
      <c r="K68" s="8"/>
      <c r="L68" s="16">
        <f t="shared" ref="L68:M72" si="8">LN(B68/B67)</f>
        <v>1.339305232416492E-2</v>
      </c>
      <c r="M68" s="16">
        <f t="shared" si="8"/>
        <v>1.3640984128055041E-2</v>
      </c>
      <c r="N68" s="16">
        <f t="shared" ref="N68:N72" si="9">LN(J68/J67)</f>
        <v>5.0627913262321061E-5</v>
      </c>
      <c r="O68" s="16">
        <f t="shared" ref="O68:O72" si="10">L68-(1-F68)*M68-F68*N68</f>
        <v>7.0618084476175855E-3</v>
      </c>
      <c r="Q68" s="4">
        <f t="shared" ref="Q68:Q71" si="11">Q67+O68</f>
        <v>0.67441815779671177</v>
      </c>
      <c r="R68" s="15">
        <f t="shared" si="7"/>
        <v>1.9628905510835144</v>
      </c>
      <c r="S68" s="15"/>
    </row>
    <row r="69" spans="1:19" x14ac:dyDescent="0.3">
      <c r="A69">
        <v>2014</v>
      </c>
      <c r="B69" s="15">
        <v>8.7123740000000005</v>
      </c>
      <c r="C69" s="15">
        <v>14.35984</v>
      </c>
      <c r="D69" s="15">
        <v>3.6696849999999999</v>
      </c>
      <c r="E69" s="18"/>
      <c r="F69">
        <v>0.53786230000000002</v>
      </c>
      <c r="G69">
        <v>9245439</v>
      </c>
      <c r="H69">
        <v>1778240.8</v>
      </c>
      <c r="I69">
        <v>7467198.5</v>
      </c>
      <c r="J69">
        <f t="shared" si="6"/>
        <v>0.80766294602127597</v>
      </c>
      <c r="K69" s="8"/>
      <c r="L69" s="16">
        <f t="shared" si="8"/>
        <v>2.2513905938313955E-2</v>
      </c>
      <c r="M69" s="16">
        <f t="shared" si="8"/>
        <v>1.3779191387634827E-2</v>
      </c>
      <c r="N69" s="16">
        <f t="shared" si="9"/>
        <v>-3.5480560513633476E-3</v>
      </c>
      <c r="O69" s="16">
        <f t="shared" si="10"/>
        <v>1.8054387710887795E-2</v>
      </c>
      <c r="Q69" s="4">
        <f t="shared" si="11"/>
        <v>0.69247254550759951</v>
      </c>
      <c r="R69" s="15">
        <f t="shared" si="7"/>
        <v>1.99865118492543</v>
      </c>
      <c r="S69" s="15"/>
    </row>
    <row r="70" spans="1:19" x14ac:dyDescent="0.3">
      <c r="A70">
        <v>2015</v>
      </c>
      <c r="B70" s="15">
        <v>8.9468779999999999</v>
      </c>
      <c r="C70" s="15">
        <v>14.97885</v>
      </c>
      <c r="D70" s="15">
        <v>3.7655940000000001</v>
      </c>
      <c r="E70" s="18"/>
      <c r="F70">
        <v>0.53786230000000002</v>
      </c>
      <c r="G70">
        <v>9481602</v>
      </c>
      <c r="H70">
        <v>1913431.6</v>
      </c>
      <c r="I70">
        <v>7568170.5</v>
      </c>
      <c r="J70">
        <f t="shared" si="6"/>
        <v>0.79819533661083852</v>
      </c>
      <c r="K70" s="8"/>
      <c r="L70" s="16">
        <f t="shared" si="8"/>
        <v>2.656033061474285E-2</v>
      </c>
      <c r="M70" s="16">
        <f t="shared" si="8"/>
        <v>4.2203784620090126E-2</v>
      </c>
      <c r="N70" s="16">
        <f t="shared" si="9"/>
        <v>-1.1791475262465561E-2</v>
      </c>
      <c r="O70" s="16">
        <f t="shared" si="10"/>
        <v>1.3398560664181856E-2</v>
      </c>
      <c r="Q70" s="4">
        <f t="shared" si="11"/>
        <v>0.70587110617178139</v>
      </c>
      <c r="R70" s="15">
        <f t="shared" si="7"/>
        <v>2.0256104383570421</v>
      </c>
      <c r="S70" s="15"/>
    </row>
    <row r="71" spans="1:19" x14ac:dyDescent="0.3">
      <c r="A71">
        <v>2016</v>
      </c>
      <c r="B71" s="15">
        <v>9.0952979999999997</v>
      </c>
      <c r="C71" s="15">
        <v>15.74295</v>
      </c>
      <c r="D71" s="15">
        <v>3.8501880000000002</v>
      </c>
      <c r="E71" s="18"/>
      <c r="F71">
        <v>0.53786230000000002</v>
      </c>
      <c r="G71">
        <v>9777438</v>
      </c>
      <c r="H71">
        <v>1943353.5</v>
      </c>
      <c r="I71">
        <v>7834084.5</v>
      </c>
      <c r="J71">
        <f t="shared" si="6"/>
        <v>0.8012410306258142</v>
      </c>
      <c r="K71" s="8"/>
      <c r="L71" s="16">
        <f t="shared" si="8"/>
        <v>1.6452932072055445E-2</v>
      </c>
      <c r="M71" s="16">
        <f t="shared" si="8"/>
        <v>4.9753439895897825E-2</v>
      </c>
      <c r="N71" s="16">
        <f t="shared" si="9"/>
        <v>3.8084637297151466E-3</v>
      </c>
      <c r="O71" s="16">
        <f t="shared" si="10"/>
        <v>-8.5884372696541818E-3</v>
      </c>
      <c r="Q71" s="4">
        <f t="shared" si="11"/>
        <v>0.6972826689021272</v>
      </c>
      <c r="R71" s="15">
        <f t="shared" si="7"/>
        <v>2.0082881025479904</v>
      </c>
      <c r="S71" s="15"/>
    </row>
    <row r="72" spans="1:19" x14ac:dyDescent="0.3">
      <c r="A72">
        <v>2017</v>
      </c>
      <c r="B72" s="15">
        <v>9.2801620000000007</v>
      </c>
      <c r="C72" s="15">
        <v>16.78096</v>
      </c>
      <c r="D72" s="15">
        <v>3.8878919999999999</v>
      </c>
      <c r="E72" s="18"/>
      <c r="F72">
        <v>0.53786230000000002</v>
      </c>
      <c r="G72">
        <v>10225408</v>
      </c>
      <c r="H72">
        <v>2023748.8</v>
      </c>
      <c r="I72">
        <v>8201659.5</v>
      </c>
      <c r="J72">
        <f t="shared" si="6"/>
        <v>0.80208628350086375</v>
      </c>
      <c r="K72" s="8"/>
      <c r="L72" s="16">
        <f t="shared" si="8"/>
        <v>2.0121426853339838E-2</v>
      </c>
      <c r="M72" s="16">
        <f t="shared" si="8"/>
        <v>6.385226435529863E-2</v>
      </c>
      <c r="N72" s="16">
        <f t="shared" si="9"/>
        <v>1.0543735466964496E-3</v>
      </c>
      <c r="O72" s="16">
        <f t="shared" si="10"/>
        <v>-9.9542195164951646E-3</v>
      </c>
      <c r="Q72" s="4">
        <f>Q71+O72</f>
        <v>0.68732844938563209</v>
      </c>
      <c r="R72" s="15">
        <f>EXP(Q72)</f>
        <v>1.9883963297097824</v>
      </c>
      <c r="S72" s="15"/>
    </row>
    <row r="74" spans="1:19" x14ac:dyDescent="0.3">
      <c r="B74" s="15">
        <f>LN(B72/B35)</f>
        <v>1.0011186195616952</v>
      </c>
      <c r="C74" s="15">
        <f>LN(C72/C35)</f>
        <v>1.3883344647631903</v>
      </c>
      <c r="D74" s="15">
        <f>LN(D72/D35)</f>
        <v>0.67654001062498204</v>
      </c>
      <c r="E74" s="18"/>
      <c r="K74" s="15"/>
      <c r="R74" s="15">
        <f>LN(R72/R35)</f>
        <v>0.23904029784499725</v>
      </c>
      <c r="S74" s="15"/>
    </row>
    <row r="75" spans="1:19" x14ac:dyDescent="0.3">
      <c r="B75" s="15">
        <f>B74/($A$72-$A$35)</f>
        <v>2.7057259988153927E-2</v>
      </c>
      <c r="C75" s="15">
        <f>C74/($A$72-$A$35)</f>
        <v>3.7522553101707844E-2</v>
      </c>
      <c r="D75" s="15">
        <f>D74/($A$72-$A$35)</f>
        <v>1.8284865152026542E-2</v>
      </c>
      <c r="E75" s="19"/>
      <c r="F75" s="4">
        <f>B75-(1-F72)*C75-F72*D75</f>
        <v>-1.1806602625604595E-4</v>
      </c>
      <c r="K75" s="4"/>
      <c r="R75" s="15">
        <f>R74/($A$72-$A$35)</f>
        <v>6.4605485904053314E-3</v>
      </c>
      <c r="S75" s="16"/>
    </row>
    <row r="76" spans="1:19" x14ac:dyDescent="0.3">
      <c r="F76" s="4">
        <f>F75/F72</f>
        <v>-2.1950976347672249E-4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042F-17A8-45D3-937E-7CEFB8572A44}">
  <dimension ref="A1:O76"/>
  <sheetViews>
    <sheetView topLeftCell="A50" workbookViewId="0">
      <selection activeCell="B71" sqref="B71"/>
    </sheetView>
  </sheetViews>
  <sheetFormatPr defaultColWidth="8.77734375" defaultRowHeight="14.4" x14ac:dyDescent="0.3"/>
  <cols>
    <col min="2" max="2" width="12.109375" bestFit="1" customWidth="1"/>
    <col min="3" max="4" width="12.109375" customWidth="1"/>
    <col min="5" max="6" width="13.33203125" bestFit="1" customWidth="1"/>
    <col min="7" max="7" width="13.33203125" customWidth="1"/>
    <col min="8" max="8" width="13.77734375" bestFit="1" customWidth="1"/>
    <col min="9" max="9" width="13.109375" customWidth="1"/>
    <col min="10" max="12" width="11.33203125" style="3" customWidth="1"/>
    <col min="14" max="14" width="12.44140625" bestFit="1" customWidth="1"/>
    <col min="15" max="15" width="10.44140625" bestFit="1" customWidth="1"/>
  </cols>
  <sheetData>
    <row r="1" spans="1:15" x14ac:dyDescent="0.3">
      <c r="A1" t="s">
        <v>0</v>
      </c>
      <c r="B1" t="s">
        <v>10</v>
      </c>
      <c r="C1" t="s">
        <v>46</v>
      </c>
      <c r="D1" t="s">
        <v>115</v>
      </c>
      <c r="E1" t="s">
        <v>27</v>
      </c>
      <c r="F1" t="s">
        <v>30</v>
      </c>
      <c r="G1" s="8"/>
      <c r="H1" t="s">
        <v>89</v>
      </c>
      <c r="I1" s="8"/>
      <c r="J1" s="3" t="s">
        <v>118</v>
      </c>
      <c r="K1" s="3" t="s">
        <v>119</v>
      </c>
      <c r="L1" s="3" t="s">
        <v>121</v>
      </c>
      <c r="N1" s="3" t="s">
        <v>125</v>
      </c>
      <c r="O1" s="3" t="s">
        <v>122</v>
      </c>
    </row>
    <row r="2" spans="1:15" x14ac:dyDescent="0.3">
      <c r="A2">
        <v>1947</v>
      </c>
      <c r="B2">
        <v>244136</v>
      </c>
      <c r="C2">
        <v>1</v>
      </c>
      <c r="D2">
        <f>B2/C2</f>
        <v>244136</v>
      </c>
      <c r="E2">
        <v>1</v>
      </c>
      <c r="F2">
        <v>1</v>
      </c>
      <c r="G2" s="8"/>
      <c r="H2">
        <v>0.56350199999999995</v>
      </c>
      <c r="I2" s="8"/>
      <c r="N2" s="4">
        <v>0</v>
      </c>
      <c r="O2" s="15">
        <f>EXP(N2)</f>
        <v>1</v>
      </c>
    </row>
    <row r="3" spans="1:15" x14ac:dyDescent="0.3">
      <c r="A3">
        <v>1948</v>
      </c>
      <c r="B3">
        <v>268064.5</v>
      </c>
      <c r="C3">
        <v>1.083299</v>
      </c>
      <c r="D3">
        <f t="shared" ref="D3:D66" si="0">B3/C3</f>
        <v>247451.99617095556</v>
      </c>
      <c r="E3">
        <v>1.0355639999999999</v>
      </c>
      <c r="F3">
        <v>1.0244249999999999</v>
      </c>
      <c r="G3" s="8"/>
      <c r="H3">
        <v>0.56350199999999995</v>
      </c>
      <c r="I3" s="8"/>
      <c r="J3" s="16">
        <f t="shared" ref="J3:J34" si="1">LN(D3/D2)</f>
        <v>1.3491161266751265E-2</v>
      </c>
      <c r="K3" s="16">
        <f t="shared" ref="K3:K34" si="2">LN(E3/E2)</f>
        <v>3.4946205834470327E-2</v>
      </c>
      <c r="L3" s="16">
        <f t="shared" ref="L3:L34" si="3">J3-(1-H3)*K3</f>
        <v>-1.7627876875833653E-3</v>
      </c>
      <c r="N3" s="4">
        <f>N2+L3</f>
        <v>-1.7627876875833653E-3</v>
      </c>
      <c r="O3" s="15">
        <f t="shared" ref="O3:O66" si="4">EXP(N3)</f>
        <v>0.99823876511008081</v>
      </c>
    </row>
    <row r="4" spans="1:15" x14ac:dyDescent="0.3">
      <c r="A4">
        <v>1949</v>
      </c>
      <c r="B4">
        <v>266020.90000000002</v>
      </c>
      <c r="C4">
        <v>1.0998349999999999</v>
      </c>
      <c r="D4">
        <f t="shared" si="0"/>
        <v>241873.46283760751</v>
      </c>
      <c r="E4">
        <v>1.061828</v>
      </c>
      <c r="F4">
        <v>0.98832830000000005</v>
      </c>
      <c r="G4" s="8"/>
      <c r="H4">
        <v>0.56350199999999995</v>
      </c>
      <c r="I4" s="8"/>
      <c r="J4" s="16">
        <f t="shared" si="1"/>
        <v>-2.280189976174379E-2</v>
      </c>
      <c r="K4" s="16">
        <f t="shared" si="2"/>
        <v>2.5045745299833198E-2</v>
      </c>
      <c r="L4" s="16">
        <f t="shared" si="3"/>
        <v>-3.3734317493630386E-2</v>
      </c>
      <c r="N4" s="4">
        <f t="shared" ref="N4:N67" si="5">N3+L4</f>
        <v>-3.5497105181213753E-2</v>
      </c>
      <c r="O4" s="15">
        <f t="shared" si="4"/>
        <v>0.96512552808946639</v>
      </c>
    </row>
    <row r="5" spans="1:15" x14ac:dyDescent="0.3">
      <c r="A5">
        <v>1950</v>
      </c>
      <c r="B5">
        <v>293337.2</v>
      </c>
      <c r="C5">
        <v>1.1174809999999999</v>
      </c>
      <c r="D5">
        <f t="shared" si="0"/>
        <v>262498.60176593607</v>
      </c>
      <c r="E5">
        <v>1.099542</v>
      </c>
      <c r="F5">
        <v>1.0290269999999999</v>
      </c>
      <c r="G5" s="8"/>
      <c r="H5">
        <v>0.56350199999999995</v>
      </c>
      <c r="I5" s="8"/>
      <c r="J5" s="16">
        <f t="shared" si="1"/>
        <v>8.1831046841036134E-2</v>
      </c>
      <c r="K5" s="16">
        <f t="shared" si="2"/>
        <v>3.4901778330251286E-2</v>
      </c>
      <c r="L5" s="16">
        <f t="shared" si="3"/>
        <v>6.6596490403438111E-2</v>
      </c>
      <c r="N5" s="4">
        <f t="shared" si="5"/>
        <v>3.1099385222224357E-2</v>
      </c>
      <c r="O5" s="15">
        <f t="shared" si="4"/>
        <v>1.0315880233969255</v>
      </c>
    </row>
    <row r="6" spans="1:15" x14ac:dyDescent="0.3">
      <c r="A6">
        <v>1951</v>
      </c>
      <c r="B6">
        <v>339441.1</v>
      </c>
      <c r="C6">
        <v>1.2193210000000001</v>
      </c>
      <c r="D6">
        <f t="shared" si="0"/>
        <v>278385.34725474258</v>
      </c>
      <c r="E6">
        <v>1.1515649999999999</v>
      </c>
      <c r="F6">
        <v>1.0993360000000001</v>
      </c>
      <c r="G6" s="8"/>
      <c r="H6">
        <v>0.56350199999999995</v>
      </c>
      <c r="I6" s="8"/>
      <c r="J6" s="16">
        <f t="shared" si="1"/>
        <v>5.8760539676343503E-2</v>
      </c>
      <c r="K6" s="16">
        <f t="shared" si="2"/>
        <v>4.6228157332072577E-2</v>
      </c>
      <c r="L6" s="16">
        <f t="shared" si="3"/>
        <v>3.8582041457208484E-2</v>
      </c>
      <c r="N6" s="4">
        <f t="shared" si="5"/>
        <v>6.9681426679432834E-2</v>
      </c>
      <c r="O6" s="15">
        <f t="shared" si="4"/>
        <v>1.0721665631796702</v>
      </c>
    </row>
    <row r="7" spans="1:15" x14ac:dyDescent="0.3">
      <c r="A7">
        <v>1952</v>
      </c>
      <c r="B7">
        <v>359559.4</v>
      </c>
      <c r="C7">
        <v>1.2476750000000001</v>
      </c>
      <c r="D7">
        <f t="shared" si="0"/>
        <v>288183.54138697981</v>
      </c>
      <c r="E7">
        <v>1.199478</v>
      </c>
      <c r="F7">
        <v>1.1223959999999999</v>
      </c>
      <c r="G7" s="8"/>
      <c r="H7">
        <v>0.56350199999999995</v>
      </c>
      <c r="I7" s="8"/>
      <c r="J7" s="16">
        <f t="shared" si="1"/>
        <v>3.4591278543471028E-2</v>
      </c>
      <c r="K7" s="16">
        <f t="shared" si="2"/>
        <v>4.0764575357380629E-2</v>
      </c>
      <c r="L7" s="16">
        <f t="shared" si="3"/>
        <v>1.6797622929125094E-2</v>
      </c>
      <c r="N7" s="4">
        <f>N6+L7</f>
        <v>8.6479049608557929E-2</v>
      </c>
      <c r="O7" s="15">
        <f t="shared" si="4"/>
        <v>1.0903285246691026</v>
      </c>
    </row>
    <row r="8" spans="1:15" x14ac:dyDescent="0.3">
      <c r="A8">
        <v>1953</v>
      </c>
      <c r="B8">
        <v>380859.3</v>
      </c>
      <c r="C8">
        <v>1.2500899999999999</v>
      </c>
      <c r="D8">
        <f t="shared" si="0"/>
        <v>304665.50408370601</v>
      </c>
      <c r="E8">
        <v>1.2526759999999999</v>
      </c>
      <c r="F8">
        <v>1.147548</v>
      </c>
      <c r="G8" s="8"/>
      <c r="H8">
        <v>0.56350199999999995</v>
      </c>
      <c r="I8" s="8"/>
      <c r="J8" s="16">
        <f t="shared" si="1"/>
        <v>5.5616893229596905E-2</v>
      </c>
      <c r="K8" s="16">
        <f t="shared" si="2"/>
        <v>4.3395600913085912E-2</v>
      </c>
      <c r="L8" s="16">
        <f t="shared" si="3"/>
        <v>3.6674800222236729E-2</v>
      </c>
      <c r="N8" s="4">
        <f t="shared" si="5"/>
        <v>0.12315384983079466</v>
      </c>
      <c r="O8" s="15">
        <f t="shared" si="4"/>
        <v>1.1310584207088741</v>
      </c>
    </row>
    <row r="9" spans="1:15" x14ac:dyDescent="0.3">
      <c r="A9">
        <v>1954</v>
      </c>
      <c r="B9">
        <v>382379.5</v>
      </c>
      <c r="C9">
        <v>1.254699</v>
      </c>
      <c r="D9">
        <f t="shared" si="0"/>
        <v>304757.95389970025</v>
      </c>
      <c r="E9">
        <v>1.3126990000000001</v>
      </c>
      <c r="F9">
        <v>1.1093040000000001</v>
      </c>
      <c r="G9" s="8"/>
      <c r="H9">
        <v>0.56350199999999995</v>
      </c>
      <c r="I9" s="8"/>
      <c r="J9" s="16">
        <f t="shared" si="1"/>
        <v>3.0340091275566722E-4</v>
      </c>
      <c r="K9" s="16">
        <f t="shared" si="2"/>
        <v>4.6803259971160763E-2</v>
      </c>
      <c r="L9" s="16">
        <f t="shared" si="3"/>
        <v>-2.0126128458136064E-2</v>
      </c>
      <c r="N9" s="4">
        <f t="shared" si="5"/>
        <v>0.1030277213726586</v>
      </c>
      <c r="O9" s="15">
        <f t="shared" si="4"/>
        <v>1.1085221384053747</v>
      </c>
    </row>
    <row r="10" spans="1:15" x14ac:dyDescent="0.3">
      <c r="A10">
        <v>1955</v>
      </c>
      <c r="B10">
        <v>416129</v>
      </c>
      <c r="C10">
        <v>1.276205</v>
      </c>
      <c r="D10">
        <f t="shared" si="0"/>
        <v>326067.52050023311</v>
      </c>
      <c r="E10">
        <v>1.368652</v>
      </c>
      <c r="F10">
        <v>1.1472070000000001</v>
      </c>
      <c r="G10" s="8"/>
      <c r="H10">
        <v>0.56350199999999995</v>
      </c>
      <c r="I10" s="8"/>
      <c r="J10" s="16">
        <f t="shared" si="1"/>
        <v>6.7586610245888648E-2</v>
      </c>
      <c r="K10" s="16">
        <f t="shared" si="2"/>
        <v>4.1740990807631585E-2</v>
      </c>
      <c r="L10" s="16">
        <f t="shared" si="3"/>
        <v>4.9366751240339075E-2</v>
      </c>
      <c r="N10" s="4">
        <f t="shared" si="5"/>
        <v>0.15239447261299768</v>
      </c>
      <c r="O10" s="15">
        <f t="shared" si="4"/>
        <v>1.1646195563511339</v>
      </c>
    </row>
    <row r="11" spans="1:15" x14ac:dyDescent="0.3">
      <c r="A11">
        <v>1956</v>
      </c>
      <c r="B11">
        <v>439820.3</v>
      </c>
      <c r="C11">
        <v>1.3570610000000001</v>
      </c>
      <c r="D11">
        <f t="shared" si="0"/>
        <v>324097.66399594414</v>
      </c>
      <c r="E11">
        <v>1.435033</v>
      </c>
      <c r="F11">
        <v>1.1731130000000001</v>
      </c>
      <c r="G11" s="8"/>
      <c r="H11">
        <v>0.56350199999999995</v>
      </c>
      <c r="I11" s="8"/>
      <c r="J11" s="16">
        <f t="shared" si="1"/>
        <v>-6.0595755625371221E-3</v>
      </c>
      <c r="K11" s="16">
        <f t="shared" si="2"/>
        <v>4.7361531616961841E-2</v>
      </c>
      <c r="L11" s="16">
        <f t="shared" si="3"/>
        <v>-2.6732789390277734E-2</v>
      </c>
      <c r="N11" s="4">
        <f t="shared" si="5"/>
        <v>0.12566168322271995</v>
      </c>
      <c r="O11" s="15">
        <f t="shared" si="4"/>
        <v>1.1338984865019768</v>
      </c>
    </row>
    <row r="12" spans="1:15" x14ac:dyDescent="0.3">
      <c r="A12">
        <v>1957</v>
      </c>
      <c r="B12">
        <v>463620.3</v>
      </c>
      <c r="C12">
        <v>1.4062190000000001</v>
      </c>
      <c r="D12">
        <f t="shared" si="0"/>
        <v>329692.81456160097</v>
      </c>
      <c r="E12">
        <v>1.499193</v>
      </c>
      <c r="F12">
        <v>1.172531</v>
      </c>
      <c r="G12" s="8"/>
      <c r="H12">
        <v>0.56350199999999995</v>
      </c>
      <c r="I12" s="8"/>
      <c r="J12" s="16">
        <f t="shared" si="1"/>
        <v>1.7116453514780555E-2</v>
      </c>
      <c r="K12" s="16">
        <f t="shared" si="2"/>
        <v>4.3739117871388421E-2</v>
      </c>
      <c r="L12" s="16">
        <f t="shared" si="3"/>
        <v>-1.9755839578447509E-3</v>
      </c>
      <c r="N12" s="4">
        <f t="shared" si="5"/>
        <v>0.1236860992648752</v>
      </c>
      <c r="O12" s="15">
        <f t="shared" si="4"/>
        <v>1.1316605861501006</v>
      </c>
    </row>
    <row r="13" spans="1:15" x14ac:dyDescent="0.3">
      <c r="A13">
        <v>1958</v>
      </c>
      <c r="B13">
        <v>470428.9</v>
      </c>
      <c r="C13">
        <v>1.411311</v>
      </c>
      <c r="D13">
        <f t="shared" si="0"/>
        <v>333327.59398885153</v>
      </c>
      <c r="E13">
        <v>1.553763</v>
      </c>
      <c r="F13">
        <v>1.1318779999999999</v>
      </c>
      <c r="G13" s="8"/>
      <c r="H13">
        <v>0.56350199999999995</v>
      </c>
      <c r="I13" s="8"/>
      <c r="J13" s="16">
        <f t="shared" si="1"/>
        <v>1.0964416160516665E-2</v>
      </c>
      <c r="K13" s="16">
        <f t="shared" si="2"/>
        <v>3.5752767327930014E-2</v>
      </c>
      <c r="L13" s="16">
        <f t="shared" si="3"/>
        <v>-4.6415952725901311E-3</v>
      </c>
      <c r="N13" s="4">
        <f t="shared" si="5"/>
        <v>0.11904450399228507</v>
      </c>
      <c r="O13" s="15">
        <f t="shared" si="4"/>
        <v>1.1264200473619703</v>
      </c>
    </row>
    <row r="14" spans="1:15" x14ac:dyDescent="0.3">
      <c r="A14">
        <v>1959</v>
      </c>
      <c r="B14">
        <v>509054.2</v>
      </c>
      <c r="C14">
        <v>1.4248879999999999</v>
      </c>
      <c r="D14">
        <f t="shared" si="0"/>
        <v>357259.09685533179</v>
      </c>
      <c r="E14">
        <v>1.612538</v>
      </c>
      <c r="F14">
        <v>1.171055</v>
      </c>
      <c r="G14" s="8"/>
      <c r="H14">
        <v>0.56350199999999995</v>
      </c>
      <c r="I14" s="8"/>
      <c r="J14" s="16">
        <f t="shared" si="1"/>
        <v>6.9335507909298252E-2</v>
      </c>
      <c r="K14" s="16">
        <f t="shared" si="2"/>
        <v>3.7129604639425717E-2</v>
      </c>
      <c r="L14" s="16">
        <f t="shared" si="3"/>
        <v>5.3128509743398208E-2</v>
      </c>
      <c r="N14" s="4">
        <f t="shared" si="5"/>
        <v>0.17217301373568328</v>
      </c>
      <c r="O14" s="15">
        <f t="shared" si="4"/>
        <v>1.1878833355694709</v>
      </c>
    </row>
    <row r="15" spans="1:15" x14ac:dyDescent="0.3">
      <c r="A15">
        <v>1960</v>
      </c>
      <c r="B15">
        <v>529152.19999999995</v>
      </c>
      <c r="C15">
        <v>1.4299489999999999</v>
      </c>
      <c r="D15">
        <f t="shared" si="0"/>
        <v>370049.70107325504</v>
      </c>
      <c r="E15">
        <v>1.678946</v>
      </c>
      <c r="F15">
        <v>1.1867909999999999</v>
      </c>
      <c r="G15" s="8"/>
      <c r="H15">
        <v>0.56350199999999995</v>
      </c>
      <c r="I15" s="8"/>
      <c r="J15" s="16">
        <f t="shared" si="1"/>
        <v>3.5176043800541748E-2</v>
      </c>
      <c r="K15" s="16">
        <f t="shared" si="2"/>
        <v>4.0356880275412323E-2</v>
      </c>
      <c r="L15" s="16">
        <f t="shared" si="3"/>
        <v>1.7560346274084818E-2</v>
      </c>
      <c r="N15" s="4">
        <f t="shared" si="5"/>
        <v>0.18973336000976809</v>
      </c>
      <c r="O15" s="15">
        <f t="shared" si="4"/>
        <v>1.2089272063394632</v>
      </c>
    </row>
    <row r="16" spans="1:15" x14ac:dyDescent="0.3">
      <c r="A16">
        <v>1961</v>
      </c>
      <c r="B16">
        <v>548911.5</v>
      </c>
      <c r="C16">
        <v>1.430337</v>
      </c>
      <c r="D16">
        <f t="shared" si="0"/>
        <v>383763.75637349801</v>
      </c>
      <c r="E16">
        <v>1.7455259999999999</v>
      </c>
      <c r="F16">
        <v>1.1874819999999999</v>
      </c>
      <c r="G16" s="8"/>
      <c r="H16">
        <v>0.56350199999999995</v>
      </c>
      <c r="I16" s="8"/>
      <c r="J16" s="16">
        <f t="shared" si="1"/>
        <v>3.6389821644076906E-2</v>
      </c>
      <c r="K16" s="16">
        <f t="shared" si="2"/>
        <v>3.8889727320444357E-2</v>
      </c>
      <c r="L16" s="16">
        <f t="shared" si="3"/>
        <v>1.9414533448157582E-2</v>
      </c>
      <c r="N16" s="4">
        <f t="shared" si="5"/>
        <v>0.20914789345792567</v>
      </c>
      <c r="O16" s="15">
        <f t="shared" si="4"/>
        <v>1.2326272825617663</v>
      </c>
    </row>
    <row r="17" spans="1:15" x14ac:dyDescent="0.3">
      <c r="A17">
        <v>1962</v>
      </c>
      <c r="B17">
        <v>590282.80000000005</v>
      </c>
      <c r="C17">
        <v>1.437527</v>
      </c>
      <c r="D17">
        <f t="shared" si="0"/>
        <v>410623.80045731319</v>
      </c>
      <c r="E17">
        <v>1.8218460000000001</v>
      </c>
      <c r="F17">
        <v>1.221293</v>
      </c>
      <c r="G17" s="8"/>
      <c r="H17">
        <v>0.56350199999999995</v>
      </c>
      <c r="I17" s="8"/>
      <c r="J17" s="16">
        <f t="shared" si="1"/>
        <v>6.7650322487612435E-2</v>
      </c>
      <c r="K17" s="16">
        <f t="shared" si="2"/>
        <v>4.2794329865345641E-2</v>
      </c>
      <c r="L17" s="16">
        <f t="shared" si="3"/>
        <v>4.8970683090048789E-2</v>
      </c>
      <c r="N17" s="4">
        <f t="shared" si="5"/>
        <v>0.25811857654797443</v>
      </c>
      <c r="O17" s="15">
        <f t="shared" si="4"/>
        <v>1.2944923059530784</v>
      </c>
    </row>
    <row r="18" spans="1:15" x14ac:dyDescent="0.3">
      <c r="A18">
        <v>1963</v>
      </c>
      <c r="B18">
        <v>622498.4</v>
      </c>
      <c r="C18">
        <v>1.4395789999999999</v>
      </c>
      <c r="D18">
        <f t="shared" si="0"/>
        <v>432416.97746355017</v>
      </c>
      <c r="E18">
        <v>1.906469</v>
      </c>
      <c r="F18">
        <v>1.236278</v>
      </c>
      <c r="G18" s="8"/>
      <c r="H18">
        <v>0.56350199999999995</v>
      </c>
      <c r="I18" s="8"/>
      <c r="J18" s="16">
        <f t="shared" si="1"/>
        <v>5.1712880349599179E-2</v>
      </c>
      <c r="K18" s="16">
        <f t="shared" si="2"/>
        <v>4.5402567257887522E-2</v>
      </c>
      <c r="L18" s="16">
        <f t="shared" si="3"/>
        <v>3.1894750546665789E-2</v>
      </c>
      <c r="N18" s="4">
        <f t="shared" si="5"/>
        <v>0.29001332709464023</v>
      </c>
      <c r="O18" s="15">
        <f t="shared" si="4"/>
        <v>1.3364452988397677</v>
      </c>
    </row>
    <row r="19" spans="1:15" x14ac:dyDescent="0.3">
      <c r="A19">
        <v>1964</v>
      </c>
      <c r="B19">
        <v>668361.9</v>
      </c>
      <c r="C19">
        <v>1.4506349999999999</v>
      </c>
      <c r="D19">
        <f t="shared" si="0"/>
        <v>460737.47014238598</v>
      </c>
      <c r="E19">
        <v>1.997903</v>
      </c>
      <c r="F19">
        <v>1.2631669999999999</v>
      </c>
      <c r="G19" s="8"/>
      <c r="H19">
        <v>0.56350199999999995</v>
      </c>
      <c r="I19" s="8"/>
      <c r="J19" s="16">
        <f t="shared" si="1"/>
        <v>6.3438053374607076E-2</v>
      </c>
      <c r="K19" s="16">
        <f t="shared" si="2"/>
        <v>4.6845290478612342E-2</v>
      </c>
      <c r="L19" s="16">
        <f t="shared" si="3"/>
        <v>4.2990177771273744E-2</v>
      </c>
      <c r="N19" s="4">
        <f t="shared" si="5"/>
        <v>0.33300350486591396</v>
      </c>
      <c r="O19" s="15">
        <f t="shared" si="4"/>
        <v>1.3951521882825841</v>
      </c>
    </row>
    <row r="20" spans="1:15" x14ac:dyDescent="0.3">
      <c r="A20">
        <v>1965</v>
      </c>
      <c r="B20">
        <v>726085.1</v>
      </c>
      <c r="C20">
        <v>1.472596</v>
      </c>
      <c r="D20">
        <f t="shared" si="0"/>
        <v>493064.69663098361</v>
      </c>
      <c r="E20">
        <v>2.1085159999999998</v>
      </c>
      <c r="F20">
        <v>1.309839</v>
      </c>
      <c r="G20" s="8"/>
      <c r="H20">
        <v>0.56350199999999995</v>
      </c>
      <c r="I20" s="8"/>
      <c r="J20" s="16">
        <f t="shared" si="1"/>
        <v>6.7811994223447872E-2</v>
      </c>
      <c r="K20" s="16">
        <f t="shared" si="2"/>
        <v>5.3886252009330025E-2</v>
      </c>
      <c r="L20" s="16">
        <f t="shared" si="3"/>
        <v>4.4290752993879329E-2</v>
      </c>
      <c r="N20" s="4">
        <f t="shared" si="5"/>
        <v>0.37729425785979331</v>
      </c>
      <c r="O20" s="15">
        <f t="shared" si="4"/>
        <v>1.4583333722975582</v>
      </c>
    </row>
    <row r="21" spans="1:15" x14ac:dyDescent="0.3">
      <c r="A21">
        <v>1966</v>
      </c>
      <c r="B21">
        <v>796105.9</v>
      </c>
      <c r="C21">
        <v>1.5049779999999999</v>
      </c>
      <c r="D21">
        <f t="shared" si="0"/>
        <v>528981.75255718024</v>
      </c>
      <c r="E21">
        <v>2.2357230000000001</v>
      </c>
      <c r="F21">
        <v>1.3658440000000001</v>
      </c>
      <c r="G21" s="8"/>
      <c r="H21">
        <v>0.56350199999999995</v>
      </c>
      <c r="I21" s="8"/>
      <c r="J21" s="16">
        <f t="shared" si="1"/>
        <v>7.0313541120995332E-2</v>
      </c>
      <c r="K21" s="16">
        <f t="shared" si="2"/>
        <v>5.8580283178206786E-2</v>
      </c>
      <c r="L21" s="16">
        <f t="shared" si="3"/>
        <v>4.4743364674274422E-2</v>
      </c>
      <c r="N21" s="4">
        <f t="shared" si="5"/>
        <v>0.42203762253406774</v>
      </c>
      <c r="O21" s="15">
        <f t="shared" si="4"/>
        <v>1.5250659004477569</v>
      </c>
    </row>
    <row r="22" spans="1:15" x14ac:dyDescent="0.3">
      <c r="A22">
        <v>1967</v>
      </c>
      <c r="B22">
        <v>841282.4</v>
      </c>
      <c r="C22">
        <v>1.543167</v>
      </c>
      <c r="D22">
        <f t="shared" si="0"/>
        <v>545166.14209609199</v>
      </c>
      <c r="E22">
        <v>2.3752970000000002</v>
      </c>
      <c r="F22">
        <v>1.3805620000000001</v>
      </c>
      <c r="G22" s="8"/>
      <c r="H22">
        <v>0.56350199999999995</v>
      </c>
      <c r="I22" s="8"/>
      <c r="J22" s="16">
        <f t="shared" si="1"/>
        <v>3.0136659046778327E-2</v>
      </c>
      <c r="K22" s="16">
        <f t="shared" si="2"/>
        <v>6.0557816612923997E-2</v>
      </c>
      <c r="L22" s="16">
        <f t="shared" si="3"/>
        <v>3.7032932108702239E-3</v>
      </c>
      <c r="N22" s="4">
        <f t="shared" si="5"/>
        <v>0.42574091574493794</v>
      </c>
      <c r="O22" s="15">
        <f t="shared" si="4"/>
        <v>1.5307241372313483</v>
      </c>
    </row>
    <row r="23" spans="1:15" x14ac:dyDescent="0.3">
      <c r="A23">
        <v>1968</v>
      </c>
      <c r="B23">
        <v>918084.4</v>
      </c>
      <c r="C23">
        <v>1.603218</v>
      </c>
      <c r="D23">
        <f t="shared" si="0"/>
        <v>572651.00566485652</v>
      </c>
      <c r="E23">
        <v>2.5099689999999999</v>
      </c>
      <c r="F23">
        <v>1.405327</v>
      </c>
      <c r="G23" s="8"/>
      <c r="H23">
        <v>0.56350199999999995</v>
      </c>
      <c r="I23" s="8"/>
      <c r="J23" s="16">
        <f t="shared" si="1"/>
        <v>4.9185869912583627E-2</v>
      </c>
      <c r="K23" s="16">
        <f t="shared" si="2"/>
        <v>5.5147920170058526E-2</v>
      </c>
      <c r="L23" s="16">
        <f t="shared" si="3"/>
        <v>2.5113913054193419E-2</v>
      </c>
      <c r="N23" s="4">
        <f t="shared" si="5"/>
        <v>0.45085482879913136</v>
      </c>
      <c r="O23" s="15">
        <f t="shared" si="4"/>
        <v>1.5696533970838302</v>
      </c>
    </row>
    <row r="24" spans="1:15" x14ac:dyDescent="0.3">
      <c r="A24">
        <v>1969</v>
      </c>
      <c r="B24">
        <v>992611.2</v>
      </c>
      <c r="C24">
        <v>1.6859219999999999</v>
      </c>
      <c r="D24">
        <f t="shared" si="0"/>
        <v>588764.60476819216</v>
      </c>
      <c r="E24">
        <v>2.648819</v>
      </c>
      <c r="F24">
        <v>1.4378500000000001</v>
      </c>
      <c r="G24" s="8"/>
      <c r="H24">
        <v>0.56350199999999995</v>
      </c>
      <c r="I24" s="8"/>
      <c r="J24" s="16">
        <f t="shared" si="1"/>
        <v>2.7749985421389473E-2</v>
      </c>
      <c r="K24" s="16">
        <f t="shared" si="2"/>
        <v>5.3843477814858119E-2</v>
      </c>
      <c r="L24" s="16">
        <f t="shared" si="3"/>
        <v>4.2474150421595303E-3</v>
      </c>
      <c r="N24" s="4">
        <f t="shared" si="5"/>
        <v>0.45510224384129089</v>
      </c>
      <c r="O24" s="15">
        <f t="shared" si="4"/>
        <v>1.576334545293997</v>
      </c>
    </row>
    <row r="25" spans="1:15" x14ac:dyDescent="0.3">
      <c r="A25">
        <v>1970</v>
      </c>
      <c r="B25">
        <v>1046070</v>
      </c>
      <c r="C25">
        <v>1.7727820000000001</v>
      </c>
      <c r="D25">
        <f t="shared" si="0"/>
        <v>590072.55263196491</v>
      </c>
      <c r="E25">
        <v>2.7715960000000002</v>
      </c>
      <c r="F25">
        <v>1.4046099999999999</v>
      </c>
      <c r="G25" s="8"/>
      <c r="H25">
        <v>0.56350199999999995</v>
      </c>
      <c r="I25" s="8"/>
      <c r="J25" s="16">
        <f t="shared" si="1"/>
        <v>2.2190484788774342E-3</v>
      </c>
      <c r="K25" s="16">
        <f t="shared" si="2"/>
        <v>4.5309447275677629E-2</v>
      </c>
      <c r="L25" s="16">
        <f t="shared" si="3"/>
        <v>-1.7558434638061299E-2</v>
      </c>
      <c r="N25" s="4">
        <f t="shared" si="5"/>
        <v>0.43754380920322961</v>
      </c>
      <c r="O25" s="15">
        <f t="shared" si="4"/>
        <v>1.5488981531417692</v>
      </c>
    </row>
    <row r="26" spans="1:15" x14ac:dyDescent="0.3">
      <c r="A26">
        <v>1971</v>
      </c>
      <c r="B26">
        <v>1135308</v>
      </c>
      <c r="C26">
        <v>1.8686700000000001</v>
      </c>
      <c r="D26">
        <f t="shared" si="0"/>
        <v>607548.68435839389</v>
      </c>
      <c r="E26">
        <v>2.900725</v>
      </c>
      <c r="F26">
        <v>1.40008</v>
      </c>
      <c r="G26" s="8"/>
      <c r="H26">
        <v>0.56350199999999995</v>
      </c>
      <c r="I26" s="8"/>
      <c r="J26" s="16">
        <f t="shared" si="1"/>
        <v>2.9186810963152642E-2</v>
      </c>
      <c r="K26" s="16">
        <f t="shared" si="2"/>
        <v>4.5537378187286301E-2</v>
      </c>
      <c r="L26" s="16">
        <f t="shared" si="3"/>
        <v>9.3098364591585429E-3</v>
      </c>
      <c r="N26" s="4">
        <f t="shared" si="5"/>
        <v>0.44685364566238817</v>
      </c>
      <c r="O26" s="15">
        <f t="shared" si="4"/>
        <v>1.563385474296539</v>
      </c>
    </row>
    <row r="27" spans="1:15" x14ac:dyDescent="0.3">
      <c r="A27">
        <v>1972</v>
      </c>
      <c r="B27">
        <v>1248337</v>
      </c>
      <c r="C27">
        <v>1.9624090000000001</v>
      </c>
      <c r="D27">
        <f t="shared" si="0"/>
        <v>636124.78336575092</v>
      </c>
      <c r="E27">
        <v>3.020489</v>
      </c>
      <c r="F27">
        <v>1.4323699999999999</v>
      </c>
      <c r="G27" s="8"/>
      <c r="H27">
        <v>0.56350199999999995</v>
      </c>
      <c r="I27" s="8"/>
      <c r="J27" s="16">
        <f t="shared" si="1"/>
        <v>4.5962433490672527E-2</v>
      </c>
      <c r="K27" s="16">
        <f t="shared" si="2"/>
        <v>4.0458033061229769E-2</v>
      </c>
      <c r="L27" s="16">
        <f t="shared" si="3"/>
        <v>2.8302582975511855E-2</v>
      </c>
      <c r="N27" s="4">
        <f t="shared" si="5"/>
        <v>0.47515622863790002</v>
      </c>
      <c r="O27" s="15">
        <f t="shared" si="4"/>
        <v>1.6082654349783145</v>
      </c>
    </row>
    <row r="28" spans="1:15" x14ac:dyDescent="0.3">
      <c r="A28">
        <v>1973</v>
      </c>
      <c r="B28">
        <v>1389187</v>
      </c>
      <c r="C28">
        <v>2.07498</v>
      </c>
      <c r="D28">
        <f t="shared" si="0"/>
        <v>669494.16379916912</v>
      </c>
      <c r="E28">
        <v>3.152692</v>
      </c>
      <c r="F28">
        <v>1.4917739999999999</v>
      </c>
      <c r="G28" s="8"/>
      <c r="H28">
        <v>0.56350199999999995</v>
      </c>
      <c r="I28" s="8"/>
      <c r="J28" s="16">
        <f t="shared" si="1"/>
        <v>5.1127703484327582E-2</v>
      </c>
      <c r="K28" s="16">
        <f t="shared" si="2"/>
        <v>4.2837952237905208E-2</v>
      </c>
      <c r="L28" s="16">
        <f t="shared" si="3"/>
        <v>3.2429023008386432E-2</v>
      </c>
      <c r="N28" s="4">
        <f t="shared" si="5"/>
        <v>0.50758525164628643</v>
      </c>
      <c r="O28" s="15">
        <f t="shared" si="4"/>
        <v>1.6612747870332769</v>
      </c>
    </row>
    <row r="29" spans="1:15" x14ac:dyDescent="0.3">
      <c r="A29">
        <v>1974</v>
      </c>
      <c r="B29">
        <v>1507131</v>
      </c>
      <c r="C29">
        <v>2.2956699999999999</v>
      </c>
      <c r="D29">
        <f t="shared" si="0"/>
        <v>656510.2998253234</v>
      </c>
      <c r="E29">
        <v>3.2913749999999999</v>
      </c>
      <c r="F29">
        <v>1.488192</v>
      </c>
      <c r="G29" s="8"/>
      <c r="H29">
        <v>0.56350199999999995</v>
      </c>
      <c r="I29" s="8"/>
      <c r="J29" s="16">
        <f t="shared" si="1"/>
        <v>-1.9584065225369127E-2</v>
      </c>
      <c r="K29" s="16">
        <f t="shared" si="2"/>
        <v>4.3048719551483497E-2</v>
      </c>
      <c r="L29" s="16">
        <f t="shared" si="3"/>
        <v>-3.8374745212152575E-2</v>
      </c>
      <c r="N29" s="4">
        <f t="shared" si="5"/>
        <v>0.46921050643413387</v>
      </c>
      <c r="O29" s="15">
        <f t="shared" si="4"/>
        <v>1.5987315066034566</v>
      </c>
    </row>
    <row r="30" spans="1:15" x14ac:dyDescent="0.3">
      <c r="A30">
        <v>1975</v>
      </c>
      <c r="B30">
        <v>1637062</v>
      </c>
      <c r="C30">
        <v>2.5589819999999999</v>
      </c>
      <c r="D30">
        <f t="shared" si="0"/>
        <v>639731.73707357072</v>
      </c>
      <c r="E30">
        <v>3.4009369999999999</v>
      </c>
      <c r="F30">
        <v>1.448504</v>
      </c>
      <c r="G30" s="8"/>
      <c r="H30">
        <v>0.56350199999999995</v>
      </c>
      <c r="I30" s="8"/>
      <c r="J30" s="16">
        <f t="shared" si="1"/>
        <v>-2.5889454956222972E-2</v>
      </c>
      <c r="K30" s="16">
        <f t="shared" si="2"/>
        <v>3.2745571291693185E-2</v>
      </c>
      <c r="L30" s="16">
        <f t="shared" si="3"/>
        <v>-4.0182831333904462E-2</v>
      </c>
      <c r="N30" s="4">
        <f t="shared" si="5"/>
        <v>0.42902767510022943</v>
      </c>
      <c r="O30" s="15">
        <f t="shared" si="4"/>
        <v>1.5357635362190192</v>
      </c>
    </row>
    <row r="31" spans="1:15" x14ac:dyDescent="0.3">
      <c r="A31">
        <v>1976</v>
      </c>
      <c r="B31">
        <v>1825310</v>
      </c>
      <c r="C31">
        <v>2.6945239999999999</v>
      </c>
      <c r="D31">
        <f t="shared" si="0"/>
        <v>677414.63798429701</v>
      </c>
      <c r="E31">
        <v>3.4965700000000002</v>
      </c>
      <c r="F31">
        <v>1.49011</v>
      </c>
      <c r="G31" s="8"/>
      <c r="H31">
        <v>0.56350199999999995</v>
      </c>
      <c r="I31" s="8"/>
      <c r="J31" s="16">
        <f t="shared" si="1"/>
        <v>5.7234621561892449E-2</v>
      </c>
      <c r="K31" s="16">
        <f t="shared" si="2"/>
        <v>2.7731506091459177E-2</v>
      </c>
      <c r="L31" s="16">
        <f t="shared" si="3"/>
        <v>4.5129874615982696E-2</v>
      </c>
      <c r="N31" s="4">
        <f t="shared" si="5"/>
        <v>0.47415754971621216</v>
      </c>
      <c r="O31" s="15">
        <f t="shared" si="4"/>
        <v>1.6066600959304822</v>
      </c>
    </row>
    <row r="32" spans="1:15" x14ac:dyDescent="0.3">
      <c r="A32">
        <v>1977</v>
      </c>
      <c r="B32">
        <v>2030516</v>
      </c>
      <c r="C32">
        <v>2.8845519999999998</v>
      </c>
      <c r="D32">
        <f t="shared" si="0"/>
        <v>703927.68097090989</v>
      </c>
      <c r="E32">
        <v>3.605124</v>
      </c>
      <c r="F32">
        <v>1.5474870000000001</v>
      </c>
      <c r="G32" s="8"/>
      <c r="H32">
        <v>0.56350199999999995</v>
      </c>
      <c r="I32" s="8"/>
      <c r="J32" s="16">
        <f t="shared" si="1"/>
        <v>3.8392075767171838E-2</v>
      </c>
      <c r="K32" s="16">
        <f t="shared" si="2"/>
        <v>3.0573678835243659E-2</v>
      </c>
      <c r="L32" s="16">
        <f t="shared" si="3"/>
        <v>2.504672610294565E-2</v>
      </c>
      <c r="N32" s="4">
        <f t="shared" si="5"/>
        <v>0.49920427581915783</v>
      </c>
      <c r="O32" s="15">
        <f t="shared" si="4"/>
        <v>1.6474098651453146</v>
      </c>
    </row>
    <row r="33" spans="1:15" x14ac:dyDescent="0.3">
      <c r="A33">
        <v>1978</v>
      </c>
      <c r="B33">
        <v>2293510</v>
      </c>
      <c r="C33">
        <v>3.1127050000000001</v>
      </c>
      <c r="D33">
        <f t="shared" si="0"/>
        <v>736822.15307907434</v>
      </c>
      <c r="E33">
        <v>3.779957</v>
      </c>
      <c r="F33">
        <v>1.621353</v>
      </c>
      <c r="G33" s="8"/>
      <c r="H33">
        <v>0.56350199999999995</v>
      </c>
      <c r="I33" s="8"/>
      <c r="J33" s="16">
        <f t="shared" si="1"/>
        <v>4.5670926112444644E-2</v>
      </c>
      <c r="K33" s="16">
        <f t="shared" si="2"/>
        <v>4.7356467088766889E-2</v>
      </c>
      <c r="L33" s="16">
        <f t="shared" si="3"/>
        <v>2.4999922941132072E-2</v>
      </c>
      <c r="N33" s="4">
        <f t="shared" si="5"/>
        <v>0.5242041987602899</v>
      </c>
      <c r="O33" s="15">
        <f t="shared" si="4"/>
        <v>1.6891141142733748</v>
      </c>
    </row>
    <row r="34" spans="1:15" x14ac:dyDescent="0.3">
      <c r="A34">
        <v>1979</v>
      </c>
      <c r="B34">
        <v>2561569</v>
      </c>
      <c r="C34">
        <v>3.3860679999999999</v>
      </c>
      <c r="D34">
        <f t="shared" si="0"/>
        <v>756502.5274152793</v>
      </c>
      <c r="E34">
        <v>3.9663210000000002</v>
      </c>
      <c r="F34">
        <v>1.6745509999999999</v>
      </c>
      <c r="G34" s="8"/>
      <c r="H34">
        <v>0.56350199999999995</v>
      </c>
      <c r="I34" s="8"/>
      <c r="J34" s="16">
        <f t="shared" si="1"/>
        <v>2.6359323054895089E-2</v>
      </c>
      <c r="K34" s="16">
        <f t="shared" si="2"/>
        <v>4.812633088965447E-2</v>
      </c>
      <c r="L34" s="16">
        <f t="shared" si="3"/>
        <v>5.3522758742226909E-3</v>
      </c>
      <c r="N34" s="4">
        <f t="shared" si="5"/>
        <v>0.52955647463451261</v>
      </c>
      <c r="O34" s="15">
        <f t="shared" si="4"/>
        <v>1.6981789561232523</v>
      </c>
    </row>
    <row r="35" spans="1:15" x14ac:dyDescent="0.3">
      <c r="A35">
        <v>1980</v>
      </c>
      <c r="B35">
        <v>2790479</v>
      </c>
      <c r="C35">
        <v>3.706604</v>
      </c>
      <c r="D35">
        <f t="shared" si="0"/>
        <v>752839.79621238203</v>
      </c>
      <c r="E35">
        <v>4.1551819999999999</v>
      </c>
      <c r="F35">
        <v>1.6618550000000001</v>
      </c>
      <c r="G35" s="8"/>
      <c r="H35">
        <v>0.56350199999999995</v>
      </c>
      <c r="I35" s="8"/>
      <c r="J35" s="16">
        <f t="shared" ref="J35:J66" si="6">LN(D35/D34)</f>
        <v>-4.8534230245999227E-3</v>
      </c>
      <c r="K35" s="16">
        <f t="shared" ref="K35:K66" si="7">LN(E35/E34)</f>
        <v>4.6517265200444455E-2</v>
      </c>
      <c r="L35" s="16">
        <f t="shared" ref="L35:L66" si="8">J35-(1-H35)*K35</f>
        <v>-2.5158116250063527E-2</v>
      </c>
      <c r="N35" s="4">
        <f t="shared" si="5"/>
        <v>0.50439835838444913</v>
      </c>
      <c r="O35" s="15">
        <f t="shared" si="4"/>
        <v>1.6559889088469493</v>
      </c>
    </row>
    <row r="36" spans="1:15" x14ac:dyDescent="0.3">
      <c r="A36">
        <v>1981</v>
      </c>
      <c r="B36">
        <v>3121637</v>
      </c>
      <c r="C36">
        <v>4.0504600000000002</v>
      </c>
      <c r="D36">
        <f t="shared" si="0"/>
        <v>770687.03307772451</v>
      </c>
      <c r="E36">
        <v>4.3158250000000002</v>
      </c>
      <c r="F36">
        <v>1.6838329999999999</v>
      </c>
      <c r="G36" s="8"/>
      <c r="H36">
        <v>0.56350199999999995</v>
      </c>
      <c r="I36" s="8"/>
      <c r="J36" s="16">
        <f t="shared" si="6"/>
        <v>2.3429916648416781E-2</v>
      </c>
      <c r="K36" s="16">
        <f t="shared" si="7"/>
        <v>3.79322697757331E-2</v>
      </c>
      <c r="L36" s="16">
        <f t="shared" si="8"/>
        <v>6.8725567558488333E-3</v>
      </c>
      <c r="N36" s="4">
        <f t="shared" si="5"/>
        <v>0.51127091514029799</v>
      </c>
      <c r="O36" s="15">
        <f t="shared" si="4"/>
        <v>1.6674089842187145</v>
      </c>
    </row>
    <row r="37" spans="1:15" x14ac:dyDescent="0.3">
      <c r="A37">
        <v>1982</v>
      </c>
      <c r="B37">
        <v>3252701</v>
      </c>
      <c r="C37">
        <v>4.2855679999999996</v>
      </c>
      <c r="D37">
        <f t="shared" si="0"/>
        <v>758989.47350736242</v>
      </c>
      <c r="E37">
        <v>4.4880050000000002</v>
      </c>
      <c r="F37">
        <v>1.6490050000000001</v>
      </c>
      <c r="G37" s="8"/>
      <c r="H37">
        <v>0.56350199999999995</v>
      </c>
      <c r="I37" s="8"/>
      <c r="J37" s="16">
        <f t="shared" si="6"/>
        <v>-1.5294459376238906E-2</v>
      </c>
      <c r="K37" s="16">
        <f t="shared" si="7"/>
        <v>3.9119782530521716E-2</v>
      </c>
      <c r="L37" s="16">
        <f t="shared" si="8"/>
        <v>-3.2370166211246575E-2</v>
      </c>
      <c r="N37" s="4">
        <f t="shared" si="5"/>
        <v>0.47890074892905143</v>
      </c>
      <c r="O37" s="15">
        <f t="shared" si="4"/>
        <v>1.6142989067119902</v>
      </c>
    </row>
    <row r="38" spans="1:15" x14ac:dyDescent="0.3">
      <c r="A38">
        <v>1983</v>
      </c>
      <c r="B38">
        <v>3536684</v>
      </c>
      <c r="C38">
        <v>4.3221299999999996</v>
      </c>
      <c r="D38">
        <f t="shared" si="0"/>
        <v>818273.39760719833</v>
      </c>
      <c r="E38">
        <v>4.6554460000000004</v>
      </c>
      <c r="F38">
        <v>1.6745380000000001</v>
      </c>
      <c r="G38" s="8"/>
      <c r="H38">
        <v>0.56350199999999995</v>
      </c>
      <c r="I38" s="8"/>
      <c r="J38" s="16">
        <f t="shared" si="6"/>
        <v>7.5208599262342843E-2</v>
      </c>
      <c r="K38" s="16">
        <f t="shared" si="7"/>
        <v>3.6629434793644292E-2</v>
      </c>
      <c r="L38" s="16">
        <f t="shared" si="8"/>
        <v>5.9219924233786692E-2</v>
      </c>
      <c r="N38" s="4">
        <f t="shared" si="5"/>
        <v>0.53812067316283807</v>
      </c>
      <c r="O38" s="15">
        <f t="shared" si="4"/>
        <v>1.7127849528945787</v>
      </c>
    </row>
    <row r="39" spans="1:15" x14ac:dyDescent="0.3">
      <c r="A39">
        <v>1984</v>
      </c>
      <c r="B39">
        <v>3924396</v>
      </c>
      <c r="C39">
        <v>4.3738330000000003</v>
      </c>
      <c r="D39">
        <f t="shared" si="0"/>
        <v>897244.13346371474</v>
      </c>
      <c r="E39">
        <v>4.8542589999999999</v>
      </c>
      <c r="F39">
        <v>1.76894</v>
      </c>
      <c r="G39" s="8"/>
      <c r="H39">
        <v>0.56350199999999995</v>
      </c>
      <c r="I39" s="8"/>
      <c r="J39" s="16">
        <f t="shared" si="6"/>
        <v>9.2131483989350657E-2</v>
      </c>
      <c r="K39" s="16">
        <f t="shared" si="7"/>
        <v>4.1818746840716167E-2</v>
      </c>
      <c r="L39" s="16">
        <f t="shared" si="8"/>
        <v>7.3877684630871729E-2</v>
      </c>
      <c r="N39" s="4">
        <f t="shared" si="5"/>
        <v>0.61199835779370981</v>
      </c>
      <c r="O39" s="15">
        <f t="shared" si="4"/>
        <v>1.8441129164808163</v>
      </c>
    </row>
    <row r="40" spans="1:15" x14ac:dyDescent="0.3">
      <c r="A40">
        <v>1985</v>
      </c>
      <c r="B40">
        <v>4225331</v>
      </c>
      <c r="C40">
        <v>4.4317929999999999</v>
      </c>
      <c r="D40">
        <f t="shared" si="0"/>
        <v>953413.43785686744</v>
      </c>
      <c r="E40">
        <v>5.0852209999999998</v>
      </c>
      <c r="F40">
        <v>1.80694</v>
      </c>
      <c r="G40" s="8"/>
      <c r="H40">
        <v>0.56350199999999995</v>
      </c>
      <c r="I40" s="8"/>
      <c r="J40" s="16">
        <f t="shared" si="6"/>
        <v>6.0720645685418455E-2</v>
      </c>
      <c r="K40" s="16">
        <f t="shared" si="7"/>
        <v>4.6482025780258195E-2</v>
      </c>
      <c r="L40" s="16">
        <f t="shared" si="8"/>
        <v>4.0431334396387311E-2</v>
      </c>
      <c r="N40" s="4">
        <f t="shared" si="5"/>
        <v>0.65242969219009717</v>
      </c>
      <c r="O40" s="15">
        <f t="shared" si="4"/>
        <v>1.9202006622938208</v>
      </c>
    </row>
    <row r="41" spans="1:15" x14ac:dyDescent="0.3">
      <c r="A41">
        <v>1986</v>
      </c>
      <c r="B41">
        <v>4466133</v>
      </c>
      <c r="C41">
        <v>4.5180049999999996</v>
      </c>
      <c r="D41">
        <f t="shared" si="0"/>
        <v>988518.82634038699</v>
      </c>
      <c r="E41">
        <v>5.322603</v>
      </c>
      <c r="F41">
        <v>1.820919</v>
      </c>
      <c r="G41" s="8"/>
      <c r="H41">
        <v>0.56350199999999995</v>
      </c>
      <c r="I41" s="8"/>
      <c r="J41" s="16">
        <f t="shared" si="6"/>
        <v>3.6159050451549553E-2</v>
      </c>
      <c r="K41" s="16">
        <f t="shared" si="7"/>
        <v>4.5623979690224685E-2</v>
      </c>
      <c r="L41" s="16">
        <f t="shared" si="8"/>
        <v>1.6244274564725856E-2</v>
      </c>
      <c r="N41" s="4">
        <f t="shared" si="5"/>
        <v>0.66867396675482305</v>
      </c>
      <c r="O41" s="15">
        <f t="shared" si="4"/>
        <v>1.9516476543510692</v>
      </c>
    </row>
    <row r="42" spans="1:15" x14ac:dyDescent="0.3">
      <c r="A42">
        <v>1987</v>
      </c>
      <c r="B42">
        <v>4753139</v>
      </c>
      <c r="C42">
        <v>4.5997240000000001</v>
      </c>
      <c r="D42">
        <f t="shared" si="0"/>
        <v>1033353.0881418103</v>
      </c>
      <c r="E42">
        <v>5.5711399999999998</v>
      </c>
      <c r="F42">
        <v>1.8855459999999999</v>
      </c>
      <c r="G42" s="8"/>
      <c r="H42">
        <v>0.56350199999999995</v>
      </c>
      <c r="I42" s="8"/>
      <c r="J42" s="16">
        <f t="shared" si="6"/>
        <v>4.4356531387618872E-2</v>
      </c>
      <c r="K42" s="16">
        <f t="shared" si="7"/>
        <v>4.563723145452319E-2</v>
      </c>
      <c r="L42" s="16">
        <f t="shared" si="8"/>
        <v>2.4435971132182405E-2</v>
      </c>
      <c r="N42" s="4">
        <f t="shared" si="5"/>
        <v>0.69310993788700548</v>
      </c>
      <c r="O42" s="15">
        <f t="shared" si="4"/>
        <v>1.9999255160411198</v>
      </c>
    </row>
    <row r="43" spans="1:15" x14ac:dyDescent="0.3">
      <c r="A43">
        <v>1988</v>
      </c>
      <c r="B43">
        <v>5129092</v>
      </c>
      <c r="C43">
        <v>4.7255520000000004</v>
      </c>
      <c r="D43">
        <f t="shared" si="0"/>
        <v>1085395.3146637683</v>
      </c>
      <c r="E43">
        <v>5.7736270000000003</v>
      </c>
      <c r="F43">
        <v>1.9368700000000001</v>
      </c>
      <c r="G43" s="8"/>
      <c r="H43">
        <v>0.56350199999999995</v>
      </c>
      <c r="I43" s="8"/>
      <c r="J43" s="16">
        <f t="shared" si="6"/>
        <v>4.9135325750172702E-2</v>
      </c>
      <c r="K43" s="16">
        <f t="shared" si="7"/>
        <v>3.5700778362216662E-2</v>
      </c>
      <c r="L43" s="16">
        <f t="shared" si="8"/>
        <v>3.3552007396621855E-2</v>
      </c>
      <c r="N43" s="4">
        <f t="shared" si="5"/>
        <v>0.72666194528362738</v>
      </c>
      <c r="O43" s="15">
        <f t="shared" si="4"/>
        <v>2.0681654231181321</v>
      </c>
    </row>
    <row r="44" spans="1:15" x14ac:dyDescent="0.3">
      <c r="A44">
        <v>1989</v>
      </c>
      <c r="B44">
        <v>5519884</v>
      </c>
      <c r="C44">
        <v>4.8467820000000001</v>
      </c>
      <c r="D44">
        <f t="shared" si="0"/>
        <v>1138876.0625091039</v>
      </c>
      <c r="E44">
        <v>5.9772540000000003</v>
      </c>
      <c r="F44">
        <v>1.989333</v>
      </c>
      <c r="G44" s="8"/>
      <c r="H44">
        <v>0.56350199999999995</v>
      </c>
      <c r="I44" s="8"/>
      <c r="J44" s="16">
        <f t="shared" si="6"/>
        <v>4.8097600050634577E-2</v>
      </c>
      <c r="K44" s="16">
        <f t="shared" si="7"/>
        <v>3.4660785951393387E-2</v>
      </c>
      <c r="L44" s="16">
        <f t="shared" si="8"/>
        <v>3.2968236304423262E-2</v>
      </c>
      <c r="N44" s="4">
        <f t="shared" si="5"/>
        <v>0.75963018158805062</v>
      </c>
      <c r="O44" s="15">
        <f t="shared" si="4"/>
        <v>2.1374855927839986</v>
      </c>
    </row>
    <row r="45" spans="1:15" x14ac:dyDescent="0.3">
      <c r="A45">
        <v>1990</v>
      </c>
      <c r="B45">
        <v>5835095</v>
      </c>
      <c r="C45">
        <v>4.9566439999999998</v>
      </c>
      <c r="D45">
        <f t="shared" si="0"/>
        <v>1177226.9705066574</v>
      </c>
      <c r="E45">
        <v>6.1940970000000002</v>
      </c>
      <c r="F45">
        <v>2.0140189999999998</v>
      </c>
      <c r="G45" s="8"/>
      <c r="H45">
        <v>0.56350199999999995</v>
      </c>
      <c r="I45" s="8"/>
      <c r="J45" s="16">
        <f t="shared" si="6"/>
        <v>3.3119781843091993E-2</v>
      </c>
      <c r="K45" s="16">
        <f t="shared" si="7"/>
        <v>3.5635476570077478E-2</v>
      </c>
      <c r="L45" s="16">
        <f t="shared" si="8"/>
        <v>1.7564967591206314E-2</v>
      </c>
      <c r="N45" s="4">
        <f t="shared" si="5"/>
        <v>0.77719514917925692</v>
      </c>
      <c r="O45" s="15">
        <f t="shared" si="4"/>
        <v>2.1753621342330325</v>
      </c>
    </row>
    <row r="46" spans="1:15" x14ac:dyDescent="0.3">
      <c r="A46">
        <v>1991</v>
      </c>
      <c r="B46">
        <v>6013992</v>
      </c>
      <c r="C46">
        <v>5.0449440000000001</v>
      </c>
      <c r="D46">
        <f t="shared" si="0"/>
        <v>1192083.0042910287</v>
      </c>
      <c r="E46">
        <v>6.3761599999999996</v>
      </c>
      <c r="F46">
        <v>1.9877480000000001</v>
      </c>
      <c r="G46" s="8"/>
      <c r="H46">
        <v>0.56350199999999995</v>
      </c>
      <c r="I46" s="8"/>
      <c r="J46" s="16">
        <f t="shared" si="6"/>
        <v>1.2540552850387517E-2</v>
      </c>
      <c r="K46" s="16">
        <f t="shared" si="7"/>
        <v>2.8969293531123007E-2</v>
      </c>
      <c r="L46" s="16">
        <f t="shared" si="8"/>
        <v>-1.0448583736061452E-4</v>
      </c>
      <c r="N46" s="4">
        <f t="shared" si="5"/>
        <v>0.77709066334189625</v>
      </c>
      <c r="O46" s="15">
        <f t="shared" si="4"/>
        <v>2.1751348515729911</v>
      </c>
    </row>
    <row r="47" spans="1:15" x14ac:dyDescent="0.3">
      <c r="A47">
        <v>1992</v>
      </c>
      <c r="B47">
        <v>6370093</v>
      </c>
      <c r="C47">
        <v>5.0573829999999997</v>
      </c>
      <c r="D47">
        <f t="shared" si="0"/>
        <v>1259563.0981477972</v>
      </c>
      <c r="E47">
        <v>6.559717</v>
      </c>
      <c r="F47">
        <v>1.9932829999999999</v>
      </c>
      <c r="G47" s="8"/>
      <c r="H47">
        <v>0.56350199999999995</v>
      </c>
      <c r="I47" s="8"/>
      <c r="J47" s="16">
        <f t="shared" si="6"/>
        <v>5.5062712639692576E-2</v>
      </c>
      <c r="K47" s="16">
        <f t="shared" si="7"/>
        <v>2.8381426505580135E-2</v>
      </c>
      <c r="L47" s="16">
        <f t="shared" si="8"/>
        <v>4.2674276732859853E-2</v>
      </c>
      <c r="N47" s="4">
        <f t="shared" si="5"/>
        <v>0.81976494007475609</v>
      </c>
      <c r="O47" s="15">
        <f t="shared" si="4"/>
        <v>2.2699661967315694</v>
      </c>
    </row>
    <row r="48" spans="1:15" x14ac:dyDescent="0.3">
      <c r="A48">
        <v>1993</v>
      </c>
      <c r="B48">
        <v>6699666</v>
      </c>
      <c r="C48">
        <v>5.128927</v>
      </c>
      <c r="D48">
        <f t="shared" si="0"/>
        <v>1306250.9955786073</v>
      </c>
      <c r="E48">
        <v>6.7839729999999996</v>
      </c>
      <c r="F48">
        <v>2.0386069999999998</v>
      </c>
      <c r="G48" s="8"/>
      <c r="H48">
        <v>0.56350199999999995</v>
      </c>
      <c r="I48" s="8"/>
      <c r="J48" s="16">
        <f t="shared" si="6"/>
        <v>3.6396285565311756E-2</v>
      </c>
      <c r="K48" s="16">
        <f t="shared" si="7"/>
        <v>3.3615456747323573E-2</v>
      </c>
      <c r="L48" s="16">
        <f t="shared" si="8"/>
        <v>2.1723205926018507E-2</v>
      </c>
      <c r="N48" s="4">
        <f t="shared" si="5"/>
        <v>0.8414881460007746</v>
      </c>
      <c r="O48" s="15">
        <f t="shared" si="4"/>
        <v>2.3198166351949729</v>
      </c>
    </row>
    <row r="49" spans="1:15" x14ac:dyDescent="0.3">
      <c r="A49">
        <v>1994</v>
      </c>
      <c r="B49">
        <v>7110672</v>
      </c>
      <c r="C49">
        <v>5.2161289999999996</v>
      </c>
      <c r="D49">
        <f t="shared" si="0"/>
        <v>1363208.6169648028</v>
      </c>
      <c r="E49">
        <v>7.0274169999999998</v>
      </c>
      <c r="F49">
        <v>2.0909010000000001</v>
      </c>
      <c r="G49" s="8"/>
      <c r="H49">
        <v>0.56350199999999995</v>
      </c>
      <c r="I49" s="8"/>
      <c r="J49" s="16">
        <f t="shared" si="6"/>
        <v>4.2679999307085076E-2</v>
      </c>
      <c r="K49" s="16">
        <f t="shared" si="7"/>
        <v>3.5256294456443106E-2</v>
      </c>
      <c r="L49" s="16">
        <f t="shared" si="8"/>
        <v>2.7290697289436571E-2</v>
      </c>
      <c r="N49" s="4">
        <f t="shared" si="5"/>
        <v>0.86877884329021116</v>
      </c>
      <c r="O49" s="15">
        <f t="shared" si="4"/>
        <v>2.3839978403046431</v>
      </c>
    </row>
    <row r="50" spans="1:15" x14ac:dyDescent="0.3">
      <c r="A50">
        <v>1995</v>
      </c>
      <c r="B50">
        <v>7465377</v>
      </c>
      <c r="C50">
        <v>5.3177830000000004</v>
      </c>
      <c r="D50">
        <f t="shared" si="0"/>
        <v>1403851.3794188292</v>
      </c>
      <c r="E50">
        <v>7.3009060000000003</v>
      </c>
      <c r="F50">
        <v>2.1437849999999998</v>
      </c>
      <c r="G50" s="8"/>
      <c r="H50">
        <v>0.56350199999999995</v>
      </c>
      <c r="I50" s="8"/>
      <c r="J50" s="16">
        <f t="shared" si="6"/>
        <v>2.9378246682557507E-2</v>
      </c>
      <c r="K50" s="16">
        <f t="shared" si="7"/>
        <v>3.8179237057133879E-2</v>
      </c>
      <c r="L50" s="16">
        <f t="shared" si="8"/>
        <v>1.2713086065592683E-2</v>
      </c>
      <c r="N50" s="4">
        <f t="shared" si="5"/>
        <v>0.88149192935580389</v>
      </c>
      <c r="O50" s="15">
        <f t="shared" si="4"/>
        <v>2.4144992829523861</v>
      </c>
    </row>
    <row r="51" spans="1:15" x14ac:dyDescent="0.3">
      <c r="A51">
        <v>1996</v>
      </c>
      <c r="B51">
        <v>7884917</v>
      </c>
      <c r="C51">
        <v>5.3339429999999997</v>
      </c>
      <c r="D51">
        <f t="shared" si="0"/>
        <v>1478252.954709115</v>
      </c>
      <c r="E51">
        <v>7.6035519999999996</v>
      </c>
      <c r="F51">
        <v>2.177756</v>
      </c>
      <c r="G51" s="8"/>
      <c r="H51">
        <v>0.56350199999999995</v>
      </c>
      <c r="I51" s="8"/>
      <c r="J51" s="16">
        <f t="shared" si="6"/>
        <v>5.1641509619537312E-2</v>
      </c>
      <c r="K51" s="16">
        <f t="shared" si="7"/>
        <v>4.0617056488306401E-2</v>
      </c>
      <c r="L51" s="16">
        <f t="shared" si="8"/>
        <v>3.3912245696504542E-2</v>
      </c>
      <c r="N51" s="4">
        <f t="shared" si="5"/>
        <v>0.91540417505230842</v>
      </c>
      <c r="O51" s="15">
        <f t="shared" si="4"/>
        <v>2.4977845901338545</v>
      </c>
    </row>
    <row r="52" spans="1:15" x14ac:dyDescent="0.3">
      <c r="A52">
        <v>1997</v>
      </c>
      <c r="B52">
        <v>8384974</v>
      </c>
      <c r="C52">
        <v>5.3525840000000002</v>
      </c>
      <c r="D52">
        <f t="shared" si="0"/>
        <v>1566528.2413129807</v>
      </c>
      <c r="E52">
        <v>7.9690060000000003</v>
      </c>
      <c r="F52">
        <v>2.2414170000000002</v>
      </c>
      <c r="G52" s="8"/>
      <c r="H52">
        <v>0.56350199999999995</v>
      </c>
      <c r="I52" s="8"/>
      <c r="J52" s="16">
        <f t="shared" si="6"/>
        <v>5.8000905030177609E-2</v>
      </c>
      <c r="K52" s="16">
        <f t="shared" si="7"/>
        <v>4.6944260802147954E-2</v>
      </c>
      <c r="L52" s="16">
        <f t="shared" si="8"/>
        <v>3.7509829078561624E-2</v>
      </c>
      <c r="N52" s="4">
        <f t="shared" si="5"/>
        <v>0.95291400413087002</v>
      </c>
      <c r="O52" s="15">
        <f t="shared" si="4"/>
        <v>2.5932554167890314</v>
      </c>
    </row>
    <row r="53" spans="1:15" x14ac:dyDescent="0.3">
      <c r="A53">
        <v>1998</v>
      </c>
      <c r="B53">
        <v>8843244</v>
      </c>
      <c r="C53">
        <v>5.3357210000000004</v>
      </c>
      <c r="D53">
        <f t="shared" si="0"/>
        <v>1657366.2678389668</v>
      </c>
      <c r="E53">
        <v>8.406917</v>
      </c>
      <c r="F53">
        <v>2.30654</v>
      </c>
      <c r="G53" s="8"/>
      <c r="H53">
        <v>0.56350199999999995</v>
      </c>
      <c r="I53" s="8"/>
      <c r="J53" s="16">
        <f t="shared" si="6"/>
        <v>5.6367897233921799E-2</v>
      </c>
      <c r="K53" s="16">
        <f t="shared" si="7"/>
        <v>5.3495052046430971E-2</v>
      </c>
      <c r="L53" s="16">
        <f t="shared" si="8"/>
        <v>3.301741400575877E-2</v>
      </c>
      <c r="N53" s="4">
        <f t="shared" si="5"/>
        <v>0.98593141813662877</v>
      </c>
      <c r="O53" s="15">
        <f t="shared" si="4"/>
        <v>2.6803072088915143</v>
      </c>
    </row>
    <row r="54" spans="1:15" x14ac:dyDescent="0.3">
      <c r="A54">
        <v>1999</v>
      </c>
      <c r="B54">
        <v>9409659</v>
      </c>
      <c r="C54">
        <v>5.3597960000000002</v>
      </c>
      <c r="D54">
        <f t="shared" si="0"/>
        <v>1755600.2131424404</v>
      </c>
      <c r="E54">
        <v>8.9096729999999997</v>
      </c>
      <c r="F54">
        <v>2.350149</v>
      </c>
      <c r="G54" s="8"/>
      <c r="H54">
        <v>0.56350199999999995</v>
      </c>
      <c r="I54" s="8"/>
      <c r="J54" s="16">
        <f t="shared" si="6"/>
        <v>5.7581043469697578E-2</v>
      </c>
      <c r="K54" s="16">
        <f t="shared" si="7"/>
        <v>5.8082721093229678E-2</v>
      </c>
      <c r="L54" s="16">
        <f t="shared" si="8"/>
        <v>3.2228051877945002E-2</v>
      </c>
      <c r="N54" s="4">
        <f t="shared" si="5"/>
        <v>1.0181594700145737</v>
      </c>
      <c r="O54" s="15">
        <f t="shared" si="4"/>
        <v>2.768095310134191</v>
      </c>
    </row>
    <row r="55" spans="1:15" x14ac:dyDescent="0.3">
      <c r="A55">
        <v>2000</v>
      </c>
      <c r="B55" s="1">
        <v>10000000</v>
      </c>
      <c r="C55">
        <v>5.4460949999999997</v>
      </c>
      <c r="D55">
        <f t="shared" si="0"/>
        <v>1836178.0321496413</v>
      </c>
      <c r="E55">
        <v>9.4075469999999992</v>
      </c>
      <c r="F55">
        <v>2.395829</v>
      </c>
      <c r="G55" s="8"/>
      <c r="H55">
        <v>0.56350199999999995</v>
      </c>
      <c r="I55" s="8"/>
      <c r="J55" s="16">
        <f t="shared" si="6"/>
        <v>4.4875454659917734E-2</v>
      </c>
      <c r="K55" s="16">
        <f t="shared" si="7"/>
        <v>5.4374699014250162E-2</v>
      </c>
      <c r="L55" s="16">
        <f t="shared" si="8"/>
        <v>2.1141007289595563E-2</v>
      </c>
      <c r="N55" s="4">
        <f t="shared" si="5"/>
        <v>1.0393004773041694</v>
      </c>
      <c r="O55" s="15">
        <f t="shared" si="4"/>
        <v>2.8272386048904252</v>
      </c>
    </row>
    <row r="56" spans="1:15" x14ac:dyDescent="0.3">
      <c r="A56">
        <v>2001</v>
      </c>
      <c r="B56" s="1">
        <v>10400000</v>
      </c>
      <c r="C56">
        <v>5.4975509999999996</v>
      </c>
      <c r="D56">
        <f t="shared" si="0"/>
        <v>1891751.4362304234</v>
      </c>
      <c r="E56">
        <v>9.8063389999999995</v>
      </c>
      <c r="F56">
        <v>2.3863620000000001</v>
      </c>
      <c r="G56" s="8"/>
      <c r="H56">
        <v>0.56350199999999995</v>
      </c>
      <c r="I56" s="8"/>
      <c r="J56" s="16">
        <f t="shared" si="6"/>
        <v>2.9816830900483451E-2</v>
      </c>
      <c r="K56" s="16">
        <f t="shared" si="7"/>
        <v>4.1516773815713497E-2</v>
      </c>
      <c r="L56" s="16">
        <f t="shared" si="8"/>
        <v>1.1694842163472139E-2</v>
      </c>
      <c r="N56" s="4">
        <f t="shared" si="5"/>
        <v>1.0509953194676416</v>
      </c>
      <c r="O56" s="15">
        <f t="shared" si="4"/>
        <v>2.8604968098039678</v>
      </c>
    </row>
    <row r="57" spans="1:15" x14ac:dyDescent="0.3">
      <c r="A57">
        <v>2002</v>
      </c>
      <c r="B57" s="1">
        <v>10700000</v>
      </c>
      <c r="C57">
        <v>5.5199379999999998</v>
      </c>
      <c r="D57">
        <f t="shared" si="0"/>
        <v>1938427.5692951623</v>
      </c>
      <c r="E57">
        <v>10.08292</v>
      </c>
      <c r="F57">
        <v>2.372744</v>
      </c>
      <c r="G57" s="8"/>
      <c r="H57">
        <v>0.56350199999999995</v>
      </c>
      <c r="I57" s="8"/>
      <c r="J57" s="16">
        <f t="shared" si="6"/>
        <v>2.4374027326479621E-2</v>
      </c>
      <c r="K57" s="16">
        <f t="shared" si="7"/>
        <v>2.7813889930512082E-2</v>
      </c>
      <c r="L57" s="16">
        <f t="shared" si="8"/>
        <v>1.2233319999590956E-2</v>
      </c>
      <c r="N57" s="4">
        <f t="shared" si="5"/>
        <v>1.0632286394672326</v>
      </c>
      <c r="O57" s="15">
        <f t="shared" si="4"/>
        <v>2.8957051006929353</v>
      </c>
    </row>
    <row r="58" spans="1:15" x14ac:dyDescent="0.3">
      <c r="A58">
        <v>2003</v>
      </c>
      <c r="B58" s="1">
        <v>11200000</v>
      </c>
      <c r="C58">
        <v>5.5724349999999996</v>
      </c>
      <c r="D58">
        <f t="shared" si="0"/>
        <v>2009893.3410618519</v>
      </c>
      <c r="E58">
        <v>10.36509</v>
      </c>
      <c r="F58">
        <v>2.36835</v>
      </c>
      <c r="G58" s="8"/>
      <c r="H58">
        <v>0.56350199999999995</v>
      </c>
      <c r="I58" s="8"/>
      <c r="J58" s="16">
        <f t="shared" si="6"/>
        <v>3.6204543388707676E-2</v>
      </c>
      <c r="K58" s="16">
        <f t="shared" si="7"/>
        <v>2.760052568504321E-2</v>
      </c>
      <c r="L58" s="16">
        <f t="shared" si="8"/>
        <v>2.4156969128237685E-2</v>
      </c>
      <c r="N58" s="4">
        <f t="shared" si="5"/>
        <v>1.0873856085954703</v>
      </c>
      <c r="O58" s="15">
        <f t="shared" si="4"/>
        <v>2.9665083117854292</v>
      </c>
    </row>
    <row r="59" spans="1:15" x14ac:dyDescent="0.3">
      <c r="A59">
        <v>2004</v>
      </c>
      <c r="B59" s="1">
        <v>12000000</v>
      </c>
      <c r="C59">
        <v>5.7374169999999998</v>
      </c>
      <c r="D59">
        <f t="shared" si="0"/>
        <v>2091533.5245808349</v>
      </c>
      <c r="E59">
        <v>10.68078</v>
      </c>
      <c r="F59">
        <v>2.3992339999999999</v>
      </c>
      <c r="G59" s="8"/>
      <c r="H59">
        <v>0.56350199999999995</v>
      </c>
      <c r="I59" s="8"/>
      <c r="J59" s="16">
        <f t="shared" si="6"/>
        <v>3.9815884222210232E-2</v>
      </c>
      <c r="K59" s="16">
        <f t="shared" si="7"/>
        <v>3.0002435655019904E-2</v>
      </c>
      <c r="L59" s="16">
        <f t="shared" si="8"/>
        <v>2.6719881063665352E-2</v>
      </c>
      <c r="N59" s="4">
        <f t="shared" si="5"/>
        <v>1.1141054896591356</v>
      </c>
      <c r="O59" s="15">
        <f t="shared" si="4"/>
        <v>3.0468415286016142</v>
      </c>
    </row>
    <row r="60" spans="1:15" x14ac:dyDescent="0.3">
      <c r="A60">
        <v>2005</v>
      </c>
      <c r="B60" s="1">
        <v>12800000</v>
      </c>
      <c r="C60">
        <v>5.9841699999999998</v>
      </c>
      <c r="D60">
        <f t="shared" si="0"/>
        <v>2138976.6667725015</v>
      </c>
      <c r="E60">
        <v>11.027340000000001</v>
      </c>
      <c r="F60">
        <v>2.4361969999999999</v>
      </c>
      <c r="G60" s="8"/>
      <c r="H60">
        <v>0.56350199999999995</v>
      </c>
      <c r="I60" s="8"/>
      <c r="J60" s="16">
        <f t="shared" si="6"/>
        <v>2.2429980829106359E-2</v>
      </c>
      <c r="K60" s="16">
        <f t="shared" si="7"/>
        <v>3.1931779137024552E-2</v>
      </c>
      <c r="L60" s="16">
        <f t="shared" si="8"/>
        <v>8.4918230993534134E-3</v>
      </c>
      <c r="N60" s="4">
        <f t="shared" si="5"/>
        <v>1.122597312758489</v>
      </c>
      <c r="O60" s="15">
        <f t="shared" si="4"/>
        <v>3.0728249349787728</v>
      </c>
    </row>
    <row r="61" spans="1:15" x14ac:dyDescent="0.3">
      <c r="A61">
        <v>2006</v>
      </c>
      <c r="B61" s="1">
        <v>13500000</v>
      </c>
      <c r="C61">
        <v>6.2032249999999998</v>
      </c>
      <c r="D61">
        <f t="shared" si="0"/>
        <v>2176287.3344107298</v>
      </c>
      <c r="E61">
        <v>11.39472</v>
      </c>
      <c r="F61">
        <v>2.5069979999999998</v>
      </c>
      <c r="G61" s="8"/>
      <c r="H61">
        <v>0.56350199999999995</v>
      </c>
      <c r="I61" s="8"/>
      <c r="J61" s="16">
        <f t="shared" si="6"/>
        <v>1.7292845773987774E-2</v>
      </c>
      <c r="K61" s="16">
        <f t="shared" si="7"/>
        <v>3.2772446504858284E-2</v>
      </c>
      <c r="L61" s="16">
        <f t="shared" si="8"/>
        <v>2.9877384195101421E-3</v>
      </c>
      <c r="N61" s="4">
        <f t="shared" si="5"/>
        <v>1.125585051177999</v>
      </c>
      <c r="O61" s="15">
        <f t="shared" si="4"/>
        <v>3.082019460672631</v>
      </c>
    </row>
    <row r="62" spans="1:15" x14ac:dyDescent="0.3">
      <c r="A62">
        <v>2007</v>
      </c>
      <c r="B62" s="1">
        <v>14100000</v>
      </c>
      <c r="C62">
        <v>6.3338739999999998</v>
      </c>
      <c r="D62">
        <f t="shared" si="0"/>
        <v>2226125.7486334587</v>
      </c>
      <c r="E62">
        <v>11.674239999999999</v>
      </c>
      <c r="F62">
        <v>2.5517029999999998</v>
      </c>
      <c r="G62" s="8"/>
      <c r="H62">
        <v>0.56350199999999995</v>
      </c>
      <c r="I62" s="8"/>
      <c r="J62" s="16">
        <f t="shared" si="6"/>
        <v>2.2642374768410859E-2</v>
      </c>
      <c r="K62" s="16">
        <f t="shared" si="7"/>
        <v>2.4234614861392459E-2</v>
      </c>
      <c r="L62" s="16">
        <f t="shared" si="8"/>
        <v>1.2064013850642772E-2</v>
      </c>
      <c r="N62" s="4">
        <f t="shared" si="5"/>
        <v>1.1376490650286417</v>
      </c>
      <c r="O62" s="15">
        <f t="shared" si="4"/>
        <v>3.1194261699824666</v>
      </c>
    </row>
    <row r="63" spans="1:15" x14ac:dyDescent="0.3">
      <c r="A63">
        <v>2008</v>
      </c>
      <c r="B63" s="1">
        <v>14400000</v>
      </c>
      <c r="C63">
        <v>6.4182589999999999</v>
      </c>
      <c r="D63">
        <f t="shared" si="0"/>
        <v>2243599.08193172</v>
      </c>
      <c r="E63">
        <v>11.99663</v>
      </c>
      <c r="F63">
        <v>2.5428440000000001</v>
      </c>
      <c r="G63" s="8"/>
      <c r="H63">
        <v>0.56350199999999995</v>
      </c>
      <c r="I63" s="8"/>
      <c r="J63" s="16">
        <f t="shared" si="6"/>
        <v>7.8185673492685275E-3</v>
      </c>
      <c r="K63" s="16">
        <f t="shared" si="7"/>
        <v>2.7241071937243951E-2</v>
      </c>
      <c r="L63" s="16">
        <f t="shared" si="8"/>
        <v>-4.0721060691945848E-3</v>
      </c>
      <c r="N63" s="4">
        <f t="shared" si="5"/>
        <v>1.1335769589594471</v>
      </c>
      <c r="O63" s="15">
        <f t="shared" si="4"/>
        <v>3.1067493639100281</v>
      </c>
    </row>
    <row r="64" spans="1:15" x14ac:dyDescent="0.3">
      <c r="A64">
        <v>2009</v>
      </c>
      <c r="B64" s="1">
        <v>14100000</v>
      </c>
      <c r="C64">
        <v>6.3706670000000001</v>
      </c>
      <c r="D64">
        <f t="shared" si="0"/>
        <v>2213269.0344668776</v>
      </c>
      <c r="E64">
        <v>12.125389999999999</v>
      </c>
      <c r="F64">
        <v>2.4314420000000001</v>
      </c>
      <c r="G64" s="8"/>
      <c r="H64">
        <v>0.56350199999999995</v>
      </c>
      <c r="I64" s="8"/>
      <c r="J64" s="16">
        <f t="shared" si="6"/>
        <v>-1.3610685752106571E-2</v>
      </c>
      <c r="K64" s="16">
        <f t="shared" si="7"/>
        <v>1.0675824241117664E-2</v>
      </c>
      <c r="L64" s="16">
        <f t="shared" si="8"/>
        <v>-1.8270661681705949E-2</v>
      </c>
      <c r="N64" s="4">
        <f t="shared" si="5"/>
        <v>1.1153062972777412</v>
      </c>
      <c r="O64" s="15">
        <f t="shared" si="4"/>
        <v>3.0505023966810874</v>
      </c>
    </row>
    <row r="65" spans="1:15" x14ac:dyDescent="0.3">
      <c r="A65">
        <v>2010</v>
      </c>
      <c r="B65" s="1">
        <v>14600000</v>
      </c>
      <c r="C65">
        <v>6.3064039999999997</v>
      </c>
      <c r="D65">
        <f t="shared" si="0"/>
        <v>2315106.9928282425</v>
      </c>
      <c r="E65">
        <v>12.15888</v>
      </c>
      <c r="F65">
        <v>2.431737</v>
      </c>
      <c r="G65" s="8"/>
      <c r="H65">
        <v>0.56350199999999995</v>
      </c>
      <c r="I65" s="8"/>
      <c r="J65" s="16">
        <f t="shared" si="6"/>
        <v>4.4985279969062188E-2</v>
      </c>
      <c r="K65" s="16">
        <f t="shared" si="7"/>
        <v>2.7581657781931669E-3</v>
      </c>
      <c r="L65" s="16">
        <f t="shared" si="8"/>
        <v>4.3781346123212425E-2</v>
      </c>
      <c r="N65" s="4">
        <f t="shared" si="5"/>
        <v>1.1590876434009536</v>
      </c>
      <c r="O65" s="15">
        <f t="shared" si="4"/>
        <v>3.1870242466790928</v>
      </c>
    </row>
    <row r="66" spans="1:15" x14ac:dyDescent="0.3">
      <c r="A66">
        <v>2011</v>
      </c>
      <c r="B66" s="1">
        <v>15100000</v>
      </c>
      <c r="C66">
        <v>6.3955149999999996</v>
      </c>
      <c r="D66">
        <f t="shared" si="0"/>
        <v>2361029.5652500228</v>
      </c>
      <c r="E66">
        <v>12.27711</v>
      </c>
      <c r="F66">
        <v>2.4856660000000002</v>
      </c>
      <c r="G66" s="8"/>
      <c r="H66">
        <v>0.56350199999999995</v>
      </c>
      <c r="I66" s="8"/>
      <c r="J66" s="16">
        <f t="shared" si="6"/>
        <v>1.9641876692569744E-2</v>
      </c>
      <c r="K66" s="16">
        <f t="shared" si="7"/>
        <v>9.6767859692609131E-3</v>
      </c>
      <c r="L66" s="16">
        <f t="shared" si="8"/>
        <v>1.5417978970559293E-2</v>
      </c>
      <c r="N66" s="4">
        <f t="shared" si="5"/>
        <v>1.1745056223715129</v>
      </c>
      <c r="O66" s="15">
        <f t="shared" si="4"/>
        <v>3.2365424740595081</v>
      </c>
    </row>
    <row r="67" spans="1:15" x14ac:dyDescent="0.3">
      <c r="A67">
        <v>2012</v>
      </c>
      <c r="B67" s="1">
        <v>15800000</v>
      </c>
      <c r="C67">
        <v>6.4935080000000003</v>
      </c>
      <c r="D67">
        <f t="shared" ref="D67:D72" si="9">B67/C67</f>
        <v>2433199.435497731</v>
      </c>
      <c r="E67">
        <v>12.420249999999999</v>
      </c>
      <c r="F67">
        <v>2.5379429999999998</v>
      </c>
      <c r="G67" s="8"/>
      <c r="H67">
        <v>0.56350199999999995</v>
      </c>
      <c r="I67" s="8"/>
      <c r="J67" s="16">
        <f t="shared" ref="J67:J72" si="10">LN(D67/D66)</f>
        <v>3.0109251097230661E-2</v>
      </c>
      <c r="K67" s="16">
        <f t="shared" ref="K67:K72" si="11">LN(E67/E66)</f>
        <v>1.1591652125053521E-2</v>
      </c>
      <c r="L67" s="16">
        <f t="shared" ref="L67:L72" si="12">J67-(1-H67)*K67</f>
        <v>2.5049518127949047E-2</v>
      </c>
      <c r="N67" s="4">
        <f t="shared" si="5"/>
        <v>1.199555140499462</v>
      </c>
      <c r="O67" s="15">
        <f t="shared" ref="O67:O71" si="13">EXP(N67)</f>
        <v>3.3186402656573888</v>
      </c>
    </row>
    <row r="68" spans="1:15" x14ac:dyDescent="0.3">
      <c r="A68">
        <v>2013</v>
      </c>
      <c r="B68" s="1">
        <v>16300000</v>
      </c>
      <c r="C68">
        <v>6.5669510000000004</v>
      </c>
      <c r="D68">
        <f t="shared" si="9"/>
        <v>2482126.0277410322</v>
      </c>
      <c r="E68">
        <v>12.610139999999999</v>
      </c>
      <c r="F68">
        <v>2.5907659999999999</v>
      </c>
      <c r="G68" s="8"/>
      <c r="H68">
        <v>0.56350199999999995</v>
      </c>
      <c r="I68" s="8"/>
      <c r="J68" s="16">
        <f t="shared" si="10"/>
        <v>1.9908430717453424E-2</v>
      </c>
      <c r="K68" s="16">
        <f t="shared" si="11"/>
        <v>1.5173047087732851E-2</v>
      </c>
      <c r="L68" s="16">
        <f t="shared" si="12"/>
        <v>1.3285426009752209E-2</v>
      </c>
      <c r="N68" s="4">
        <f t="shared" ref="N68:N71" si="14">N67+L68</f>
        <v>1.2128405665092141</v>
      </c>
      <c r="O68" s="15">
        <f t="shared" si="13"/>
        <v>3.3630239908904596</v>
      </c>
    </row>
    <row r="69" spans="1:15" x14ac:dyDescent="0.3">
      <c r="A69">
        <v>2014</v>
      </c>
      <c r="B69" s="1">
        <v>17000000</v>
      </c>
      <c r="C69">
        <v>6.6992409999999998</v>
      </c>
      <c r="D69">
        <f t="shared" si="9"/>
        <v>2537600.9013558403</v>
      </c>
      <c r="E69">
        <v>12.81054</v>
      </c>
      <c r="F69">
        <v>2.6348669999999998</v>
      </c>
      <c r="G69" s="8"/>
      <c r="H69">
        <v>0.56350199999999995</v>
      </c>
      <c r="I69" s="8"/>
      <c r="J69" s="16">
        <f t="shared" si="10"/>
        <v>2.2103645476561178E-2</v>
      </c>
      <c r="K69" s="16">
        <f t="shared" si="11"/>
        <v>1.5767017371948706E-2</v>
      </c>
      <c r="L69" s="16">
        <f t="shared" si="12"/>
        <v>1.5221373927740312E-2</v>
      </c>
      <c r="N69" s="4">
        <f t="shared" si="14"/>
        <v>1.2280619404369544</v>
      </c>
      <c r="O69" s="15">
        <f t="shared" si="13"/>
        <v>3.4146054107178414</v>
      </c>
    </row>
    <row r="70" spans="1:15" x14ac:dyDescent="0.3">
      <c r="A70">
        <v>2015</v>
      </c>
      <c r="B70" s="1">
        <v>17600000</v>
      </c>
      <c r="C70">
        <v>6.7538489999999998</v>
      </c>
      <c r="D70">
        <f t="shared" si="9"/>
        <v>2605921.4530854924</v>
      </c>
      <c r="E70">
        <v>13.25835</v>
      </c>
      <c r="F70">
        <v>2.6971340000000001</v>
      </c>
      <c r="G70" s="8"/>
      <c r="H70">
        <v>0.56350199999999995</v>
      </c>
      <c r="I70" s="8"/>
      <c r="J70" s="16">
        <f t="shared" si="10"/>
        <v>2.6567229793904926E-2</v>
      </c>
      <c r="K70" s="16">
        <f t="shared" si="11"/>
        <v>3.435927303906653E-2</v>
      </c>
      <c r="L70" s="16">
        <f t="shared" si="12"/>
        <v>1.1569475830898462E-2</v>
      </c>
      <c r="N70" s="4">
        <f t="shared" si="14"/>
        <v>1.2396314162678528</v>
      </c>
      <c r="O70" s="15">
        <f t="shared" si="13"/>
        <v>3.4543400165555385</v>
      </c>
    </row>
    <row r="71" spans="1:15" x14ac:dyDescent="0.3">
      <c r="A71">
        <v>2016</v>
      </c>
      <c r="B71" s="1">
        <v>18000000</v>
      </c>
      <c r="C71">
        <v>6.7654100000000001</v>
      </c>
      <c r="D71">
        <f t="shared" si="9"/>
        <v>2660592.6322277584</v>
      </c>
      <c r="E71">
        <v>13.81265</v>
      </c>
      <c r="F71">
        <v>2.7511019999999999</v>
      </c>
      <c r="G71" s="8"/>
      <c r="H71">
        <v>0.56350199999999995</v>
      </c>
      <c r="I71" s="8"/>
      <c r="J71" s="16">
        <f t="shared" si="10"/>
        <v>2.0762554596920342E-2</v>
      </c>
      <c r="K71" s="16">
        <f t="shared" si="11"/>
        <v>4.0957296321536593E-2</v>
      </c>
      <c r="L71" s="16">
        <f t="shared" si="12"/>
        <v>2.8847766671622616E-3</v>
      </c>
      <c r="N71" s="4">
        <f t="shared" si="14"/>
        <v>1.242516192935015</v>
      </c>
      <c r="O71" s="15">
        <f t="shared" si="13"/>
        <v>3.4643194032660594</v>
      </c>
    </row>
    <row r="72" spans="1:15" x14ac:dyDescent="0.3">
      <c r="A72">
        <v>2017</v>
      </c>
      <c r="B72" s="1">
        <v>18800000</v>
      </c>
      <c r="C72">
        <v>6.8795140000000004</v>
      </c>
      <c r="D72">
        <f t="shared" si="9"/>
        <v>2732751.1798071782</v>
      </c>
      <c r="E72">
        <v>14.540050000000001</v>
      </c>
      <c r="F72">
        <v>2.7782360000000001</v>
      </c>
      <c r="G72" s="8"/>
      <c r="H72">
        <v>0.56350199999999995</v>
      </c>
      <c r="I72" s="8"/>
      <c r="J72" s="16">
        <f t="shared" si="10"/>
        <v>2.6759967871344163E-2</v>
      </c>
      <c r="K72" s="16">
        <f t="shared" si="11"/>
        <v>5.1322071941494886E-2</v>
      </c>
      <c r="L72" s="16">
        <f t="shared" si="12"/>
        <v>4.3579861130255242E-3</v>
      </c>
      <c r="N72" s="4">
        <f>N71+L72</f>
        <v>1.2468741790480407</v>
      </c>
      <c r="O72" s="15">
        <f>EXP(N72)</f>
        <v>3.4794498042087469</v>
      </c>
    </row>
    <row r="74" spans="1:15" x14ac:dyDescent="0.3">
      <c r="B74" s="15"/>
      <c r="D74" s="15">
        <f>LN(D72/D35)</f>
        <v>1.289211687772239</v>
      </c>
      <c r="E74" s="15">
        <f>LN(E72/E35)</f>
        <v>1.2525506808934905</v>
      </c>
      <c r="F74" s="15">
        <f>LN(F72/F35)</f>
        <v>0.51388174558431932</v>
      </c>
      <c r="G74" s="15"/>
      <c r="I74" s="15"/>
      <c r="O74" s="15">
        <f>LN(O72/O35)</f>
        <v>0.74247582066359152</v>
      </c>
    </row>
    <row r="75" spans="1:15" x14ac:dyDescent="0.3">
      <c r="B75" s="4"/>
      <c r="D75" s="4">
        <f>D74/($A$72-$A$35)</f>
        <v>3.4843559128979434E-2</v>
      </c>
      <c r="E75" s="4">
        <f>E74/($A$72-$A$35)</f>
        <v>3.3852721105229473E-2</v>
      </c>
      <c r="F75" s="4">
        <f>F74/($A$72-$A$35)</f>
        <v>1.3888695826603225E-2</v>
      </c>
      <c r="G75" s="4"/>
      <c r="H75" s="4">
        <f>D75-(1-H72)*E75-H72*F75</f>
        <v>1.2240606196306406E-2</v>
      </c>
      <c r="I75" s="4"/>
      <c r="O75" s="15">
        <f>O74/($A$72-$A$35)</f>
        <v>2.0066914071988962E-2</v>
      </c>
    </row>
    <row r="76" spans="1:15" x14ac:dyDescent="0.3">
      <c r="H76" s="4">
        <f>H75/H72</f>
        <v>2.1722382877623164E-2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TFP_NoL_Good</vt:lpstr>
      <vt:lpstr>TFP_NoL_Serv</vt:lpstr>
      <vt:lpstr>TFP_NoL_Tot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</dc:creator>
  <cp:lastModifiedBy>Juan Vizcaino (staff)</cp:lastModifiedBy>
  <dcterms:created xsi:type="dcterms:W3CDTF">2015-06-05T18:17:20Z</dcterms:created>
  <dcterms:modified xsi:type="dcterms:W3CDTF">2025-04-05T15:38:34Z</dcterms:modified>
</cp:coreProperties>
</file>