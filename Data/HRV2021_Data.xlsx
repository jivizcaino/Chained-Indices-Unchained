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cho\Dropbox\Omar&amp;Nacho\Baqaee_Burstein\Note on Structural Change\Data\"/>
    </mc:Choice>
  </mc:AlternateContent>
  <xr:revisionPtr revIDLastSave="0" documentId="13_ncr:1_{69A34632-6B9D-4BBA-A364-C81235302CC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Variables" sheetId="2" r:id="rId1"/>
    <sheet name="Data" sheetId="1" r:id="rId2"/>
    <sheet name="Sheet1" sheetId="11" r:id="rId3"/>
    <sheet name="Sheet2" sheetId="12" r:id="rId4"/>
    <sheet name="TFP_Tot" sheetId="6" r:id="rId5"/>
    <sheet name="calA_X_TD" sheetId="10" r:id="rId6"/>
    <sheet name="TFP_Goods" sheetId="7" r:id="rId7"/>
    <sheet name="TFP_Serv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6" i="12" l="1"/>
  <c r="BR36" i="12" s="1"/>
  <c r="BQ3" i="12"/>
  <c r="BR3" i="12" s="1"/>
  <c r="BR4" i="12"/>
  <c r="BR5" i="12"/>
  <c r="BR6" i="12"/>
  <c r="BR7" i="12"/>
  <c r="BR8" i="12"/>
  <c r="BR9" i="12"/>
  <c r="BR10" i="12"/>
  <c r="BR11" i="12"/>
  <c r="BR12" i="12"/>
  <c r="BR13" i="12"/>
  <c r="BR14" i="12"/>
  <c r="BR15" i="12"/>
  <c r="BR16" i="12"/>
  <c r="BR17" i="12"/>
  <c r="BR18" i="12"/>
  <c r="BR19" i="12"/>
  <c r="BR20" i="12"/>
  <c r="BR21" i="12"/>
  <c r="BR22" i="12"/>
  <c r="BR23" i="12"/>
  <c r="BR24" i="12"/>
  <c r="BR25" i="12"/>
  <c r="BR26" i="12"/>
  <c r="BR27" i="12"/>
  <c r="BR28" i="12"/>
  <c r="BR29" i="12"/>
  <c r="BR30" i="12"/>
  <c r="BR31" i="12"/>
  <c r="BR32" i="12"/>
  <c r="BR33" i="12"/>
  <c r="BR34" i="12"/>
  <c r="BR35" i="12"/>
  <c r="BR37" i="12"/>
  <c r="BR38" i="12"/>
  <c r="BR39" i="12"/>
  <c r="BR40" i="12"/>
  <c r="BR41" i="12"/>
  <c r="BR42" i="12"/>
  <c r="BR43" i="12"/>
  <c r="BR44" i="12"/>
  <c r="BR45" i="12"/>
  <c r="BR46" i="12"/>
  <c r="BR47" i="12"/>
  <c r="BR48" i="12"/>
  <c r="BR49" i="12"/>
  <c r="BR50" i="12"/>
  <c r="BR51" i="12"/>
  <c r="BR52" i="12"/>
  <c r="BR53" i="12"/>
  <c r="BR54" i="12"/>
  <c r="BR55" i="12"/>
  <c r="BR56" i="12"/>
  <c r="BR57" i="12"/>
  <c r="BR58" i="12"/>
  <c r="BR59" i="12"/>
  <c r="BR60" i="12"/>
  <c r="BR61" i="12"/>
  <c r="BR62" i="12"/>
  <c r="BR63" i="12"/>
  <c r="BR64" i="12"/>
  <c r="BR65" i="12"/>
  <c r="BR66" i="12"/>
  <c r="BR67" i="12"/>
  <c r="BR68" i="12"/>
  <c r="BR69" i="12"/>
  <c r="BR70" i="12"/>
  <c r="BR71" i="12"/>
  <c r="BR72" i="12"/>
  <c r="BR73" i="12"/>
  <c r="BR74" i="12"/>
  <c r="BR75" i="12"/>
  <c r="BR76" i="12"/>
  <c r="BR77" i="12"/>
  <c r="BR78" i="12"/>
  <c r="BR2" i="12"/>
  <c r="BQ4" i="12"/>
  <c r="BQ5" i="12"/>
  <c r="BQ6" i="12"/>
  <c r="BQ7" i="12"/>
  <c r="BQ8" i="12"/>
  <c r="BQ9" i="12"/>
  <c r="BQ10" i="12"/>
  <c r="BQ11" i="12"/>
  <c r="BQ12" i="12"/>
  <c r="BQ13" i="12"/>
  <c r="BQ14" i="12"/>
  <c r="BQ15" i="12"/>
  <c r="BQ16" i="12"/>
  <c r="BQ17" i="12"/>
  <c r="BQ18" i="12"/>
  <c r="BQ19" i="12"/>
  <c r="BQ20" i="12"/>
  <c r="BQ21" i="12"/>
  <c r="BQ22" i="12"/>
  <c r="BQ23" i="12"/>
  <c r="BQ24" i="12"/>
  <c r="BQ25" i="12"/>
  <c r="BQ26" i="12"/>
  <c r="BQ27" i="12"/>
  <c r="BQ28" i="12"/>
  <c r="BQ29" i="12"/>
  <c r="BQ30" i="12"/>
  <c r="BQ31" i="12"/>
  <c r="BQ32" i="12"/>
  <c r="BQ33" i="12"/>
  <c r="BQ34" i="12"/>
  <c r="BQ35" i="12"/>
  <c r="BQ37" i="12"/>
  <c r="BQ38" i="12"/>
  <c r="BQ39" i="12"/>
  <c r="BQ40" i="12"/>
  <c r="BQ41" i="12"/>
  <c r="BQ42" i="12"/>
  <c r="BQ43" i="12"/>
  <c r="BQ44" i="12"/>
  <c r="BQ45" i="12"/>
  <c r="BQ46" i="12"/>
  <c r="BQ47" i="12"/>
  <c r="BQ48" i="12"/>
  <c r="BQ49" i="12"/>
  <c r="BQ50" i="12"/>
  <c r="BQ51" i="12"/>
  <c r="BQ52" i="12"/>
  <c r="BQ53" i="12"/>
  <c r="BQ54" i="12"/>
  <c r="BQ55" i="12"/>
  <c r="BQ56" i="12"/>
  <c r="BQ57" i="12"/>
  <c r="BQ58" i="12"/>
  <c r="BQ59" i="12"/>
  <c r="BQ60" i="12"/>
  <c r="BQ61" i="12"/>
  <c r="BQ62" i="12"/>
  <c r="BQ63" i="12"/>
  <c r="BQ64" i="12"/>
  <c r="BQ65" i="12"/>
  <c r="BQ66" i="12"/>
  <c r="BQ67" i="12"/>
  <c r="BQ68" i="12"/>
  <c r="BQ69" i="12"/>
  <c r="BQ70" i="12"/>
  <c r="BQ71" i="12"/>
  <c r="BQ72" i="12"/>
  <c r="BQ73" i="12"/>
  <c r="BQ74" i="12"/>
  <c r="BQ75" i="12"/>
  <c r="BQ76" i="12"/>
  <c r="BQ77" i="12"/>
  <c r="BQ78" i="12"/>
  <c r="BQ2" i="12"/>
  <c r="R35" i="12"/>
  <c r="J88" i="11"/>
  <c r="I88" i="11"/>
  <c r="H88" i="11"/>
  <c r="J87" i="11"/>
  <c r="I87" i="11"/>
  <c r="H87" i="11"/>
  <c r="J86" i="11"/>
  <c r="I86" i="11"/>
  <c r="H86" i="11"/>
  <c r="J85" i="11"/>
  <c r="I85" i="11"/>
  <c r="H85" i="11"/>
  <c r="J84" i="11"/>
  <c r="I84" i="11"/>
  <c r="H84" i="11"/>
  <c r="J83" i="11"/>
  <c r="I83" i="11"/>
  <c r="H83" i="11"/>
  <c r="J82" i="11"/>
  <c r="I82" i="11"/>
  <c r="H82" i="11"/>
  <c r="AT87" i="1"/>
  <c r="D81" i="1"/>
  <c r="B80" i="8"/>
  <c r="B80" i="7"/>
  <c r="E74" i="11"/>
  <c r="F74" i="11"/>
  <c r="G74" i="11"/>
  <c r="E75" i="11"/>
  <c r="F75" i="11"/>
  <c r="G75" i="11"/>
  <c r="E76" i="11"/>
  <c r="F76" i="11"/>
  <c r="I76" i="11" s="1"/>
  <c r="G76" i="11"/>
  <c r="E77" i="11"/>
  <c r="F77" i="11"/>
  <c r="G77" i="11"/>
  <c r="E78" i="11"/>
  <c r="F78" i="11"/>
  <c r="G78" i="11"/>
  <c r="J78" i="11" s="1"/>
  <c r="H78" i="11"/>
  <c r="I78" i="11"/>
  <c r="E79" i="11"/>
  <c r="F79" i="11"/>
  <c r="G79" i="11"/>
  <c r="H79" i="11"/>
  <c r="J75" i="11" l="1"/>
  <c r="I79" i="11"/>
  <c r="J76" i="11"/>
  <c r="J79" i="11"/>
  <c r="J77" i="11"/>
  <c r="I77" i="11"/>
  <c r="H77" i="11"/>
  <c r="M79" i="11"/>
  <c r="H75" i="11"/>
  <c r="H76" i="11"/>
  <c r="I75" i="11"/>
  <c r="AT82" i="1"/>
  <c r="AM83" i="1"/>
  <c r="AO83" i="1"/>
  <c r="AM82" i="1"/>
  <c r="AM81" i="1"/>
  <c r="AQ81" i="1"/>
  <c r="AO81" i="1"/>
  <c r="AL80" i="12"/>
  <c r="AK80" i="12"/>
  <c r="AL79" i="12"/>
  <c r="AK79" i="12"/>
  <c r="AL78" i="12"/>
  <c r="AB35" i="12"/>
  <c r="Y35" i="12"/>
  <c r="R36" i="12"/>
  <c r="S36" i="12"/>
  <c r="R37" i="12"/>
  <c r="S37" i="12"/>
  <c r="R38" i="12"/>
  <c r="S38" i="12"/>
  <c r="R39" i="12"/>
  <c r="S39" i="12"/>
  <c r="R40" i="12"/>
  <c r="S40" i="12"/>
  <c r="R41" i="12"/>
  <c r="S41" i="12"/>
  <c r="R42" i="12"/>
  <c r="S42" i="12"/>
  <c r="R43" i="12"/>
  <c r="S43" i="12"/>
  <c r="R44" i="12"/>
  <c r="S44" i="12"/>
  <c r="R45" i="12"/>
  <c r="S45" i="12"/>
  <c r="R46" i="12"/>
  <c r="S46" i="12"/>
  <c r="R47" i="12"/>
  <c r="S47" i="12"/>
  <c r="R48" i="12"/>
  <c r="S48" i="12"/>
  <c r="R49" i="12"/>
  <c r="S49" i="12"/>
  <c r="R50" i="12"/>
  <c r="S50" i="12"/>
  <c r="R51" i="12"/>
  <c r="S51" i="12"/>
  <c r="R52" i="12"/>
  <c r="S52" i="12"/>
  <c r="R53" i="12"/>
  <c r="S53" i="12"/>
  <c r="R54" i="12"/>
  <c r="S54" i="12"/>
  <c r="R55" i="12"/>
  <c r="S55" i="12"/>
  <c r="R56" i="12"/>
  <c r="S56" i="12"/>
  <c r="R57" i="12"/>
  <c r="S57" i="12"/>
  <c r="R58" i="12"/>
  <c r="S58" i="12"/>
  <c r="R59" i="12"/>
  <c r="S59" i="12"/>
  <c r="R60" i="12"/>
  <c r="S60" i="12"/>
  <c r="R61" i="12"/>
  <c r="S61" i="12"/>
  <c r="R62" i="12"/>
  <c r="S62" i="12"/>
  <c r="R63" i="12"/>
  <c r="S63" i="12"/>
  <c r="R64" i="12"/>
  <c r="S64" i="12"/>
  <c r="R65" i="12"/>
  <c r="S65" i="12"/>
  <c r="R66" i="12"/>
  <c r="S66" i="12"/>
  <c r="R67" i="12"/>
  <c r="S67" i="12"/>
  <c r="R68" i="12"/>
  <c r="S68" i="12"/>
  <c r="R69" i="12"/>
  <c r="S69" i="12"/>
  <c r="R70" i="12"/>
  <c r="S70" i="12"/>
  <c r="R71" i="12"/>
  <c r="S71" i="12"/>
  <c r="R72" i="12"/>
  <c r="S72" i="12"/>
  <c r="R73" i="12"/>
  <c r="S73" i="12"/>
  <c r="R74" i="12"/>
  <c r="S74" i="12"/>
  <c r="R75" i="12"/>
  <c r="S75" i="12"/>
  <c r="R76" i="12"/>
  <c r="S76" i="12"/>
  <c r="R77" i="12"/>
  <c r="S77" i="12"/>
  <c r="R78" i="12"/>
  <c r="S78" i="12"/>
  <c r="S35" i="12"/>
  <c r="AL35" i="12"/>
  <c r="AK35" i="12"/>
  <c r="AJ36" i="12"/>
  <c r="AO35" i="12"/>
  <c r="AI36" i="12"/>
  <c r="AH36" i="12"/>
  <c r="AH37" i="12" s="1"/>
  <c r="AH38" i="12" s="1"/>
  <c r="AH39" i="12" s="1"/>
  <c r="AH40" i="12" s="1"/>
  <c r="AH41" i="12" s="1"/>
  <c r="AH42" i="12" s="1"/>
  <c r="AH43" i="12" s="1"/>
  <c r="AH44" i="12" s="1"/>
  <c r="AH45" i="12" s="1"/>
  <c r="AH46" i="12" s="1"/>
  <c r="AH47" i="12" s="1"/>
  <c r="AH48" i="12" s="1"/>
  <c r="AH49" i="12" s="1"/>
  <c r="AH50" i="12" s="1"/>
  <c r="AH51" i="12" s="1"/>
  <c r="AH52" i="12" s="1"/>
  <c r="AH53" i="12" s="1"/>
  <c r="AH54" i="12" s="1"/>
  <c r="AH55" i="12" s="1"/>
  <c r="AH56" i="12" s="1"/>
  <c r="AH57" i="12" s="1"/>
  <c r="AH58" i="12" s="1"/>
  <c r="AH59" i="12" s="1"/>
  <c r="AH60" i="12" s="1"/>
  <c r="AH61" i="12" s="1"/>
  <c r="AH62" i="12" s="1"/>
  <c r="AH63" i="12" s="1"/>
  <c r="AH64" i="12" s="1"/>
  <c r="AH65" i="12" s="1"/>
  <c r="AH66" i="12" s="1"/>
  <c r="AH67" i="12" s="1"/>
  <c r="AH68" i="12" s="1"/>
  <c r="AH69" i="12" s="1"/>
  <c r="AH70" i="12" s="1"/>
  <c r="AH71" i="12" s="1"/>
  <c r="AH72" i="12" s="1"/>
  <c r="AH73" i="12" s="1"/>
  <c r="AH74" i="12" s="1"/>
  <c r="AH75" i="12" s="1"/>
  <c r="AH76" i="12" s="1"/>
  <c r="AH77" i="12" s="1"/>
  <c r="AH78" i="12" s="1"/>
  <c r="Z3" i="12"/>
  <c r="Z4" i="12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2" i="12"/>
  <c r="Y78" i="12"/>
  <c r="Y3" i="12"/>
  <c r="Y4" i="12"/>
  <c r="Y5" i="12"/>
  <c r="Y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2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2" i="12"/>
  <c r="O3" i="12"/>
  <c r="O4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2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AT83" i="1"/>
  <c r="AT81" i="1"/>
  <c r="AQ83" i="1"/>
  <c r="AQ82" i="1"/>
  <c r="AO82" i="1"/>
  <c r="E4" i="11"/>
  <c r="F4" i="11"/>
  <c r="G4" i="11"/>
  <c r="E5" i="11"/>
  <c r="F5" i="11"/>
  <c r="G5" i="11"/>
  <c r="E6" i="11"/>
  <c r="F6" i="11"/>
  <c r="G6" i="11"/>
  <c r="J6" i="11" s="1"/>
  <c r="E7" i="11"/>
  <c r="H7" i="11" s="1"/>
  <c r="F7" i="11"/>
  <c r="G7" i="11"/>
  <c r="E8" i="11"/>
  <c r="F8" i="11"/>
  <c r="G8" i="11"/>
  <c r="E9" i="11"/>
  <c r="F9" i="11"/>
  <c r="I9" i="11" s="1"/>
  <c r="G9" i="11"/>
  <c r="E10" i="11"/>
  <c r="F10" i="11"/>
  <c r="G10" i="11"/>
  <c r="E11" i="11"/>
  <c r="F11" i="11"/>
  <c r="G11" i="11"/>
  <c r="E12" i="11"/>
  <c r="H12" i="11" s="1"/>
  <c r="F12" i="11"/>
  <c r="I12" i="11" s="1"/>
  <c r="G12" i="11"/>
  <c r="E13" i="11"/>
  <c r="H14" i="11" s="1"/>
  <c r="F13" i="11"/>
  <c r="G13" i="11"/>
  <c r="E14" i="11"/>
  <c r="F14" i="11"/>
  <c r="G14" i="11"/>
  <c r="J14" i="11" s="1"/>
  <c r="E15" i="11"/>
  <c r="H15" i="11" s="1"/>
  <c r="F15" i="11"/>
  <c r="G15" i="11"/>
  <c r="E16" i="11"/>
  <c r="F16" i="11"/>
  <c r="G16" i="11"/>
  <c r="E17" i="11"/>
  <c r="F17" i="11"/>
  <c r="I17" i="11" s="1"/>
  <c r="G17" i="11"/>
  <c r="E18" i="11"/>
  <c r="F18" i="11"/>
  <c r="G18" i="11"/>
  <c r="E19" i="11"/>
  <c r="F19" i="11"/>
  <c r="G19" i="11"/>
  <c r="E20" i="11"/>
  <c r="H20" i="11" s="1"/>
  <c r="F20" i="11"/>
  <c r="I20" i="11" s="1"/>
  <c r="G20" i="11"/>
  <c r="E21" i="11"/>
  <c r="F21" i="11"/>
  <c r="G21" i="11"/>
  <c r="E22" i="11"/>
  <c r="F22" i="11"/>
  <c r="G22" i="11"/>
  <c r="J22" i="11" s="1"/>
  <c r="E23" i="11"/>
  <c r="H23" i="11" s="1"/>
  <c r="F23" i="11"/>
  <c r="G23" i="11"/>
  <c r="E24" i="11"/>
  <c r="F24" i="11"/>
  <c r="G24" i="11"/>
  <c r="E25" i="11"/>
  <c r="F25" i="11"/>
  <c r="I25" i="11" s="1"/>
  <c r="G25" i="11"/>
  <c r="J25" i="11" s="1"/>
  <c r="E26" i="11"/>
  <c r="F26" i="11"/>
  <c r="G26" i="11"/>
  <c r="E27" i="11"/>
  <c r="F27" i="11"/>
  <c r="G27" i="11"/>
  <c r="E28" i="11"/>
  <c r="H28" i="11" s="1"/>
  <c r="F28" i="11"/>
  <c r="I28" i="11" s="1"/>
  <c r="G28" i="11"/>
  <c r="E29" i="11"/>
  <c r="F29" i="11"/>
  <c r="G29" i="11"/>
  <c r="E30" i="11"/>
  <c r="H30" i="11" s="1"/>
  <c r="F30" i="11"/>
  <c r="G30" i="11"/>
  <c r="J30" i="11" s="1"/>
  <c r="E31" i="11"/>
  <c r="H31" i="11" s="1"/>
  <c r="F31" i="11"/>
  <c r="G31" i="11"/>
  <c r="E32" i="11"/>
  <c r="F32" i="11"/>
  <c r="G32" i="11"/>
  <c r="J32" i="11" s="1"/>
  <c r="E33" i="11"/>
  <c r="F33" i="11"/>
  <c r="I33" i="11" s="1"/>
  <c r="G33" i="11"/>
  <c r="E34" i="11"/>
  <c r="F34" i="11"/>
  <c r="G34" i="11"/>
  <c r="E35" i="11"/>
  <c r="F35" i="11"/>
  <c r="G35" i="11"/>
  <c r="E36" i="11"/>
  <c r="H36" i="11" s="1"/>
  <c r="F36" i="11"/>
  <c r="I36" i="11" s="1"/>
  <c r="G36" i="11"/>
  <c r="E37" i="11"/>
  <c r="F37" i="11"/>
  <c r="G37" i="11"/>
  <c r="E38" i="11"/>
  <c r="F38" i="11"/>
  <c r="G38" i="11"/>
  <c r="J38" i="11" s="1"/>
  <c r="E39" i="11"/>
  <c r="H39" i="11" s="1"/>
  <c r="F39" i="11"/>
  <c r="G39" i="11"/>
  <c r="E40" i="11"/>
  <c r="F40" i="11"/>
  <c r="G40" i="11"/>
  <c r="E41" i="11"/>
  <c r="F41" i="11"/>
  <c r="I41" i="11" s="1"/>
  <c r="G41" i="11"/>
  <c r="E42" i="11"/>
  <c r="F42" i="11"/>
  <c r="G42" i="11"/>
  <c r="E43" i="11"/>
  <c r="F43" i="11"/>
  <c r="G43" i="11"/>
  <c r="E44" i="11"/>
  <c r="H44" i="11" s="1"/>
  <c r="F44" i="11"/>
  <c r="I44" i="11" s="1"/>
  <c r="G44" i="11"/>
  <c r="E45" i="11"/>
  <c r="F45" i="11"/>
  <c r="G45" i="11"/>
  <c r="E46" i="11"/>
  <c r="H46" i="11" s="1"/>
  <c r="F46" i="11"/>
  <c r="G46" i="11"/>
  <c r="J46" i="11" s="1"/>
  <c r="E47" i="11"/>
  <c r="H47" i="11" s="1"/>
  <c r="F47" i="11"/>
  <c r="G47" i="11"/>
  <c r="E48" i="11"/>
  <c r="F48" i="11"/>
  <c r="G48" i="11"/>
  <c r="E49" i="11"/>
  <c r="F49" i="11"/>
  <c r="I49" i="11" s="1"/>
  <c r="G49" i="11"/>
  <c r="J49" i="11" s="1"/>
  <c r="E50" i="11"/>
  <c r="F50" i="11"/>
  <c r="G50" i="11"/>
  <c r="E51" i="11"/>
  <c r="F51" i="11"/>
  <c r="G51" i="11"/>
  <c r="E52" i="11"/>
  <c r="H52" i="11" s="1"/>
  <c r="F52" i="11"/>
  <c r="I52" i="11" s="1"/>
  <c r="G52" i="11"/>
  <c r="E53" i="11"/>
  <c r="F53" i="11"/>
  <c r="G53" i="11"/>
  <c r="E54" i="11"/>
  <c r="F54" i="11"/>
  <c r="G54" i="11"/>
  <c r="J54" i="11" s="1"/>
  <c r="E55" i="11"/>
  <c r="H55" i="11" s="1"/>
  <c r="F55" i="11"/>
  <c r="G55" i="11"/>
  <c r="E56" i="11"/>
  <c r="F56" i="11"/>
  <c r="G56" i="11"/>
  <c r="E57" i="11"/>
  <c r="F57" i="11"/>
  <c r="I57" i="11" s="1"/>
  <c r="G57" i="11"/>
  <c r="J57" i="11" s="1"/>
  <c r="E58" i="11"/>
  <c r="F58" i="11"/>
  <c r="G58" i="11"/>
  <c r="E59" i="11"/>
  <c r="F59" i="11"/>
  <c r="G59" i="11"/>
  <c r="E60" i="11"/>
  <c r="H60" i="11" s="1"/>
  <c r="F60" i="11"/>
  <c r="I60" i="11" s="1"/>
  <c r="G60" i="11"/>
  <c r="E61" i="11"/>
  <c r="F61" i="11"/>
  <c r="G61" i="11"/>
  <c r="E62" i="11"/>
  <c r="H62" i="11" s="1"/>
  <c r="F62" i="11"/>
  <c r="G62" i="11"/>
  <c r="J62" i="11" s="1"/>
  <c r="E63" i="11"/>
  <c r="H63" i="11" s="1"/>
  <c r="F63" i="11"/>
  <c r="G63" i="11"/>
  <c r="E64" i="11"/>
  <c r="F64" i="11"/>
  <c r="G64" i="11"/>
  <c r="J64" i="11" s="1"/>
  <c r="E65" i="11"/>
  <c r="F65" i="11"/>
  <c r="I65" i="11" s="1"/>
  <c r="G65" i="11"/>
  <c r="E66" i="11"/>
  <c r="F66" i="11"/>
  <c r="G66" i="11"/>
  <c r="E67" i="11"/>
  <c r="F67" i="11"/>
  <c r="G67" i="11"/>
  <c r="E68" i="11"/>
  <c r="H68" i="11" s="1"/>
  <c r="F68" i="11"/>
  <c r="I68" i="11" s="1"/>
  <c r="G68" i="11"/>
  <c r="E69" i="11"/>
  <c r="F69" i="11"/>
  <c r="G69" i="11"/>
  <c r="E70" i="11"/>
  <c r="F70" i="11"/>
  <c r="G70" i="11"/>
  <c r="J70" i="11" s="1"/>
  <c r="E71" i="11"/>
  <c r="H71" i="11" s="1"/>
  <c r="F71" i="11"/>
  <c r="G71" i="11"/>
  <c r="E72" i="11"/>
  <c r="F72" i="11"/>
  <c r="G72" i="11"/>
  <c r="E73" i="11"/>
  <c r="H74" i="11" s="1"/>
  <c r="F73" i="11"/>
  <c r="I73" i="11" s="1"/>
  <c r="G73" i="11"/>
  <c r="J73" i="11" s="1"/>
  <c r="G3" i="11"/>
  <c r="F3" i="11"/>
  <c r="E3" i="1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2" i="6"/>
  <c r="F2" i="8"/>
  <c r="F2" i="7"/>
  <c r="D70" i="8"/>
  <c r="D71" i="8"/>
  <c r="J71" i="8" s="1"/>
  <c r="D72" i="8"/>
  <c r="J72" i="8" s="1"/>
  <c r="D73" i="8"/>
  <c r="J73" i="8" s="1"/>
  <c r="D74" i="8"/>
  <c r="D75" i="8"/>
  <c r="J75" i="8" s="1"/>
  <c r="D76" i="8"/>
  <c r="D77" i="8"/>
  <c r="J77" i="8" s="1"/>
  <c r="D78" i="8"/>
  <c r="C73" i="8"/>
  <c r="C74" i="8"/>
  <c r="I74" i="8" s="1"/>
  <c r="C75" i="8"/>
  <c r="I75" i="8" s="1"/>
  <c r="C76" i="8"/>
  <c r="C77" i="8"/>
  <c r="C78" i="8"/>
  <c r="D73" i="7"/>
  <c r="D74" i="7"/>
  <c r="D75" i="7"/>
  <c r="D76" i="7"/>
  <c r="D77" i="7"/>
  <c r="D78" i="7"/>
  <c r="C73" i="7"/>
  <c r="C74" i="7"/>
  <c r="I74" i="7" s="1"/>
  <c r="C75" i="7"/>
  <c r="C76" i="7"/>
  <c r="C77" i="7"/>
  <c r="C78" i="7"/>
  <c r="B73" i="7"/>
  <c r="B74" i="7"/>
  <c r="H75" i="7" s="1"/>
  <c r="B75" i="7"/>
  <c r="B76" i="7"/>
  <c r="B77" i="7"/>
  <c r="H77" i="7" s="1"/>
  <c r="B78" i="7"/>
  <c r="E73" i="10"/>
  <c r="E74" i="10"/>
  <c r="E75" i="10"/>
  <c r="K76" i="10" s="1"/>
  <c r="E76" i="10"/>
  <c r="E77" i="10"/>
  <c r="K77" i="10" s="1"/>
  <c r="E78" i="10"/>
  <c r="H2" i="10"/>
  <c r="H3" i="10" s="1"/>
  <c r="H4" i="10" s="1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F2" i="6"/>
  <c r="C73" i="6"/>
  <c r="C74" i="6"/>
  <c r="I74" i="6" s="1"/>
  <c r="C75" i="6"/>
  <c r="C76" i="6"/>
  <c r="I76" i="6" s="1"/>
  <c r="C77" i="6"/>
  <c r="C78" i="6"/>
  <c r="B73" i="6"/>
  <c r="B74" i="6"/>
  <c r="B75" i="6"/>
  <c r="B76" i="6"/>
  <c r="H76" i="6" s="1"/>
  <c r="B77" i="6"/>
  <c r="B78" i="6"/>
  <c r="H78" i="6" s="1"/>
  <c r="B73" i="8"/>
  <c r="B74" i="8"/>
  <c r="B75" i="8"/>
  <c r="B76" i="8"/>
  <c r="H76" i="8" s="1"/>
  <c r="B77" i="8"/>
  <c r="H77" i="8" s="1"/>
  <c r="B78" i="8"/>
  <c r="H78" i="8" s="1"/>
  <c r="K79" i="11" l="1"/>
  <c r="H70" i="11"/>
  <c r="H54" i="11"/>
  <c r="H38" i="11"/>
  <c r="H22" i="11"/>
  <c r="K24" i="11" s="1"/>
  <c r="H6" i="11"/>
  <c r="I72" i="11"/>
  <c r="J69" i="11"/>
  <c r="I64" i="11"/>
  <c r="J61" i="11"/>
  <c r="I56" i="11"/>
  <c r="J53" i="11"/>
  <c r="I48" i="11"/>
  <c r="L51" i="11" s="1"/>
  <c r="J45" i="11"/>
  <c r="M48" i="11" s="1"/>
  <c r="I40" i="11"/>
  <c r="J37" i="11"/>
  <c r="I32" i="11"/>
  <c r="J29" i="11"/>
  <c r="I24" i="11"/>
  <c r="J21" i="11"/>
  <c r="I16" i="11"/>
  <c r="J13" i="11"/>
  <c r="I8" i="11"/>
  <c r="J5" i="11"/>
  <c r="I4" i="11"/>
  <c r="J56" i="11"/>
  <c r="J48" i="11"/>
  <c r="J24" i="11"/>
  <c r="J16" i="11"/>
  <c r="H72" i="11"/>
  <c r="K76" i="11" s="1"/>
  <c r="I69" i="11"/>
  <c r="H64" i="11"/>
  <c r="I61" i="11"/>
  <c r="H56" i="11"/>
  <c r="I53" i="11"/>
  <c r="H48" i="11"/>
  <c r="K50" i="11" s="1"/>
  <c r="I45" i="11"/>
  <c r="H40" i="11"/>
  <c r="I37" i="11"/>
  <c r="H32" i="11"/>
  <c r="I29" i="11"/>
  <c r="H24" i="11"/>
  <c r="I21" i="11"/>
  <c r="H16" i="11"/>
  <c r="I13" i="11"/>
  <c r="H8" i="11"/>
  <c r="I5" i="11"/>
  <c r="L79" i="11"/>
  <c r="H69" i="11"/>
  <c r="J63" i="11"/>
  <c r="I58" i="11"/>
  <c r="H53" i="11"/>
  <c r="K56" i="11" s="1"/>
  <c r="J47" i="11"/>
  <c r="M49" i="11" s="1"/>
  <c r="I42" i="11"/>
  <c r="H37" i="11"/>
  <c r="J31" i="11"/>
  <c r="I26" i="11"/>
  <c r="H21" i="11"/>
  <c r="J15" i="11"/>
  <c r="I10" i="11"/>
  <c r="J7" i="11"/>
  <c r="J8" i="11"/>
  <c r="I71" i="11"/>
  <c r="J68" i="11"/>
  <c r="H66" i="11"/>
  <c r="I63" i="11"/>
  <c r="J60" i="11"/>
  <c r="H58" i="11"/>
  <c r="I55" i="11"/>
  <c r="J52" i="11"/>
  <c r="H50" i="11"/>
  <c r="I47" i="11"/>
  <c r="J44" i="11"/>
  <c r="H42" i="11"/>
  <c r="I39" i="11"/>
  <c r="J36" i="11"/>
  <c r="M38" i="11" s="1"/>
  <c r="H35" i="11"/>
  <c r="I31" i="11"/>
  <c r="J28" i="11"/>
  <c r="H27" i="11"/>
  <c r="I23" i="11"/>
  <c r="J20" i="11"/>
  <c r="H19" i="11"/>
  <c r="I15" i="11"/>
  <c r="J12" i="11"/>
  <c r="H10" i="11"/>
  <c r="I7" i="11"/>
  <c r="J4" i="11"/>
  <c r="J71" i="11"/>
  <c r="I66" i="11"/>
  <c r="H61" i="11"/>
  <c r="K64" i="11" s="1"/>
  <c r="J55" i="11"/>
  <c r="M57" i="11" s="1"/>
  <c r="I50" i="11"/>
  <c r="L53" i="11" s="1"/>
  <c r="H45" i="11"/>
  <c r="J39" i="11"/>
  <c r="I34" i="11"/>
  <c r="H29" i="11"/>
  <c r="J23" i="11"/>
  <c r="I18" i="11"/>
  <c r="H13" i="11"/>
  <c r="K17" i="11" s="1"/>
  <c r="H5" i="11"/>
  <c r="K9" i="11" s="1"/>
  <c r="J72" i="11"/>
  <c r="J66" i="11"/>
  <c r="J42" i="11"/>
  <c r="J34" i="11"/>
  <c r="J18" i="11"/>
  <c r="J10" i="11"/>
  <c r="I70" i="11"/>
  <c r="H65" i="11"/>
  <c r="J59" i="11"/>
  <c r="M63" i="11" s="1"/>
  <c r="I54" i="11"/>
  <c r="H49" i="11"/>
  <c r="J43" i="11"/>
  <c r="I38" i="11"/>
  <c r="L41" i="11" s="1"/>
  <c r="H33" i="11"/>
  <c r="J27" i="11"/>
  <c r="I22" i="11"/>
  <c r="H17" i="11"/>
  <c r="K19" i="11" s="1"/>
  <c r="I14" i="11"/>
  <c r="H9" i="11"/>
  <c r="I6" i="11"/>
  <c r="J40" i="11"/>
  <c r="I67" i="11"/>
  <c r="I59" i="11"/>
  <c r="I51" i="11"/>
  <c r="I43" i="11"/>
  <c r="I35" i="11"/>
  <c r="L37" i="11" s="1"/>
  <c r="I27" i="11"/>
  <c r="I19" i="11"/>
  <c r="I11" i="11"/>
  <c r="I74" i="11"/>
  <c r="L76" i="11" s="1"/>
  <c r="M34" i="11"/>
  <c r="H4" i="11"/>
  <c r="H73" i="11"/>
  <c r="J67" i="11"/>
  <c r="I62" i="11"/>
  <c r="H57" i="11"/>
  <c r="J51" i="11"/>
  <c r="I46" i="11"/>
  <c r="L48" i="11" s="1"/>
  <c r="H41" i="11"/>
  <c r="K42" i="11" s="1"/>
  <c r="J35" i="11"/>
  <c r="I30" i="11"/>
  <c r="H25" i="11"/>
  <c r="J19" i="11"/>
  <c r="J11" i="11"/>
  <c r="M25" i="11"/>
  <c r="L20" i="11"/>
  <c r="J74" i="11"/>
  <c r="M77" i="11" s="1"/>
  <c r="K78" i="11"/>
  <c r="M64" i="11"/>
  <c r="J17" i="11"/>
  <c r="J26" i="11"/>
  <c r="J58" i="11"/>
  <c r="M62" i="11" s="1"/>
  <c r="J9" i="11"/>
  <c r="J50" i="11"/>
  <c r="J41" i="11"/>
  <c r="J65" i="11"/>
  <c r="J33" i="11"/>
  <c r="K49" i="11"/>
  <c r="K39" i="11"/>
  <c r="H51" i="11"/>
  <c r="H11" i="11"/>
  <c r="H34" i="11"/>
  <c r="H18" i="11"/>
  <c r="H59" i="11"/>
  <c r="H26" i="11"/>
  <c r="H67" i="11"/>
  <c r="K71" i="11" s="1"/>
  <c r="H43" i="11"/>
  <c r="H74" i="7"/>
  <c r="J77" i="7"/>
  <c r="H74" i="6"/>
  <c r="K75" i="10"/>
  <c r="H74" i="8"/>
  <c r="I75" i="7"/>
  <c r="H77" i="6"/>
  <c r="AB73" i="12"/>
  <c r="AC73" i="12" s="1"/>
  <c r="AB57" i="12"/>
  <c r="AB41" i="12"/>
  <c r="AE35" i="12"/>
  <c r="AF35" i="12" s="1"/>
  <c r="AO36" i="12"/>
  <c r="AK36" i="12"/>
  <c r="AB71" i="12"/>
  <c r="AB63" i="12"/>
  <c r="AB55" i="12"/>
  <c r="AB47" i="12"/>
  <c r="AB39" i="12"/>
  <c r="AE73" i="12"/>
  <c r="AF73" i="12" s="1"/>
  <c r="AE57" i="12"/>
  <c r="AE41" i="12"/>
  <c r="AF41" i="12" s="1"/>
  <c r="AE75" i="12"/>
  <c r="AF75" i="12" s="1"/>
  <c r="AE59" i="12"/>
  <c r="AF59" i="12" s="1"/>
  <c r="AE51" i="12"/>
  <c r="AE43" i="12"/>
  <c r="AL36" i="12"/>
  <c r="AB75" i="12"/>
  <c r="AB67" i="12"/>
  <c r="AB59" i="12"/>
  <c r="AB51" i="12"/>
  <c r="AB43" i="12"/>
  <c r="AC35" i="12"/>
  <c r="AE67" i="12"/>
  <c r="AB74" i="12"/>
  <c r="AB66" i="12"/>
  <c r="AB58" i="12"/>
  <c r="AB50" i="12"/>
  <c r="AC50" i="12" s="1"/>
  <c r="AB42" i="12"/>
  <c r="AE65" i="12"/>
  <c r="AF65" i="12" s="1"/>
  <c r="AE49" i="12"/>
  <c r="AJ37" i="12"/>
  <c r="AL37" i="12" s="1"/>
  <c r="AE64" i="12"/>
  <c r="AE48" i="12"/>
  <c r="AF48" i="12" s="1"/>
  <c r="AE71" i="12"/>
  <c r="AF71" i="12" s="1"/>
  <c r="AE63" i="12"/>
  <c r="AF63" i="12" s="1"/>
  <c r="AE55" i="12"/>
  <c r="AE47" i="12"/>
  <c r="AE39" i="12"/>
  <c r="AE70" i="12"/>
  <c r="AE62" i="12"/>
  <c r="AE54" i="12"/>
  <c r="AF54" i="12" s="1"/>
  <c r="AE46" i="12"/>
  <c r="AF46" i="12" s="1"/>
  <c r="AE38" i="12"/>
  <c r="AF38" i="12" s="1"/>
  <c r="AE74" i="12"/>
  <c r="AF74" i="12" s="1"/>
  <c r="AE66" i="12"/>
  <c r="AE58" i="12"/>
  <c r="AE50" i="12"/>
  <c r="AF50" i="12" s="1"/>
  <c r="AE42" i="12"/>
  <c r="AB64" i="12"/>
  <c r="AB56" i="12"/>
  <c r="AE72" i="12"/>
  <c r="AF72" i="12" s="1"/>
  <c r="AE56" i="12"/>
  <c r="AE40" i="12"/>
  <c r="AE78" i="12"/>
  <c r="AF70" i="12"/>
  <c r="AB48" i="12"/>
  <c r="AB78" i="12"/>
  <c r="AB70" i="12"/>
  <c r="AB62" i="12"/>
  <c r="AB54" i="12"/>
  <c r="AB46" i="12"/>
  <c r="AB38" i="12"/>
  <c r="AE53" i="12"/>
  <c r="AF53" i="12" s="1"/>
  <c r="AE45" i="12"/>
  <c r="AE37" i="12"/>
  <c r="AF37" i="12" s="1"/>
  <c r="AB72" i="12"/>
  <c r="AB40" i="12"/>
  <c r="AI37" i="12"/>
  <c r="AO37" i="12" s="1"/>
  <c r="AB65" i="12"/>
  <c r="AB49" i="12"/>
  <c r="AC39" i="12"/>
  <c r="AF43" i="12"/>
  <c r="AE77" i="12"/>
  <c r="AF77" i="12" s="1"/>
  <c r="AE69" i="12"/>
  <c r="AE61" i="12"/>
  <c r="AF39" i="12"/>
  <c r="AB77" i="12"/>
  <c r="AB69" i="12"/>
  <c r="AC69" i="12" s="1"/>
  <c r="AB61" i="12"/>
  <c r="AB53" i="12"/>
  <c r="AB45" i="12"/>
  <c r="AB37" i="12"/>
  <c r="AE76" i="12"/>
  <c r="AE68" i="12"/>
  <c r="AF68" i="12" s="1"/>
  <c r="AE60" i="12"/>
  <c r="AF60" i="12" s="1"/>
  <c r="AE52" i="12"/>
  <c r="AF52" i="12" s="1"/>
  <c r="AG52" i="12" s="1"/>
  <c r="AE44" i="12"/>
  <c r="AF44" i="12" s="1"/>
  <c r="AE36" i="12"/>
  <c r="AF36" i="12" s="1"/>
  <c r="AB76" i="12"/>
  <c r="AB68" i="12"/>
  <c r="AB60" i="12"/>
  <c r="AB52" i="12"/>
  <c r="AC52" i="12" s="1"/>
  <c r="AB44" i="12"/>
  <c r="AB36" i="12"/>
  <c r="AC36" i="12" s="1"/>
  <c r="AP36" i="12" s="1"/>
  <c r="AF58" i="12"/>
  <c r="I78" i="6"/>
  <c r="K78" i="10"/>
  <c r="H78" i="7"/>
  <c r="I77" i="7"/>
  <c r="I77" i="8"/>
  <c r="I75" i="6"/>
  <c r="J74" i="8"/>
  <c r="H76" i="7"/>
  <c r="I76" i="7"/>
  <c r="H75" i="6"/>
  <c r="J78" i="8"/>
  <c r="H75" i="8"/>
  <c r="I78" i="7"/>
  <c r="J76" i="7"/>
  <c r="I78" i="8"/>
  <c r="J76" i="8"/>
  <c r="I77" i="6"/>
  <c r="K74" i="10"/>
  <c r="J75" i="7"/>
  <c r="I76" i="8"/>
  <c r="J78" i="7"/>
  <c r="J74" i="7"/>
  <c r="F3" i="6"/>
  <c r="F4" i="6" s="1"/>
  <c r="F5" i="6" s="1"/>
  <c r="F6" i="6" s="1"/>
  <c r="F7" i="6" s="1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5" i="6" s="1"/>
  <c r="F46" i="6" s="1"/>
  <c r="F47" i="6" s="1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F58" i="6" s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2" i="6" s="1"/>
  <c r="F73" i="6" s="1"/>
  <c r="F74" i="6" s="1"/>
  <c r="F75" i="6" s="1"/>
  <c r="F76" i="6" s="1"/>
  <c r="F77" i="6" s="1"/>
  <c r="F78" i="6" s="1"/>
  <c r="C73" i="10"/>
  <c r="C74" i="10"/>
  <c r="C75" i="10"/>
  <c r="C76" i="10"/>
  <c r="C77" i="10"/>
  <c r="C78" i="10"/>
  <c r="AJ73" i="1"/>
  <c r="AJ74" i="1"/>
  <c r="AJ75" i="1"/>
  <c r="AJ76" i="1"/>
  <c r="AJ77" i="1"/>
  <c r="AJ7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2" i="1"/>
  <c r="AX73" i="1"/>
  <c r="AX74" i="1"/>
  <c r="AX75" i="1"/>
  <c r="AX76" i="1"/>
  <c r="AX77" i="1"/>
  <c r="AX78" i="1"/>
  <c r="AZ73" i="1"/>
  <c r="AZ74" i="1"/>
  <c r="AZ75" i="1"/>
  <c r="AZ76" i="1"/>
  <c r="AZ77" i="1"/>
  <c r="AZ78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2" i="1"/>
  <c r="AY73" i="1"/>
  <c r="AY74" i="1"/>
  <c r="AY75" i="1"/>
  <c r="AY76" i="1"/>
  <c r="AY77" i="1"/>
  <c r="AY78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2" i="1"/>
  <c r="AW73" i="1"/>
  <c r="AW74" i="1"/>
  <c r="AW75" i="1"/>
  <c r="AW76" i="1"/>
  <c r="AW77" i="1"/>
  <c r="AW78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2" i="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1" i="10"/>
  <c r="B1" i="10"/>
  <c r="F72" i="10"/>
  <c r="E72" i="10"/>
  <c r="K73" i="10" s="1"/>
  <c r="F71" i="10"/>
  <c r="L71" i="10" s="1"/>
  <c r="E71" i="10"/>
  <c r="F70" i="10"/>
  <c r="E70" i="10"/>
  <c r="F69" i="10"/>
  <c r="E69" i="10"/>
  <c r="F68" i="10"/>
  <c r="E68" i="10"/>
  <c r="F67" i="10"/>
  <c r="L67" i="10" s="1"/>
  <c r="E67" i="10"/>
  <c r="F66" i="10"/>
  <c r="E66" i="10"/>
  <c r="F65" i="10"/>
  <c r="E65" i="10"/>
  <c r="F64" i="10"/>
  <c r="E64" i="10"/>
  <c r="F63" i="10"/>
  <c r="L63" i="10" s="1"/>
  <c r="E63" i="10"/>
  <c r="F62" i="10"/>
  <c r="E62" i="10"/>
  <c r="F61" i="10"/>
  <c r="E61" i="10"/>
  <c r="F60" i="10"/>
  <c r="E60" i="10"/>
  <c r="F59" i="10"/>
  <c r="L59" i="10" s="1"/>
  <c r="E59" i="10"/>
  <c r="F58" i="10"/>
  <c r="E58" i="10"/>
  <c r="F57" i="10"/>
  <c r="E57" i="10"/>
  <c r="F56" i="10"/>
  <c r="E56" i="10"/>
  <c r="F55" i="10"/>
  <c r="L55" i="10" s="1"/>
  <c r="E55" i="10"/>
  <c r="F54" i="10"/>
  <c r="E54" i="10"/>
  <c r="F53" i="10"/>
  <c r="E53" i="10"/>
  <c r="F52" i="10"/>
  <c r="E52" i="10"/>
  <c r="F51" i="10"/>
  <c r="L51" i="10" s="1"/>
  <c r="E51" i="10"/>
  <c r="F50" i="10"/>
  <c r="E50" i="10"/>
  <c r="F49" i="10"/>
  <c r="E49" i="10"/>
  <c r="F48" i="10"/>
  <c r="E48" i="10"/>
  <c r="F47" i="10"/>
  <c r="E47" i="10"/>
  <c r="F46" i="10"/>
  <c r="E46" i="10"/>
  <c r="F45" i="10"/>
  <c r="E45" i="10"/>
  <c r="F44" i="10"/>
  <c r="E44" i="10"/>
  <c r="F43" i="10"/>
  <c r="E43" i="10"/>
  <c r="F42" i="10"/>
  <c r="E42" i="10"/>
  <c r="F41" i="10"/>
  <c r="E41" i="10"/>
  <c r="F40" i="10"/>
  <c r="E40" i="10"/>
  <c r="F39" i="10"/>
  <c r="E39" i="10"/>
  <c r="F38" i="10"/>
  <c r="E38" i="10"/>
  <c r="F37" i="10"/>
  <c r="E37" i="10"/>
  <c r="F36" i="10"/>
  <c r="E36" i="10"/>
  <c r="F35" i="10"/>
  <c r="E35" i="10"/>
  <c r="F34" i="10"/>
  <c r="E34" i="10"/>
  <c r="F33" i="10"/>
  <c r="E33" i="10"/>
  <c r="F32" i="10"/>
  <c r="E32" i="10"/>
  <c r="F31" i="10"/>
  <c r="E31" i="10"/>
  <c r="F30" i="10"/>
  <c r="E30" i="10"/>
  <c r="F29" i="10"/>
  <c r="E29" i="10"/>
  <c r="F28" i="10"/>
  <c r="E28" i="10"/>
  <c r="F27" i="10"/>
  <c r="E27" i="10"/>
  <c r="F26" i="10"/>
  <c r="E26" i="10"/>
  <c r="F25" i="10"/>
  <c r="E25" i="10"/>
  <c r="F24" i="10"/>
  <c r="E24" i="10"/>
  <c r="F23" i="10"/>
  <c r="E23" i="10"/>
  <c r="F22" i="10"/>
  <c r="E22" i="10"/>
  <c r="F21" i="10"/>
  <c r="E21" i="10"/>
  <c r="F19" i="10"/>
  <c r="E19" i="10"/>
  <c r="F18" i="10"/>
  <c r="E18" i="10"/>
  <c r="F17" i="10"/>
  <c r="E17" i="10"/>
  <c r="F16" i="10"/>
  <c r="E16" i="10"/>
  <c r="F15" i="10"/>
  <c r="E15" i="10"/>
  <c r="F14" i="10"/>
  <c r="E14" i="10"/>
  <c r="F13" i="10"/>
  <c r="E13" i="10"/>
  <c r="F12" i="10"/>
  <c r="E12" i="10"/>
  <c r="F11" i="10"/>
  <c r="E11" i="10"/>
  <c r="F10" i="10"/>
  <c r="E10" i="10"/>
  <c r="F9" i="10"/>
  <c r="E9" i="10"/>
  <c r="F8" i="10"/>
  <c r="E8" i="10"/>
  <c r="F7" i="10"/>
  <c r="E7" i="10"/>
  <c r="F6" i="10"/>
  <c r="E6" i="10"/>
  <c r="F5" i="10"/>
  <c r="E5" i="10"/>
  <c r="F4" i="10"/>
  <c r="E4" i="10"/>
  <c r="F3" i="10"/>
  <c r="E3" i="10"/>
  <c r="P2" i="10"/>
  <c r="F2" i="10"/>
  <c r="E2" i="10"/>
  <c r="F3" i="8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K76" i="8" s="1"/>
  <c r="F3" i="7"/>
  <c r="B72" i="6"/>
  <c r="H73" i="6" s="1"/>
  <c r="N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J73" i="7" s="1"/>
  <c r="D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I73" i="7" s="1"/>
  <c r="C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H73" i="7" s="1"/>
  <c r="B2" i="7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2" i="6"/>
  <c r="C72" i="8"/>
  <c r="B72" i="8"/>
  <c r="H72" i="8" s="1"/>
  <c r="C71" i="8"/>
  <c r="B71" i="8"/>
  <c r="C70" i="8"/>
  <c r="B70" i="8"/>
  <c r="D69" i="8"/>
  <c r="C69" i="8"/>
  <c r="B69" i="8"/>
  <c r="D68" i="8"/>
  <c r="C68" i="8"/>
  <c r="B68" i="8"/>
  <c r="D67" i="8"/>
  <c r="C67" i="8"/>
  <c r="B67" i="8"/>
  <c r="D66" i="8"/>
  <c r="C66" i="8"/>
  <c r="B66" i="8"/>
  <c r="D65" i="8"/>
  <c r="C65" i="8"/>
  <c r="B65" i="8"/>
  <c r="D64" i="8"/>
  <c r="C64" i="8"/>
  <c r="B64" i="8"/>
  <c r="D63" i="8"/>
  <c r="C63" i="8"/>
  <c r="B63" i="8"/>
  <c r="D62" i="8"/>
  <c r="C62" i="8"/>
  <c r="B62" i="8"/>
  <c r="D61" i="8"/>
  <c r="C61" i="8"/>
  <c r="B61" i="8"/>
  <c r="D60" i="8"/>
  <c r="C60" i="8"/>
  <c r="B60" i="8"/>
  <c r="D59" i="8"/>
  <c r="C59" i="8"/>
  <c r="B59" i="8"/>
  <c r="D58" i="8"/>
  <c r="C58" i="8"/>
  <c r="B58" i="8"/>
  <c r="D57" i="8"/>
  <c r="C57" i="8"/>
  <c r="B57" i="8"/>
  <c r="D56" i="8"/>
  <c r="C56" i="8"/>
  <c r="B56" i="8"/>
  <c r="D55" i="8"/>
  <c r="C55" i="8"/>
  <c r="B55" i="8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C40" i="8"/>
  <c r="B40" i="8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N2" i="8"/>
  <c r="D2" i="8"/>
  <c r="C2" i="8"/>
  <c r="B2" i="8"/>
  <c r="C72" i="6"/>
  <c r="I73" i="6" s="1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N2" i="6"/>
  <c r="C2" i="6"/>
  <c r="M17" i="11" l="1"/>
  <c r="K74" i="11"/>
  <c r="K34" i="11"/>
  <c r="M9" i="11"/>
  <c r="K48" i="11"/>
  <c r="L47" i="11"/>
  <c r="L43" i="11"/>
  <c r="L16" i="11"/>
  <c r="M23" i="11"/>
  <c r="K72" i="11"/>
  <c r="K58" i="11"/>
  <c r="L71" i="11"/>
  <c r="M69" i="11"/>
  <c r="K29" i="11"/>
  <c r="M71" i="11"/>
  <c r="L39" i="11"/>
  <c r="M46" i="11"/>
  <c r="L36" i="11"/>
  <c r="L66" i="11"/>
  <c r="L49" i="11"/>
  <c r="L15" i="11"/>
  <c r="K23" i="11"/>
  <c r="L13" i="11"/>
  <c r="K55" i="11"/>
  <c r="K77" i="11"/>
  <c r="L8" i="11"/>
  <c r="M47" i="11"/>
  <c r="M20" i="11"/>
  <c r="L67" i="11"/>
  <c r="K35" i="11"/>
  <c r="L45" i="11"/>
  <c r="M40" i="11"/>
  <c r="L65" i="11"/>
  <c r="L29" i="11"/>
  <c r="K30" i="11"/>
  <c r="M45" i="11"/>
  <c r="M50" i="11"/>
  <c r="L11" i="11"/>
  <c r="K53" i="11"/>
  <c r="L75" i="11"/>
  <c r="M35" i="11"/>
  <c r="K63" i="11"/>
  <c r="L12" i="11"/>
  <c r="M39" i="11"/>
  <c r="L26" i="11"/>
  <c r="K66" i="11"/>
  <c r="M73" i="11"/>
  <c r="K14" i="11"/>
  <c r="L35" i="11"/>
  <c r="M56" i="11"/>
  <c r="M12" i="11"/>
  <c r="K41" i="11"/>
  <c r="K22" i="11"/>
  <c r="K57" i="11"/>
  <c r="L42" i="11"/>
  <c r="L63" i="11"/>
  <c r="M29" i="11"/>
  <c r="L54" i="11"/>
  <c r="M16" i="11"/>
  <c r="L56" i="11"/>
  <c r="L46" i="11"/>
  <c r="L74" i="11"/>
  <c r="K20" i="11"/>
  <c r="K38" i="11"/>
  <c r="K65" i="11"/>
  <c r="L72" i="11"/>
  <c r="M54" i="11"/>
  <c r="L34" i="11"/>
  <c r="M10" i="11"/>
  <c r="K27" i="11"/>
  <c r="K28" i="11"/>
  <c r="L9" i="11"/>
  <c r="K15" i="11"/>
  <c r="K36" i="11"/>
  <c r="K73" i="11"/>
  <c r="L68" i="11"/>
  <c r="L44" i="11"/>
  <c r="L40" i="11"/>
  <c r="L69" i="11"/>
  <c r="M13" i="11"/>
  <c r="M55" i="11"/>
  <c r="M70" i="11"/>
  <c r="L77" i="11"/>
  <c r="K18" i="11"/>
  <c r="L23" i="11"/>
  <c r="L32" i="11"/>
  <c r="L21" i="11"/>
  <c r="L22" i="11"/>
  <c r="L19" i="11"/>
  <c r="M11" i="11"/>
  <c r="L33" i="11"/>
  <c r="K26" i="11"/>
  <c r="M22" i="11"/>
  <c r="L61" i="11"/>
  <c r="K68" i="11"/>
  <c r="L52" i="11"/>
  <c r="L64" i="11"/>
  <c r="L10" i="11"/>
  <c r="L24" i="11"/>
  <c r="K47" i="11"/>
  <c r="K69" i="11"/>
  <c r="L55" i="11"/>
  <c r="L60" i="11"/>
  <c r="L58" i="11"/>
  <c r="M30" i="11"/>
  <c r="L28" i="11"/>
  <c r="K13" i="11"/>
  <c r="M74" i="11"/>
  <c r="K33" i="11"/>
  <c r="M75" i="11"/>
  <c r="M24" i="11"/>
  <c r="M19" i="11"/>
  <c r="L62" i="11"/>
  <c r="K75" i="11"/>
  <c r="K40" i="11"/>
  <c r="L59" i="11"/>
  <c r="M31" i="11"/>
  <c r="K10" i="11"/>
  <c r="K60" i="11"/>
  <c r="L78" i="11"/>
  <c r="K8" i="11"/>
  <c r="L70" i="11"/>
  <c r="L57" i="11"/>
  <c r="L73" i="11"/>
  <c r="M21" i="11"/>
  <c r="M72" i="11"/>
  <c r="M33" i="11"/>
  <c r="M18" i="11"/>
  <c r="L18" i="11"/>
  <c r="K11" i="11"/>
  <c r="L38" i="11"/>
  <c r="K12" i="11"/>
  <c r="L27" i="11"/>
  <c r="K25" i="11"/>
  <c r="L17" i="11"/>
  <c r="K16" i="11"/>
  <c r="K83" i="11" s="1"/>
  <c r="M32" i="11"/>
  <c r="M52" i="11"/>
  <c r="L31" i="11"/>
  <c r="M27" i="11"/>
  <c r="L14" i="11"/>
  <c r="M28" i="11"/>
  <c r="L50" i="11"/>
  <c r="M37" i="11"/>
  <c r="M36" i="11"/>
  <c r="M76" i="11"/>
  <c r="M78" i="11"/>
  <c r="M15" i="11"/>
  <c r="M26" i="11"/>
  <c r="K21" i="11"/>
  <c r="M14" i="11"/>
  <c r="M8" i="11"/>
  <c r="M82" i="11" s="1"/>
  <c r="K31" i="11"/>
  <c r="L30" i="11"/>
  <c r="L25" i="11"/>
  <c r="K32" i="11"/>
  <c r="M44" i="11"/>
  <c r="M51" i="11"/>
  <c r="M65" i="11"/>
  <c r="M43" i="11"/>
  <c r="M60" i="11"/>
  <c r="M58" i="11"/>
  <c r="M53" i="11"/>
  <c r="M67" i="11"/>
  <c r="M42" i="11"/>
  <c r="M66" i="11"/>
  <c r="M61" i="11"/>
  <c r="M41" i="11"/>
  <c r="M68" i="11"/>
  <c r="M59" i="11"/>
  <c r="K46" i="11"/>
  <c r="K45" i="11"/>
  <c r="K44" i="11"/>
  <c r="K51" i="11"/>
  <c r="K62" i="11"/>
  <c r="K52" i="11"/>
  <c r="K43" i="11"/>
  <c r="K54" i="11"/>
  <c r="K59" i="11"/>
  <c r="K70" i="11"/>
  <c r="K37" i="11"/>
  <c r="K67" i="11"/>
  <c r="K61" i="11"/>
  <c r="AC40" i="12"/>
  <c r="AC62" i="12"/>
  <c r="AC48" i="12"/>
  <c r="AC66" i="12"/>
  <c r="AG73" i="12"/>
  <c r="AF45" i="12"/>
  <c r="AG48" i="12"/>
  <c r="AF42" i="12"/>
  <c r="AG42" i="12" s="1"/>
  <c r="AF62" i="12"/>
  <c r="AF76" i="12"/>
  <c r="AF55" i="12"/>
  <c r="AF78" i="12"/>
  <c r="AF61" i="12"/>
  <c r="AF40" i="12"/>
  <c r="AG40" i="12" s="1"/>
  <c r="AF66" i="12"/>
  <c r="AG66" i="12" s="1"/>
  <c r="AF47" i="12"/>
  <c r="AG47" i="12" s="1"/>
  <c r="AF69" i="12"/>
  <c r="AG69" i="12" s="1"/>
  <c r="AF56" i="12"/>
  <c r="AF49" i="12"/>
  <c r="AG35" i="12"/>
  <c r="AF64" i="12"/>
  <c r="AF67" i="12"/>
  <c r="AF51" i="12"/>
  <c r="AC55" i="12"/>
  <c r="AC58" i="12"/>
  <c r="AG58" i="12" s="1"/>
  <c r="AC44" i="12"/>
  <c r="AG44" i="12" s="1"/>
  <c r="AC77" i="12"/>
  <c r="AG77" i="12" s="1"/>
  <c r="AC47" i="12"/>
  <c r="AC72" i="12"/>
  <c r="AG72" i="12" s="1"/>
  <c r="AC57" i="12"/>
  <c r="AG57" i="12" s="1"/>
  <c r="AC60" i="12"/>
  <c r="AG60" i="12" s="1"/>
  <c r="AC41" i="12"/>
  <c r="AG41" i="12" s="1"/>
  <c r="AC71" i="12"/>
  <c r="AG71" i="12" s="1"/>
  <c r="AC56" i="12"/>
  <c r="AP35" i="12"/>
  <c r="AC68" i="12"/>
  <c r="AG68" i="12" s="1"/>
  <c r="AC37" i="12"/>
  <c r="AG37" i="12" s="1"/>
  <c r="AC64" i="12"/>
  <c r="AC78" i="12"/>
  <c r="AC80" i="12" s="1"/>
  <c r="AC76" i="12"/>
  <c r="AC45" i="12"/>
  <c r="AC49" i="12"/>
  <c r="AG49" i="12" s="1"/>
  <c r="AC38" i="12"/>
  <c r="AC59" i="12"/>
  <c r="AG59" i="12" s="1"/>
  <c r="AG36" i="12"/>
  <c r="AC53" i="12"/>
  <c r="AG53" i="12" s="1"/>
  <c r="AC65" i="12"/>
  <c r="AG65" i="12" s="1"/>
  <c r="AC46" i="12"/>
  <c r="AG46" i="12" s="1"/>
  <c r="AC67" i="12"/>
  <c r="AF57" i="12"/>
  <c r="AC42" i="12"/>
  <c r="AC61" i="12"/>
  <c r="AG61" i="12" s="1"/>
  <c r="AC70" i="12"/>
  <c r="AG70" i="12" s="1"/>
  <c r="AC63" i="12"/>
  <c r="AG63" i="12" s="1"/>
  <c r="AC54" i="12"/>
  <c r="AG54" i="12" s="1"/>
  <c r="AC74" i="12"/>
  <c r="AG74" i="12" s="1"/>
  <c r="AC75" i="12"/>
  <c r="AG75" i="12" s="1"/>
  <c r="AC43" i="12"/>
  <c r="AG43" i="12" s="1"/>
  <c r="AC51" i="12"/>
  <c r="AG51" i="12" s="1"/>
  <c r="AG62" i="12"/>
  <c r="AJ38" i="12"/>
  <c r="AL38" i="12" s="1"/>
  <c r="AK37" i="12"/>
  <c r="AG38" i="12"/>
  <c r="AI38" i="12"/>
  <c r="AI39" i="12" s="1"/>
  <c r="AG50" i="12"/>
  <c r="AG39" i="12"/>
  <c r="K72" i="8"/>
  <c r="I72" i="8"/>
  <c r="H71" i="8"/>
  <c r="I71" i="8"/>
  <c r="I73" i="8"/>
  <c r="H73" i="8"/>
  <c r="K74" i="8"/>
  <c r="K75" i="8"/>
  <c r="F75" i="10"/>
  <c r="J73" i="6"/>
  <c r="K73" i="6" s="1"/>
  <c r="F73" i="10"/>
  <c r="L73" i="10" s="1"/>
  <c r="F74" i="10"/>
  <c r="F77" i="10"/>
  <c r="F78" i="10"/>
  <c r="J78" i="6"/>
  <c r="K78" i="6" s="1"/>
  <c r="J76" i="6"/>
  <c r="K76" i="6" s="1"/>
  <c r="F76" i="10"/>
  <c r="L76" i="10" s="1"/>
  <c r="I72" i="7"/>
  <c r="J72" i="7"/>
  <c r="F77" i="8"/>
  <c r="K77" i="8" s="1"/>
  <c r="I66" i="7"/>
  <c r="I58" i="7"/>
  <c r="I50" i="7"/>
  <c r="I34" i="7"/>
  <c r="I26" i="7"/>
  <c r="J65" i="7"/>
  <c r="J57" i="7"/>
  <c r="J49" i="7"/>
  <c r="J41" i="7"/>
  <c r="J33" i="7"/>
  <c r="K72" i="1"/>
  <c r="B72" i="10" s="1"/>
  <c r="D72" i="10" s="1"/>
  <c r="K48" i="1"/>
  <c r="B48" i="10" s="1"/>
  <c r="D48" i="10" s="1"/>
  <c r="K8" i="1"/>
  <c r="B8" i="10" s="1"/>
  <c r="J16" i="8"/>
  <c r="I59" i="8"/>
  <c r="L72" i="10"/>
  <c r="K64" i="1"/>
  <c r="B64" i="10" s="1"/>
  <c r="D64" i="10" s="1"/>
  <c r="K40" i="1"/>
  <c r="B40" i="10" s="1"/>
  <c r="D40" i="10" s="1"/>
  <c r="K16" i="1"/>
  <c r="B16" i="10" s="1"/>
  <c r="K67" i="1"/>
  <c r="B67" i="10" s="1"/>
  <c r="D67" i="10" s="1"/>
  <c r="L56" i="10"/>
  <c r="L64" i="10"/>
  <c r="K32" i="1"/>
  <c r="B32" i="10" s="1"/>
  <c r="D32" i="10" s="1"/>
  <c r="L52" i="10"/>
  <c r="L60" i="10"/>
  <c r="L68" i="10"/>
  <c r="K56" i="1"/>
  <c r="B56" i="10" s="1"/>
  <c r="D56" i="10" s="1"/>
  <c r="K24" i="1"/>
  <c r="B24" i="10" s="1"/>
  <c r="D24" i="10" s="1"/>
  <c r="I28" i="7"/>
  <c r="I12" i="7"/>
  <c r="K51" i="10"/>
  <c r="K59" i="10"/>
  <c r="K71" i="10"/>
  <c r="K63" i="10"/>
  <c r="J9" i="7"/>
  <c r="K52" i="10"/>
  <c r="K56" i="10"/>
  <c r="K60" i="10"/>
  <c r="K64" i="10"/>
  <c r="K68" i="10"/>
  <c r="K72" i="10"/>
  <c r="L32" i="10"/>
  <c r="K55" i="10"/>
  <c r="K67" i="10"/>
  <c r="K49" i="10"/>
  <c r="K53" i="10"/>
  <c r="K57" i="10"/>
  <c r="K61" i="10"/>
  <c r="K65" i="10"/>
  <c r="K69" i="10"/>
  <c r="L13" i="10"/>
  <c r="L53" i="10"/>
  <c r="L57" i="10"/>
  <c r="L61" i="10"/>
  <c r="L65" i="10"/>
  <c r="L69" i="10"/>
  <c r="K50" i="10"/>
  <c r="K54" i="10"/>
  <c r="K58" i="10"/>
  <c r="K62" i="10"/>
  <c r="K66" i="10"/>
  <c r="K70" i="10"/>
  <c r="L54" i="10"/>
  <c r="L58" i="10"/>
  <c r="L62" i="10"/>
  <c r="L66" i="10"/>
  <c r="L70" i="10"/>
  <c r="H54" i="7"/>
  <c r="H30" i="7"/>
  <c r="H22" i="7"/>
  <c r="I69" i="7"/>
  <c r="I61" i="7"/>
  <c r="I37" i="7"/>
  <c r="I21" i="7"/>
  <c r="J52" i="7"/>
  <c r="J44" i="7"/>
  <c r="J36" i="7"/>
  <c r="J28" i="7"/>
  <c r="J20" i="7"/>
  <c r="J3" i="7"/>
  <c r="H65" i="7"/>
  <c r="H57" i="7"/>
  <c r="H49" i="7"/>
  <c r="H41" i="7"/>
  <c r="H33" i="7"/>
  <c r="H25" i="7"/>
  <c r="H17" i="7"/>
  <c r="H9" i="7"/>
  <c r="I57" i="7"/>
  <c r="I40" i="7"/>
  <c r="I33" i="7"/>
  <c r="I17" i="7"/>
  <c r="I9" i="7"/>
  <c r="J56" i="7"/>
  <c r="J48" i="7"/>
  <c r="J40" i="7"/>
  <c r="J31" i="7"/>
  <c r="J23" i="7"/>
  <c r="J16" i="7"/>
  <c r="J8" i="7"/>
  <c r="I53" i="7"/>
  <c r="J68" i="7"/>
  <c r="J38" i="8"/>
  <c r="I24" i="7"/>
  <c r="H8" i="7"/>
  <c r="I63" i="7"/>
  <c r="I31" i="7"/>
  <c r="J62" i="7"/>
  <c r="J4" i="7"/>
  <c r="K59" i="1"/>
  <c r="B59" i="10" s="1"/>
  <c r="D59" i="10" s="1"/>
  <c r="K51" i="1"/>
  <c r="B51" i="10" s="1"/>
  <c r="D51" i="10" s="1"/>
  <c r="K35" i="1"/>
  <c r="B35" i="10" s="1"/>
  <c r="D35" i="10" s="1"/>
  <c r="H4" i="8"/>
  <c r="J6" i="8"/>
  <c r="I9" i="8"/>
  <c r="J14" i="8"/>
  <c r="I17" i="8"/>
  <c r="H20" i="8"/>
  <c r="J22" i="8"/>
  <c r="I25" i="8"/>
  <c r="H28" i="8"/>
  <c r="J30" i="8"/>
  <c r="H36" i="8"/>
  <c r="I41" i="8"/>
  <c r="H44" i="8"/>
  <c r="J46" i="8"/>
  <c r="I49" i="8"/>
  <c r="H52" i="8"/>
  <c r="I57" i="8"/>
  <c r="H60" i="8"/>
  <c r="J62" i="8"/>
  <c r="I65" i="8"/>
  <c r="H68" i="8"/>
  <c r="J70" i="8"/>
  <c r="I25" i="7"/>
  <c r="J60" i="6"/>
  <c r="J32" i="7"/>
  <c r="H32" i="7"/>
  <c r="H24" i="7"/>
  <c r="H16" i="7"/>
  <c r="I39" i="7"/>
  <c r="I15" i="7"/>
  <c r="J30" i="7"/>
  <c r="J22" i="7"/>
  <c r="J14" i="7"/>
  <c r="K21" i="10"/>
  <c r="K37" i="10"/>
  <c r="K41" i="10"/>
  <c r="I49" i="6"/>
  <c r="I57" i="6"/>
  <c r="I4" i="8"/>
  <c r="H7" i="8"/>
  <c r="J9" i="8"/>
  <c r="I12" i="8"/>
  <c r="H15" i="8"/>
  <c r="J17" i="8"/>
  <c r="I20" i="8"/>
  <c r="H23" i="8"/>
  <c r="J25" i="8"/>
  <c r="I28" i="8"/>
  <c r="H31" i="8"/>
  <c r="J33" i="8"/>
  <c r="I36" i="8"/>
  <c r="H39" i="8"/>
  <c r="J41" i="8"/>
  <c r="I44" i="8"/>
  <c r="H47" i="8"/>
  <c r="J49" i="8"/>
  <c r="I52" i="8"/>
  <c r="H55" i="8"/>
  <c r="J57" i="8"/>
  <c r="I60" i="8"/>
  <c r="H63" i="8"/>
  <c r="J65" i="8"/>
  <c r="I68" i="8"/>
  <c r="I41" i="7"/>
  <c r="H70" i="7"/>
  <c r="H62" i="7"/>
  <c r="H46" i="7"/>
  <c r="H38" i="7"/>
  <c r="H14" i="7"/>
  <c r="H7" i="7"/>
  <c r="I45" i="7"/>
  <c r="I29" i="7"/>
  <c r="I13" i="7"/>
  <c r="I5" i="7"/>
  <c r="J60" i="7"/>
  <c r="J45" i="6"/>
  <c r="J49" i="6"/>
  <c r="I3" i="8"/>
  <c r="J4" i="8"/>
  <c r="I7" i="8"/>
  <c r="H10" i="8"/>
  <c r="J12" i="8"/>
  <c r="I15" i="8"/>
  <c r="H18" i="8"/>
  <c r="J20" i="8"/>
  <c r="I23" i="8"/>
  <c r="H26" i="8"/>
  <c r="J28" i="8"/>
  <c r="I31" i="8"/>
  <c r="H34" i="8"/>
  <c r="J36" i="8"/>
  <c r="I39" i="8"/>
  <c r="H42" i="8"/>
  <c r="J44" i="8"/>
  <c r="I47" i="8"/>
  <c r="H50" i="8"/>
  <c r="J52" i="8"/>
  <c r="I55" i="8"/>
  <c r="H58" i="8"/>
  <c r="J60" i="8"/>
  <c r="I63" i="8"/>
  <c r="H66" i="8"/>
  <c r="J68" i="8"/>
  <c r="K78" i="1"/>
  <c r="B78" i="10" s="1"/>
  <c r="D78" i="10" s="1"/>
  <c r="K70" i="1"/>
  <c r="B70" i="10" s="1"/>
  <c r="D70" i="10" s="1"/>
  <c r="K62" i="1"/>
  <c r="B62" i="10" s="1"/>
  <c r="D62" i="10" s="1"/>
  <c r="K54" i="1"/>
  <c r="B54" i="10" s="1"/>
  <c r="D54" i="10" s="1"/>
  <c r="K46" i="1"/>
  <c r="B46" i="10" s="1"/>
  <c r="D46" i="10" s="1"/>
  <c r="K38" i="1"/>
  <c r="B38" i="10" s="1"/>
  <c r="D38" i="10" s="1"/>
  <c r="K30" i="1"/>
  <c r="B30" i="10" s="1"/>
  <c r="D30" i="10" s="1"/>
  <c r="K22" i="1"/>
  <c r="B22" i="10" s="1"/>
  <c r="D22" i="10" s="1"/>
  <c r="K14" i="1"/>
  <c r="B14" i="10" s="1"/>
  <c r="D14" i="10" s="1"/>
  <c r="K6" i="1"/>
  <c r="B6" i="10" s="1"/>
  <c r="D6" i="10" s="1"/>
  <c r="K27" i="1"/>
  <c r="B27" i="10" s="1"/>
  <c r="D27" i="10" s="1"/>
  <c r="K19" i="1"/>
  <c r="B19" i="10" s="1"/>
  <c r="D19" i="10" s="1"/>
  <c r="K3" i="1"/>
  <c r="B3" i="10" s="1"/>
  <c r="D3" i="10" s="1"/>
  <c r="J33" i="6"/>
  <c r="H5" i="8"/>
  <c r="J7" i="8"/>
  <c r="I10" i="8"/>
  <c r="H13" i="8"/>
  <c r="J15" i="8"/>
  <c r="I18" i="8"/>
  <c r="H21" i="8"/>
  <c r="J23" i="8"/>
  <c r="I26" i="8"/>
  <c r="H29" i="8"/>
  <c r="J31" i="8"/>
  <c r="I34" i="8"/>
  <c r="H37" i="8"/>
  <c r="J39" i="8"/>
  <c r="I42" i="8"/>
  <c r="H45" i="8"/>
  <c r="J47" i="8"/>
  <c r="I50" i="8"/>
  <c r="H53" i="8"/>
  <c r="J55" i="8"/>
  <c r="I58" i="8"/>
  <c r="H61" i="8"/>
  <c r="J63" i="8"/>
  <c r="I66" i="8"/>
  <c r="H69" i="8"/>
  <c r="I52" i="7"/>
  <c r="I20" i="7"/>
  <c r="I3" i="7"/>
  <c r="J67" i="7"/>
  <c r="K77" i="1"/>
  <c r="B77" i="10" s="1"/>
  <c r="D77" i="10" s="1"/>
  <c r="K69" i="1"/>
  <c r="B69" i="10" s="1"/>
  <c r="D69" i="10" s="1"/>
  <c r="K61" i="1"/>
  <c r="B61" i="10" s="1"/>
  <c r="D61" i="10" s="1"/>
  <c r="K53" i="1"/>
  <c r="B53" i="10" s="1"/>
  <c r="D53" i="10" s="1"/>
  <c r="K45" i="1"/>
  <c r="B45" i="10" s="1"/>
  <c r="D45" i="10" s="1"/>
  <c r="K37" i="1"/>
  <c r="B37" i="10" s="1"/>
  <c r="D37" i="10" s="1"/>
  <c r="K29" i="1"/>
  <c r="B29" i="10" s="1"/>
  <c r="D29" i="10" s="1"/>
  <c r="K21" i="1"/>
  <c r="B21" i="10" s="1"/>
  <c r="D21" i="10" s="1"/>
  <c r="K13" i="1"/>
  <c r="B13" i="10" s="1"/>
  <c r="D13" i="10" s="1"/>
  <c r="K5" i="1"/>
  <c r="B5" i="10" s="1"/>
  <c r="D5" i="10" s="1"/>
  <c r="J4" i="6"/>
  <c r="J12" i="6"/>
  <c r="I22" i="6"/>
  <c r="H3" i="6"/>
  <c r="J24" i="7"/>
  <c r="H3" i="7"/>
  <c r="J25" i="7"/>
  <c r="J17" i="7"/>
  <c r="J29" i="6"/>
  <c r="I26" i="6"/>
  <c r="K43" i="1"/>
  <c r="B43" i="10" s="1"/>
  <c r="D43" i="10" s="1"/>
  <c r="K11" i="1"/>
  <c r="B11" i="10" s="1"/>
  <c r="D11" i="10" s="1"/>
  <c r="I44" i="7"/>
  <c r="I4" i="7"/>
  <c r="J11" i="7"/>
  <c r="J12" i="7"/>
  <c r="H3" i="8"/>
  <c r="I60" i="7"/>
  <c r="K76" i="1"/>
  <c r="B76" i="10" s="1"/>
  <c r="D76" i="10" s="1"/>
  <c r="K68" i="1"/>
  <c r="B68" i="10" s="1"/>
  <c r="D68" i="10" s="1"/>
  <c r="K60" i="1"/>
  <c r="B60" i="10" s="1"/>
  <c r="D60" i="10" s="1"/>
  <c r="K52" i="1"/>
  <c r="B52" i="10" s="1"/>
  <c r="D52" i="10" s="1"/>
  <c r="K44" i="1"/>
  <c r="B44" i="10" s="1"/>
  <c r="D44" i="10" s="1"/>
  <c r="K36" i="1"/>
  <c r="B36" i="10" s="1"/>
  <c r="D36" i="10" s="1"/>
  <c r="K28" i="1"/>
  <c r="B28" i="10" s="1"/>
  <c r="D28" i="10" s="1"/>
  <c r="K20" i="1"/>
  <c r="B20" i="10" s="1"/>
  <c r="K12" i="1"/>
  <c r="B12" i="10" s="1"/>
  <c r="D12" i="10" s="1"/>
  <c r="K4" i="1"/>
  <c r="B4" i="10" s="1"/>
  <c r="D4" i="10" s="1"/>
  <c r="K65" i="1"/>
  <c r="B65" i="10" s="1"/>
  <c r="D65" i="10" s="1"/>
  <c r="K57" i="1"/>
  <c r="B57" i="10" s="1"/>
  <c r="D57" i="10" s="1"/>
  <c r="K49" i="1"/>
  <c r="B49" i="10" s="1"/>
  <c r="D49" i="10" s="1"/>
  <c r="K41" i="1"/>
  <c r="B41" i="10" s="1"/>
  <c r="D41" i="10" s="1"/>
  <c r="K33" i="1"/>
  <c r="B33" i="10" s="1"/>
  <c r="D33" i="10" s="1"/>
  <c r="K25" i="1"/>
  <c r="B25" i="10" s="1"/>
  <c r="K17" i="1"/>
  <c r="B17" i="10" s="1"/>
  <c r="D17" i="10" s="1"/>
  <c r="K9" i="1"/>
  <c r="B9" i="10" s="1"/>
  <c r="D9" i="10" s="1"/>
  <c r="I43" i="7"/>
  <c r="I11" i="7"/>
  <c r="H6" i="8"/>
  <c r="I11" i="8"/>
  <c r="H14" i="8"/>
  <c r="H22" i="8"/>
  <c r="I27" i="8"/>
  <c r="J32" i="8"/>
  <c r="I35" i="8"/>
  <c r="I43" i="8"/>
  <c r="J48" i="8"/>
  <c r="H54" i="8"/>
  <c r="J56" i="8"/>
  <c r="J64" i="8"/>
  <c r="H70" i="8"/>
  <c r="H6" i="7"/>
  <c r="J15" i="7"/>
  <c r="J7" i="7"/>
  <c r="L27" i="10"/>
  <c r="L43" i="10"/>
  <c r="I6" i="8"/>
  <c r="H9" i="8"/>
  <c r="J11" i="8"/>
  <c r="I14" i="8"/>
  <c r="H17" i="8"/>
  <c r="J19" i="8"/>
  <c r="I22" i="8"/>
  <c r="H25" i="8"/>
  <c r="J27" i="8"/>
  <c r="I30" i="8"/>
  <c r="H33" i="8"/>
  <c r="J35" i="8"/>
  <c r="I38" i="8"/>
  <c r="H41" i="8"/>
  <c r="J43" i="8"/>
  <c r="I46" i="8"/>
  <c r="H49" i="8"/>
  <c r="J51" i="8"/>
  <c r="I54" i="8"/>
  <c r="H57" i="8"/>
  <c r="J59" i="8"/>
  <c r="I62" i="8"/>
  <c r="H65" i="8"/>
  <c r="J67" i="8"/>
  <c r="I70" i="8"/>
  <c r="K74" i="1"/>
  <c r="B74" i="10" s="1"/>
  <c r="D74" i="10" s="1"/>
  <c r="K66" i="1"/>
  <c r="B66" i="10" s="1"/>
  <c r="D66" i="10" s="1"/>
  <c r="K58" i="1"/>
  <c r="B58" i="10" s="1"/>
  <c r="D58" i="10" s="1"/>
  <c r="K50" i="1"/>
  <c r="B50" i="10" s="1"/>
  <c r="D50" i="10" s="1"/>
  <c r="K42" i="1"/>
  <c r="B42" i="10" s="1"/>
  <c r="D42" i="10" s="1"/>
  <c r="K34" i="1"/>
  <c r="B34" i="10" s="1"/>
  <c r="D34" i="10" s="1"/>
  <c r="K26" i="1"/>
  <c r="B26" i="10" s="1"/>
  <c r="D26" i="10" s="1"/>
  <c r="K18" i="1"/>
  <c r="B18" i="10" s="1"/>
  <c r="D18" i="10" s="1"/>
  <c r="K10" i="1"/>
  <c r="B10" i="10" s="1"/>
  <c r="D10" i="10" s="1"/>
  <c r="K2" i="1"/>
  <c r="B2" i="10" s="1"/>
  <c r="D2" i="10" s="1"/>
  <c r="I70" i="7"/>
  <c r="I62" i="7"/>
  <c r="I54" i="7"/>
  <c r="I46" i="7"/>
  <c r="I30" i="7"/>
  <c r="I22" i="7"/>
  <c r="I6" i="7"/>
  <c r="J61" i="7"/>
  <c r="J53" i="7"/>
  <c r="J45" i="7"/>
  <c r="J37" i="7"/>
  <c r="J6" i="7"/>
  <c r="H38" i="8"/>
  <c r="I36" i="7"/>
  <c r="H56" i="7"/>
  <c r="H55" i="7"/>
  <c r="J54" i="6"/>
  <c r="J58" i="6"/>
  <c r="I5" i="8"/>
  <c r="H8" i="8"/>
  <c r="J10" i="8"/>
  <c r="I13" i="8"/>
  <c r="H16" i="8"/>
  <c r="J18" i="8"/>
  <c r="I21" i="8"/>
  <c r="H24" i="8"/>
  <c r="J26" i="8"/>
  <c r="I29" i="8"/>
  <c r="H32" i="8"/>
  <c r="J34" i="8"/>
  <c r="I37" i="8"/>
  <c r="H40" i="8"/>
  <c r="J42" i="8"/>
  <c r="I45" i="8"/>
  <c r="H48" i="8"/>
  <c r="J50" i="8"/>
  <c r="I53" i="8"/>
  <c r="H56" i="8"/>
  <c r="J58" i="8"/>
  <c r="I61" i="8"/>
  <c r="H64" i="8"/>
  <c r="J66" i="8"/>
  <c r="I69" i="8"/>
  <c r="I8" i="7"/>
  <c r="J13" i="7"/>
  <c r="J21" i="7"/>
  <c r="J54" i="7"/>
  <c r="K75" i="1"/>
  <c r="B75" i="10" s="1"/>
  <c r="D75" i="10" s="1"/>
  <c r="H72" i="7"/>
  <c r="H71" i="7"/>
  <c r="J24" i="8"/>
  <c r="H11" i="8"/>
  <c r="H19" i="8"/>
  <c r="H27" i="8"/>
  <c r="I32" i="8"/>
  <c r="J37" i="8"/>
  <c r="J45" i="8"/>
  <c r="H51" i="8"/>
  <c r="J53" i="8"/>
  <c r="H59" i="8"/>
  <c r="J61" i="8"/>
  <c r="H67" i="8"/>
  <c r="J69" i="8"/>
  <c r="I55" i="7"/>
  <c r="I19" i="8"/>
  <c r="H62" i="8"/>
  <c r="J3" i="6"/>
  <c r="J7" i="6"/>
  <c r="J11" i="6"/>
  <c r="J27" i="6"/>
  <c r="J31" i="6"/>
  <c r="J47" i="6"/>
  <c r="J71" i="6"/>
  <c r="J5" i="7"/>
  <c r="I14" i="7"/>
  <c r="J29" i="7"/>
  <c r="J47" i="7"/>
  <c r="K73" i="1"/>
  <c r="B73" i="10" s="1"/>
  <c r="D73" i="10" s="1"/>
  <c r="I67" i="8"/>
  <c r="I8" i="8"/>
  <c r="J21" i="8"/>
  <c r="J29" i="8"/>
  <c r="I40" i="8"/>
  <c r="I48" i="8"/>
  <c r="I64" i="8"/>
  <c r="J40" i="8"/>
  <c r="I25" i="6"/>
  <c r="J3" i="8"/>
  <c r="H23" i="7"/>
  <c r="I38" i="7"/>
  <c r="I18" i="7"/>
  <c r="I19" i="7"/>
  <c r="H64" i="7"/>
  <c r="H63" i="7"/>
  <c r="H40" i="7"/>
  <c r="H39" i="7"/>
  <c r="J70" i="7"/>
  <c r="J69" i="7"/>
  <c r="H46" i="8"/>
  <c r="J13" i="8"/>
  <c r="J46" i="7"/>
  <c r="H12" i="8"/>
  <c r="I33" i="8"/>
  <c r="J54" i="8"/>
  <c r="I23" i="7"/>
  <c r="J38" i="7"/>
  <c r="J71" i="7"/>
  <c r="L3" i="10"/>
  <c r="K71" i="1"/>
  <c r="B71" i="10" s="1"/>
  <c r="D71" i="10" s="1"/>
  <c r="K63" i="1"/>
  <c r="B63" i="10" s="1"/>
  <c r="D63" i="10" s="1"/>
  <c r="K55" i="1"/>
  <c r="B55" i="10" s="1"/>
  <c r="D55" i="10" s="1"/>
  <c r="K47" i="1"/>
  <c r="B47" i="10" s="1"/>
  <c r="D47" i="10" s="1"/>
  <c r="K39" i="1"/>
  <c r="B39" i="10" s="1"/>
  <c r="D39" i="10" s="1"/>
  <c r="K31" i="1"/>
  <c r="B31" i="10" s="1"/>
  <c r="D31" i="10" s="1"/>
  <c r="K23" i="1"/>
  <c r="B23" i="10" s="1"/>
  <c r="D23" i="10" s="1"/>
  <c r="K15" i="1"/>
  <c r="B15" i="10" s="1"/>
  <c r="D15" i="10" s="1"/>
  <c r="K7" i="1"/>
  <c r="B7" i="10" s="1"/>
  <c r="D7" i="10" s="1"/>
  <c r="H48" i="7"/>
  <c r="H47" i="7"/>
  <c r="I3" i="6"/>
  <c r="J5" i="8"/>
  <c r="I16" i="8"/>
  <c r="I24" i="8"/>
  <c r="H35" i="8"/>
  <c r="H43" i="8"/>
  <c r="I56" i="8"/>
  <c r="H31" i="7"/>
  <c r="I64" i="7"/>
  <c r="I65" i="7"/>
  <c r="I48" i="7"/>
  <c r="I49" i="7"/>
  <c r="J63" i="7"/>
  <c r="J64" i="7"/>
  <c r="J8" i="8"/>
  <c r="H30" i="8"/>
  <c r="I51" i="8"/>
  <c r="H67" i="7"/>
  <c r="H59" i="7"/>
  <c r="H51" i="7"/>
  <c r="H43" i="7"/>
  <c r="H35" i="7"/>
  <c r="H27" i="7"/>
  <c r="H19" i="7"/>
  <c r="H11" i="7"/>
  <c r="I71" i="7"/>
  <c r="I56" i="7"/>
  <c r="I47" i="7"/>
  <c r="I7" i="7"/>
  <c r="K14" i="10"/>
  <c r="K30" i="10"/>
  <c r="K38" i="10"/>
  <c r="L46" i="10"/>
  <c r="H69" i="7"/>
  <c r="H61" i="7"/>
  <c r="H53" i="7"/>
  <c r="H45" i="7"/>
  <c r="H37" i="7"/>
  <c r="H29" i="7"/>
  <c r="H21" i="7"/>
  <c r="H13" i="7"/>
  <c r="H5" i="7"/>
  <c r="I68" i="7"/>
  <c r="I59" i="7"/>
  <c r="I51" i="7"/>
  <c r="I27" i="7"/>
  <c r="J66" i="7"/>
  <c r="J58" i="7"/>
  <c r="J50" i="7"/>
  <c r="J43" i="7"/>
  <c r="J34" i="7"/>
  <c r="J26" i="7"/>
  <c r="J18" i="7"/>
  <c r="J10" i="7"/>
  <c r="D25" i="10"/>
  <c r="D16" i="10"/>
  <c r="D8" i="10"/>
  <c r="L28" i="10"/>
  <c r="L23" i="10"/>
  <c r="K26" i="10"/>
  <c r="K34" i="10"/>
  <c r="L6" i="10"/>
  <c r="L44" i="10"/>
  <c r="K32" i="10"/>
  <c r="L34" i="10"/>
  <c r="L39" i="10"/>
  <c r="K42" i="10"/>
  <c r="L16" i="10"/>
  <c r="L36" i="10"/>
  <c r="K22" i="10"/>
  <c r="K6" i="10"/>
  <c r="L12" i="10"/>
  <c r="K25" i="10"/>
  <c r="L7" i="10"/>
  <c r="K10" i="10"/>
  <c r="L48" i="10"/>
  <c r="K17" i="10"/>
  <c r="L19" i="10"/>
  <c r="K33" i="10"/>
  <c r="L35" i="10"/>
  <c r="K40" i="10"/>
  <c r="L42" i="10"/>
  <c r="K47" i="10"/>
  <c r="L8" i="10"/>
  <c r="K15" i="10"/>
  <c r="L24" i="10"/>
  <c r="L40" i="10"/>
  <c r="L47" i="10"/>
  <c r="K13" i="10"/>
  <c r="L15" i="10"/>
  <c r="K29" i="10"/>
  <c r="L31" i="10"/>
  <c r="K36" i="10"/>
  <c r="L38" i="10"/>
  <c r="K11" i="10"/>
  <c r="K9" i="10"/>
  <c r="L11" i="10"/>
  <c r="K5" i="10"/>
  <c r="K18" i="10"/>
  <c r="K3" i="10"/>
  <c r="K7" i="10"/>
  <c r="K19" i="10"/>
  <c r="K23" i="10"/>
  <c r="K27" i="10"/>
  <c r="K31" i="10"/>
  <c r="K35" i="10"/>
  <c r="K39" i="10"/>
  <c r="K43" i="10"/>
  <c r="K46" i="10"/>
  <c r="L49" i="10"/>
  <c r="L10" i="10"/>
  <c r="L14" i="10"/>
  <c r="L18" i="10"/>
  <c r="L22" i="10"/>
  <c r="L26" i="10"/>
  <c r="L30" i="10"/>
  <c r="L33" i="10"/>
  <c r="L37" i="10"/>
  <c r="L41" i="10"/>
  <c r="L45" i="10"/>
  <c r="K45" i="10"/>
  <c r="K48" i="10"/>
  <c r="L4" i="10"/>
  <c r="K8" i="10"/>
  <c r="K12" i="10"/>
  <c r="K24" i="10"/>
  <c r="K28" i="10"/>
  <c r="K44" i="10"/>
  <c r="L50" i="10"/>
  <c r="K4" i="10"/>
  <c r="K16" i="10"/>
  <c r="L5" i="10"/>
  <c r="L9" i="10"/>
  <c r="L17" i="10"/>
  <c r="L21" i="10"/>
  <c r="L25" i="10"/>
  <c r="L29" i="10"/>
  <c r="F4" i="7"/>
  <c r="J59" i="7"/>
  <c r="J42" i="7"/>
  <c r="J51" i="7"/>
  <c r="J19" i="7"/>
  <c r="J27" i="7"/>
  <c r="J35" i="7"/>
  <c r="J55" i="7"/>
  <c r="J39" i="7"/>
  <c r="I35" i="7"/>
  <c r="I16" i="7"/>
  <c r="I32" i="7"/>
  <c r="I42" i="7"/>
  <c r="I10" i="7"/>
  <c r="I67" i="7"/>
  <c r="H4" i="7"/>
  <c r="H12" i="7"/>
  <c r="H20" i="7"/>
  <c r="H28" i="7"/>
  <c r="H36" i="7"/>
  <c r="H44" i="7"/>
  <c r="H52" i="7"/>
  <c r="H60" i="7"/>
  <c r="H68" i="7"/>
  <c r="H15" i="7"/>
  <c r="H10" i="7"/>
  <c r="H18" i="7"/>
  <c r="H26" i="7"/>
  <c r="H34" i="7"/>
  <c r="H42" i="7"/>
  <c r="H50" i="7"/>
  <c r="H58" i="7"/>
  <c r="H66" i="7"/>
  <c r="J16" i="6"/>
  <c r="J20" i="6"/>
  <c r="J24" i="6"/>
  <c r="J36" i="6"/>
  <c r="J40" i="6"/>
  <c r="J44" i="6"/>
  <c r="I9" i="6"/>
  <c r="I33" i="6"/>
  <c r="I37" i="6"/>
  <c r="I41" i="6"/>
  <c r="J52" i="6"/>
  <c r="J56" i="6"/>
  <c r="J64" i="6"/>
  <c r="J68" i="6"/>
  <c r="J72" i="6"/>
  <c r="J5" i="6"/>
  <c r="I30" i="6"/>
  <c r="I47" i="6"/>
  <c r="J14" i="6"/>
  <c r="J18" i="6"/>
  <c r="J22" i="6"/>
  <c r="J38" i="6"/>
  <c r="I62" i="6"/>
  <c r="I44" i="6"/>
  <c r="J62" i="6"/>
  <c r="J66" i="6"/>
  <c r="J70" i="6"/>
  <c r="H5" i="6"/>
  <c r="H8" i="6"/>
  <c r="J10" i="6"/>
  <c r="J35" i="6"/>
  <c r="J37" i="6"/>
  <c r="J39" i="6"/>
  <c r="J41" i="6"/>
  <c r="J43" i="6"/>
  <c r="I45" i="6"/>
  <c r="H56" i="6"/>
  <c r="J9" i="6"/>
  <c r="J26" i="6"/>
  <c r="J51" i="6"/>
  <c r="J53" i="6"/>
  <c r="J55" i="6"/>
  <c r="J57" i="6"/>
  <c r="J59" i="6"/>
  <c r="I11" i="6"/>
  <c r="J32" i="6"/>
  <c r="J34" i="6"/>
  <c r="J42" i="6"/>
  <c r="H61" i="6"/>
  <c r="J61" i="6"/>
  <c r="J63" i="6"/>
  <c r="J65" i="6"/>
  <c r="J13" i="6"/>
  <c r="J15" i="6"/>
  <c r="J19" i="6"/>
  <c r="J21" i="6"/>
  <c r="J46" i="6"/>
  <c r="J48" i="6"/>
  <c r="I4" i="6"/>
  <c r="I6" i="6"/>
  <c r="J23" i="6"/>
  <c r="J25" i="6"/>
  <c r="H37" i="6"/>
  <c r="I55" i="6"/>
  <c r="J6" i="6"/>
  <c r="J8" i="6"/>
  <c r="I31" i="6"/>
  <c r="H47" i="6"/>
  <c r="J50" i="6"/>
  <c r="I68" i="6"/>
  <c r="I70" i="6"/>
  <c r="J30" i="6"/>
  <c r="I36" i="6"/>
  <c r="J67" i="6"/>
  <c r="J69" i="6"/>
  <c r="J17" i="6"/>
  <c r="J28" i="6"/>
  <c r="H43" i="6"/>
  <c r="H50" i="6"/>
  <c r="I50" i="6"/>
  <c r="I52" i="6"/>
  <c r="I63" i="6"/>
  <c r="I28" i="6"/>
  <c r="I54" i="6"/>
  <c r="I56" i="6"/>
  <c r="H62" i="6"/>
  <c r="I10" i="6"/>
  <c r="H15" i="6"/>
  <c r="I20" i="6"/>
  <c r="I58" i="6"/>
  <c r="I60" i="6"/>
  <c r="I69" i="6"/>
  <c r="I15" i="6"/>
  <c r="H23" i="6"/>
  <c r="I23" i="6"/>
  <c r="H29" i="6"/>
  <c r="I39" i="6"/>
  <c r="I40" i="6"/>
  <c r="I64" i="6"/>
  <c r="H70" i="6"/>
  <c r="I7" i="6"/>
  <c r="I16" i="6"/>
  <c r="I66" i="6"/>
  <c r="I8" i="6"/>
  <c r="I13" i="6"/>
  <c r="I18" i="6"/>
  <c r="H35" i="6"/>
  <c r="I46" i="6"/>
  <c r="I61" i="6"/>
  <c r="I5" i="6"/>
  <c r="H12" i="6"/>
  <c r="H18" i="6"/>
  <c r="H27" i="6"/>
  <c r="I38" i="6"/>
  <c r="H40" i="6"/>
  <c r="I48" i="6"/>
  <c r="H52" i="6"/>
  <c r="I53" i="6"/>
  <c r="H66" i="6"/>
  <c r="H58" i="6"/>
  <c r="I71" i="6"/>
  <c r="H19" i="6"/>
  <c r="H24" i="6"/>
  <c r="I32" i="6"/>
  <c r="H67" i="6"/>
  <c r="H7" i="6"/>
  <c r="I24" i="6"/>
  <c r="I29" i="6"/>
  <c r="H42" i="6"/>
  <c r="I42" i="6"/>
  <c r="H72" i="6"/>
  <c r="I21" i="6"/>
  <c r="H34" i="6"/>
  <c r="I34" i="6"/>
  <c r="H38" i="6"/>
  <c r="H59" i="6"/>
  <c r="I72" i="6"/>
  <c r="H11" i="6"/>
  <c r="H16" i="6"/>
  <c r="H21" i="6"/>
  <c r="H26" i="6"/>
  <c r="H64" i="6"/>
  <c r="H69" i="6"/>
  <c r="H28" i="6"/>
  <c r="H51" i="6"/>
  <c r="I14" i="6"/>
  <c r="I17" i="6"/>
  <c r="H49" i="6"/>
  <c r="H57" i="6"/>
  <c r="I12" i="6"/>
  <c r="I65" i="6"/>
  <c r="I19" i="6"/>
  <c r="I27" i="6"/>
  <c r="I35" i="6"/>
  <c r="I43" i="6"/>
  <c r="I51" i="6"/>
  <c r="I59" i="6"/>
  <c r="I67" i="6"/>
  <c r="L83" i="11" l="1"/>
  <c r="K88" i="11"/>
  <c r="L85" i="11"/>
  <c r="M84" i="11"/>
  <c r="L84" i="11"/>
  <c r="K85" i="11"/>
  <c r="L82" i="11"/>
  <c r="K84" i="11"/>
  <c r="M83" i="11"/>
  <c r="K82" i="11"/>
  <c r="M85" i="11"/>
  <c r="L87" i="11"/>
  <c r="L86" i="11"/>
  <c r="M86" i="11"/>
  <c r="L88" i="11"/>
  <c r="M88" i="11"/>
  <c r="M87" i="11"/>
  <c r="K87" i="11"/>
  <c r="K86" i="11"/>
  <c r="AG64" i="12"/>
  <c r="AP37" i="12"/>
  <c r="AG67" i="12"/>
  <c r="AG55" i="12"/>
  <c r="AG45" i="12"/>
  <c r="AG76" i="12"/>
  <c r="AG56" i="12"/>
  <c r="AO38" i="12"/>
  <c r="AP38" i="12" s="1"/>
  <c r="AG78" i="12"/>
  <c r="AJ39" i="12"/>
  <c r="AL39" i="12" s="1"/>
  <c r="AK38" i="12"/>
  <c r="AI40" i="12"/>
  <c r="AO39" i="12"/>
  <c r="AP39" i="12" s="1"/>
  <c r="K73" i="8"/>
  <c r="K71" i="8"/>
  <c r="L75" i="10"/>
  <c r="J77" i="6"/>
  <c r="K77" i="6" s="1"/>
  <c r="L77" i="10"/>
  <c r="L74" i="10"/>
  <c r="J74" i="6"/>
  <c r="K74" i="6" s="1"/>
  <c r="L78" i="10"/>
  <c r="J75" i="6"/>
  <c r="K75" i="6" s="1"/>
  <c r="K36" i="8"/>
  <c r="F78" i="8"/>
  <c r="K78" i="8" s="1"/>
  <c r="K28" i="8"/>
  <c r="K7" i="8"/>
  <c r="K44" i="8"/>
  <c r="K17" i="8"/>
  <c r="K52" i="8"/>
  <c r="K39" i="8"/>
  <c r="K58" i="8"/>
  <c r="K9" i="8"/>
  <c r="K34" i="8"/>
  <c r="K45" i="8"/>
  <c r="K65" i="8"/>
  <c r="K62" i="8"/>
  <c r="K41" i="8"/>
  <c r="K3" i="7"/>
  <c r="M3" i="7" s="1"/>
  <c r="N3" i="7" s="1"/>
  <c r="K23" i="8"/>
  <c r="K3" i="8"/>
  <c r="M3" i="8" s="1"/>
  <c r="K46" i="8"/>
  <c r="K50" i="8"/>
  <c r="K22" i="8"/>
  <c r="K26" i="8"/>
  <c r="K57" i="8"/>
  <c r="K14" i="8"/>
  <c r="K20" i="8"/>
  <c r="K18" i="8"/>
  <c r="K66" i="8"/>
  <c r="K31" i="8"/>
  <c r="K55" i="8"/>
  <c r="K60" i="8"/>
  <c r="K59" i="8"/>
  <c r="K49" i="8"/>
  <c r="K56" i="8"/>
  <c r="K12" i="8"/>
  <c r="K37" i="8"/>
  <c r="K15" i="8"/>
  <c r="K10" i="8"/>
  <c r="K29" i="8"/>
  <c r="K69" i="8"/>
  <c r="K68" i="8"/>
  <c r="K47" i="8"/>
  <c r="K4" i="8"/>
  <c r="K51" i="8"/>
  <c r="J77" i="10"/>
  <c r="J4" i="10"/>
  <c r="M4" i="10" s="1"/>
  <c r="K63" i="8"/>
  <c r="J50" i="10"/>
  <c r="J70" i="10"/>
  <c r="J10" i="10"/>
  <c r="M10" i="10" s="1"/>
  <c r="J75" i="10"/>
  <c r="K49" i="6"/>
  <c r="J28" i="10"/>
  <c r="J78" i="10"/>
  <c r="K11" i="8"/>
  <c r="J30" i="10"/>
  <c r="K5" i="8"/>
  <c r="K6" i="8"/>
  <c r="J38" i="10"/>
  <c r="K30" i="8"/>
  <c r="K33" i="8"/>
  <c r="K43" i="8"/>
  <c r="K25" i="8"/>
  <c r="K42" i="8"/>
  <c r="K27" i="8"/>
  <c r="J60" i="10"/>
  <c r="J46" i="10"/>
  <c r="K19" i="8"/>
  <c r="K35" i="8"/>
  <c r="K64" i="8"/>
  <c r="J71" i="10"/>
  <c r="J14" i="10"/>
  <c r="M14" i="10" s="1"/>
  <c r="J21" i="10"/>
  <c r="J31" i="10"/>
  <c r="J45" i="10"/>
  <c r="J29" i="10"/>
  <c r="J7" i="10"/>
  <c r="M7" i="10" s="1"/>
  <c r="K61" i="8"/>
  <c r="K67" i="8"/>
  <c r="K70" i="8"/>
  <c r="J17" i="10"/>
  <c r="J53" i="10"/>
  <c r="K53" i="8"/>
  <c r="K32" i="8"/>
  <c r="J58" i="10"/>
  <c r="K38" i="8"/>
  <c r="K54" i="8"/>
  <c r="J41" i="10"/>
  <c r="J61" i="10"/>
  <c r="K8" i="8"/>
  <c r="J3" i="10"/>
  <c r="M3" i="10" s="1"/>
  <c r="O3" i="10" s="1"/>
  <c r="P3" i="10" s="1"/>
  <c r="J66" i="10"/>
  <c r="J11" i="10"/>
  <c r="M11" i="10" s="1"/>
  <c r="J13" i="10"/>
  <c r="M13" i="10" s="1"/>
  <c r="J62" i="10"/>
  <c r="J26" i="10"/>
  <c r="J5" i="10"/>
  <c r="M5" i="10" s="1"/>
  <c r="J33" i="10"/>
  <c r="J37" i="10"/>
  <c r="J36" i="10"/>
  <c r="J18" i="10"/>
  <c r="J15" i="10"/>
  <c r="M15" i="10" s="1"/>
  <c r="K16" i="8"/>
  <c r="K40" i="8"/>
  <c r="J25" i="10"/>
  <c r="J12" i="10"/>
  <c r="M12" i="10" s="1"/>
  <c r="K24" i="8"/>
  <c r="J23" i="10"/>
  <c r="K48" i="8"/>
  <c r="K13" i="8"/>
  <c r="J43" i="10"/>
  <c r="J65" i="10"/>
  <c r="J51" i="10"/>
  <c r="J48" i="10"/>
  <c r="K15" i="6"/>
  <c r="J8" i="10"/>
  <c r="M8" i="10" s="1"/>
  <c r="J72" i="10"/>
  <c r="J69" i="10"/>
  <c r="J59" i="10"/>
  <c r="J47" i="10"/>
  <c r="J67" i="10"/>
  <c r="J54" i="10"/>
  <c r="J57" i="10"/>
  <c r="K21" i="8"/>
  <c r="J34" i="10"/>
  <c r="K37" i="6"/>
  <c r="J6" i="10"/>
  <c r="M6" i="10" s="1"/>
  <c r="J9" i="10"/>
  <c r="M9" i="10" s="1"/>
  <c r="J73" i="10"/>
  <c r="M73" i="10" s="1"/>
  <c r="J63" i="10"/>
  <c r="J19" i="10"/>
  <c r="K7" i="6"/>
  <c r="K57" i="6"/>
  <c r="K26" i="6"/>
  <c r="K67" i="6"/>
  <c r="K52" i="6"/>
  <c r="J49" i="10"/>
  <c r="J42" i="10"/>
  <c r="J44" i="10"/>
  <c r="J35" i="10"/>
  <c r="J22" i="10"/>
  <c r="J74" i="10"/>
  <c r="J55" i="10"/>
  <c r="J68" i="10"/>
  <c r="K70" i="6"/>
  <c r="K47" i="6"/>
  <c r="J56" i="10"/>
  <c r="J76" i="10"/>
  <c r="M76" i="10" s="1"/>
  <c r="J39" i="10"/>
  <c r="J64" i="10"/>
  <c r="J52" i="10"/>
  <c r="J16" i="10"/>
  <c r="M16" i="10" s="1"/>
  <c r="J24" i="10"/>
  <c r="J32" i="10"/>
  <c r="J40" i="10"/>
  <c r="J27" i="10"/>
  <c r="K4" i="7"/>
  <c r="F5" i="7"/>
  <c r="K27" i="6"/>
  <c r="K18" i="6"/>
  <c r="K58" i="6"/>
  <c r="K64" i="6"/>
  <c r="K34" i="6"/>
  <c r="K40" i="6"/>
  <c r="K62" i="6"/>
  <c r="K50" i="6"/>
  <c r="K16" i="6"/>
  <c r="H54" i="6"/>
  <c r="K54" i="6" s="1"/>
  <c r="K11" i="6"/>
  <c r="K23" i="6"/>
  <c r="H71" i="6"/>
  <c r="K71" i="6" s="1"/>
  <c r="H36" i="6"/>
  <c r="K36" i="6" s="1"/>
  <c r="K61" i="6"/>
  <c r="K51" i="6"/>
  <c r="K19" i="6"/>
  <c r="H48" i="6"/>
  <c r="K48" i="6" s="1"/>
  <c r="H44" i="6"/>
  <c r="K44" i="6" s="1"/>
  <c r="K35" i="6"/>
  <c r="H14" i="6"/>
  <c r="K14" i="6" s="1"/>
  <c r="H53" i="6"/>
  <c r="K53" i="6" s="1"/>
  <c r="H31" i="6"/>
  <c r="K31" i="6" s="1"/>
  <c r="H63" i="6"/>
  <c r="K63" i="6" s="1"/>
  <c r="K29" i="6"/>
  <c r="H55" i="6"/>
  <c r="K55" i="6" s="1"/>
  <c r="H41" i="6"/>
  <c r="K41" i="6" s="1"/>
  <c r="K43" i="6"/>
  <c r="K28" i="6"/>
  <c r="H22" i="6"/>
  <c r="K22" i="6" s="1"/>
  <c r="H32" i="6"/>
  <c r="K32" i="6" s="1"/>
  <c r="K56" i="6"/>
  <c r="H45" i="6"/>
  <c r="K45" i="6" s="1"/>
  <c r="K21" i="6"/>
  <c r="H33" i="6"/>
  <c r="K33" i="6" s="1"/>
  <c r="K3" i="6"/>
  <c r="M3" i="6" s="1"/>
  <c r="N3" i="6" s="1"/>
  <c r="K72" i="6"/>
  <c r="H6" i="6"/>
  <c r="K6" i="6" s="1"/>
  <c r="K69" i="6"/>
  <c r="K59" i="6"/>
  <c r="H46" i="6"/>
  <c r="K46" i="6" s="1"/>
  <c r="K66" i="6"/>
  <c r="K12" i="6"/>
  <c r="K8" i="6"/>
  <c r="K38" i="6"/>
  <c r="K5" i="6"/>
  <c r="H30" i="6"/>
  <c r="K30" i="6" s="1"/>
  <c r="K42" i="6"/>
  <c r="K24" i="6"/>
  <c r="H4" i="6"/>
  <c r="K4" i="6" s="1"/>
  <c r="H17" i="6"/>
  <c r="K17" i="6" s="1"/>
  <c r="H60" i="6"/>
  <c r="K60" i="6" s="1"/>
  <c r="H68" i="6"/>
  <c r="K68" i="6" s="1"/>
  <c r="H39" i="6"/>
  <c r="K39" i="6" s="1"/>
  <c r="H20" i="6"/>
  <c r="K20" i="6" s="1"/>
  <c r="H13" i="6"/>
  <c r="K13" i="6" s="1"/>
  <c r="H25" i="6"/>
  <c r="K25" i="6" s="1"/>
  <c r="H65" i="6"/>
  <c r="K65" i="6" s="1"/>
  <c r="H10" i="6"/>
  <c r="K10" i="6" s="1"/>
  <c r="H9" i="6"/>
  <c r="K9" i="6" s="1"/>
  <c r="AJ40" i="12" l="1"/>
  <c r="AL40" i="12" s="1"/>
  <c r="AK39" i="12"/>
  <c r="AI41" i="12"/>
  <c r="AO40" i="12"/>
  <c r="AP40" i="12" s="1"/>
  <c r="M74" i="10"/>
  <c r="M77" i="10"/>
  <c r="M75" i="10"/>
  <c r="M78" i="10"/>
  <c r="M4" i="7"/>
  <c r="N4" i="7" s="1"/>
  <c r="O4" i="10"/>
  <c r="O5" i="10" s="1"/>
  <c r="O6" i="10" s="1"/>
  <c r="M17" i="10"/>
  <c r="F6" i="7"/>
  <c r="K5" i="7"/>
  <c r="M4" i="8"/>
  <c r="M5" i="8" s="1"/>
  <c r="N3" i="8"/>
  <c r="M4" i="6"/>
  <c r="M5" i="6" s="1"/>
  <c r="AJ41" i="12" l="1"/>
  <c r="AL41" i="12" s="1"/>
  <c r="AK40" i="12"/>
  <c r="AI42" i="12"/>
  <c r="AO41" i="12"/>
  <c r="AP41" i="12" s="1"/>
  <c r="M5" i="7"/>
  <c r="N5" i="7" s="1"/>
  <c r="P4" i="10"/>
  <c r="P5" i="10"/>
  <c r="O7" i="10"/>
  <c r="P6" i="10"/>
  <c r="M18" i="10"/>
  <c r="F7" i="7"/>
  <c r="K6" i="7"/>
  <c r="N4" i="8"/>
  <c r="N4" i="6"/>
  <c r="M6" i="8"/>
  <c r="N5" i="8"/>
  <c r="M6" i="6"/>
  <c r="N5" i="6"/>
  <c r="AJ42" i="12" l="1"/>
  <c r="AL42" i="12" s="1"/>
  <c r="AK41" i="12"/>
  <c r="AI43" i="12"/>
  <c r="AO42" i="12"/>
  <c r="AP42" i="12" s="1"/>
  <c r="M6" i="7"/>
  <c r="N6" i="7" s="1"/>
  <c r="M19" i="10"/>
  <c r="O8" i="10"/>
  <c r="P7" i="10"/>
  <c r="F8" i="7"/>
  <c r="K7" i="7"/>
  <c r="M7" i="8"/>
  <c r="N6" i="8"/>
  <c r="M7" i="6"/>
  <c r="N6" i="6"/>
  <c r="M7" i="7" l="1"/>
  <c r="N7" i="7" s="1"/>
  <c r="AJ43" i="12"/>
  <c r="AL43" i="12" s="1"/>
  <c r="AK42" i="12"/>
  <c r="AI44" i="12"/>
  <c r="AO43" i="12"/>
  <c r="AP43" i="12" s="1"/>
  <c r="O9" i="10"/>
  <c r="P8" i="10"/>
  <c r="F9" i="7"/>
  <c r="K8" i="7"/>
  <c r="M8" i="7" s="1"/>
  <c r="N8" i="7" s="1"/>
  <c r="N7" i="8"/>
  <c r="M8" i="8"/>
  <c r="N7" i="6"/>
  <c r="M8" i="6"/>
  <c r="AJ44" i="12" l="1"/>
  <c r="AL44" i="12" s="1"/>
  <c r="AK43" i="12"/>
  <c r="AI45" i="12"/>
  <c r="AO44" i="12"/>
  <c r="AP44" i="12" s="1"/>
  <c r="M21" i="10"/>
  <c r="P9" i="10"/>
  <c r="O10" i="10"/>
  <c r="F10" i="7"/>
  <c r="K9" i="7"/>
  <c r="M9" i="7" s="1"/>
  <c r="N9" i="7" s="1"/>
  <c r="N8" i="8"/>
  <c r="M9" i="8"/>
  <c r="M9" i="6"/>
  <c r="N8" i="6"/>
  <c r="AJ45" i="12" l="1"/>
  <c r="AL45" i="12" s="1"/>
  <c r="AK44" i="12"/>
  <c r="AI46" i="12"/>
  <c r="AO45" i="12"/>
  <c r="AP45" i="12" s="1"/>
  <c r="M22" i="10"/>
  <c r="O11" i="10"/>
  <c r="P10" i="10"/>
  <c r="F11" i="7"/>
  <c r="K10" i="7"/>
  <c r="M10" i="7" s="1"/>
  <c r="N10" i="7" s="1"/>
  <c r="M10" i="8"/>
  <c r="N9" i="8"/>
  <c r="M10" i="6"/>
  <c r="N9" i="6"/>
  <c r="AJ46" i="12" l="1"/>
  <c r="AL46" i="12" s="1"/>
  <c r="AK45" i="12"/>
  <c r="AI47" i="12"/>
  <c r="AO46" i="12"/>
  <c r="AP46" i="12" s="1"/>
  <c r="M23" i="10"/>
  <c r="O12" i="10"/>
  <c r="P11" i="10"/>
  <c r="F12" i="7"/>
  <c r="K11" i="7"/>
  <c r="M11" i="7" s="1"/>
  <c r="N11" i="7" s="1"/>
  <c r="M11" i="8"/>
  <c r="N10" i="8"/>
  <c r="N10" i="6"/>
  <c r="M11" i="6"/>
  <c r="AJ47" i="12" l="1"/>
  <c r="AL47" i="12" s="1"/>
  <c r="AK46" i="12"/>
  <c r="AI48" i="12"/>
  <c r="AO47" i="12"/>
  <c r="AP47" i="12" s="1"/>
  <c r="M24" i="10"/>
  <c r="O13" i="10"/>
  <c r="P12" i="10"/>
  <c r="F13" i="7"/>
  <c r="K12" i="7"/>
  <c r="M12" i="7" s="1"/>
  <c r="N12" i="7" s="1"/>
  <c r="N11" i="8"/>
  <c r="M12" i="8"/>
  <c r="M12" i="6"/>
  <c r="N11" i="6"/>
  <c r="AJ48" i="12" l="1"/>
  <c r="AL48" i="12" s="1"/>
  <c r="AK47" i="12"/>
  <c r="AI49" i="12"/>
  <c r="AO48" i="12"/>
  <c r="AP48" i="12" s="1"/>
  <c r="P13" i="10"/>
  <c r="O14" i="10"/>
  <c r="M25" i="10"/>
  <c r="F14" i="7"/>
  <c r="K13" i="7"/>
  <c r="M13" i="7" s="1"/>
  <c r="N13" i="7" s="1"/>
  <c r="N12" i="8"/>
  <c r="M13" i="8"/>
  <c r="M13" i="6"/>
  <c r="N12" i="6"/>
  <c r="AJ49" i="12" l="1"/>
  <c r="AL49" i="12" s="1"/>
  <c r="AK48" i="12"/>
  <c r="AI50" i="12"/>
  <c r="AO49" i="12"/>
  <c r="AP49" i="12" s="1"/>
  <c r="O15" i="10"/>
  <c r="P14" i="10"/>
  <c r="M26" i="10"/>
  <c r="F15" i="7"/>
  <c r="K14" i="7"/>
  <c r="M14" i="7" s="1"/>
  <c r="N14" i="7" s="1"/>
  <c r="M14" i="8"/>
  <c r="N13" i="8"/>
  <c r="M14" i="6"/>
  <c r="N13" i="6"/>
  <c r="AJ50" i="12" l="1"/>
  <c r="AL50" i="12" s="1"/>
  <c r="AK49" i="12"/>
  <c r="AI51" i="12"/>
  <c r="AO50" i="12"/>
  <c r="AP50" i="12" s="1"/>
  <c r="O16" i="10"/>
  <c r="P15" i="10"/>
  <c r="M27" i="10"/>
  <c r="F16" i="7"/>
  <c r="K15" i="7"/>
  <c r="M15" i="7" s="1"/>
  <c r="N15" i="7" s="1"/>
  <c r="M15" i="8"/>
  <c r="N14" i="8"/>
  <c r="M15" i="6"/>
  <c r="N14" i="6"/>
  <c r="AJ51" i="12" l="1"/>
  <c r="AL51" i="12" s="1"/>
  <c r="AK50" i="12"/>
  <c r="AI52" i="12"/>
  <c r="AO51" i="12"/>
  <c r="AP51" i="12" s="1"/>
  <c r="O17" i="10"/>
  <c r="P16" i="10"/>
  <c r="M28" i="10"/>
  <c r="F17" i="7"/>
  <c r="K16" i="7"/>
  <c r="M16" i="7" s="1"/>
  <c r="N16" i="7" s="1"/>
  <c r="N15" i="8"/>
  <c r="M16" i="8"/>
  <c r="N15" i="6"/>
  <c r="M16" i="6"/>
  <c r="AJ52" i="12" l="1"/>
  <c r="AL52" i="12" s="1"/>
  <c r="AK51" i="12"/>
  <c r="AI53" i="12"/>
  <c r="AO52" i="12"/>
  <c r="AP52" i="12" s="1"/>
  <c r="P17" i="10"/>
  <c r="O18" i="10"/>
  <c r="M29" i="10"/>
  <c r="F18" i="7"/>
  <c r="K17" i="7"/>
  <c r="M17" i="7" s="1"/>
  <c r="N17" i="7" s="1"/>
  <c r="N16" i="8"/>
  <c r="M17" i="8"/>
  <c r="M17" i="6"/>
  <c r="N16" i="6"/>
  <c r="AJ53" i="12" l="1"/>
  <c r="AL53" i="12" s="1"/>
  <c r="AK52" i="12"/>
  <c r="AI54" i="12"/>
  <c r="AO53" i="12"/>
  <c r="AP53" i="12" s="1"/>
  <c r="O19" i="10"/>
  <c r="P18" i="10"/>
  <c r="M30" i="10"/>
  <c r="F19" i="7"/>
  <c r="K18" i="7"/>
  <c r="M18" i="7" s="1"/>
  <c r="N18" i="7" s="1"/>
  <c r="M18" i="8"/>
  <c r="N17" i="8"/>
  <c r="M18" i="6"/>
  <c r="N17" i="6"/>
  <c r="AJ54" i="12" l="1"/>
  <c r="AL54" i="12" s="1"/>
  <c r="AK53" i="12"/>
  <c r="AI55" i="12"/>
  <c r="AO54" i="12"/>
  <c r="AP54" i="12" s="1"/>
  <c r="P19" i="10"/>
  <c r="M31" i="10"/>
  <c r="F20" i="7"/>
  <c r="K19" i="7"/>
  <c r="M19" i="7" s="1"/>
  <c r="N19" i="7" s="1"/>
  <c r="M19" i="8"/>
  <c r="N18" i="8"/>
  <c r="N18" i="6"/>
  <c r="M19" i="6"/>
  <c r="AJ55" i="12" l="1"/>
  <c r="AL55" i="12" s="1"/>
  <c r="AK54" i="12"/>
  <c r="AI56" i="12"/>
  <c r="AO55" i="12"/>
  <c r="AP55" i="12" s="1"/>
  <c r="M32" i="10"/>
  <c r="O21" i="10"/>
  <c r="F21" i="7"/>
  <c r="K20" i="7"/>
  <c r="M20" i="7" s="1"/>
  <c r="N20" i="7" s="1"/>
  <c r="N19" i="8"/>
  <c r="M20" i="8"/>
  <c r="M20" i="6"/>
  <c r="N19" i="6"/>
  <c r="AJ56" i="12" l="1"/>
  <c r="AL56" i="12" s="1"/>
  <c r="AK55" i="12"/>
  <c r="AI57" i="12"/>
  <c r="AO56" i="12"/>
  <c r="AP56" i="12" s="1"/>
  <c r="P21" i="10"/>
  <c r="O22" i="10"/>
  <c r="M33" i="10"/>
  <c r="F22" i="7"/>
  <c r="K21" i="7"/>
  <c r="M21" i="7" s="1"/>
  <c r="N21" i="7" s="1"/>
  <c r="N20" i="8"/>
  <c r="M21" i="8"/>
  <c r="M21" i="6"/>
  <c r="N20" i="6"/>
  <c r="AJ57" i="12" l="1"/>
  <c r="AL57" i="12" s="1"/>
  <c r="AK56" i="12"/>
  <c r="AI58" i="12"/>
  <c r="AO57" i="12"/>
  <c r="AP57" i="12" s="1"/>
  <c r="M34" i="10"/>
  <c r="O23" i="10"/>
  <c r="P22" i="10"/>
  <c r="F23" i="7"/>
  <c r="K22" i="7"/>
  <c r="M22" i="7" s="1"/>
  <c r="N22" i="7" s="1"/>
  <c r="M22" i="8"/>
  <c r="N21" i="8"/>
  <c r="M22" i="6"/>
  <c r="N21" i="6"/>
  <c r="AJ58" i="12" l="1"/>
  <c r="AL58" i="12" s="1"/>
  <c r="AK57" i="12"/>
  <c r="AI59" i="12"/>
  <c r="AO58" i="12"/>
  <c r="AP58" i="12" s="1"/>
  <c r="P23" i="10"/>
  <c r="O24" i="10"/>
  <c r="M35" i="10"/>
  <c r="F24" i="7"/>
  <c r="K23" i="7"/>
  <c r="M23" i="7" s="1"/>
  <c r="N23" i="7" s="1"/>
  <c r="M23" i="8"/>
  <c r="N22" i="8"/>
  <c r="N22" i="6"/>
  <c r="M23" i="6"/>
  <c r="AJ59" i="12" l="1"/>
  <c r="AL59" i="12" s="1"/>
  <c r="AK58" i="12"/>
  <c r="AI60" i="12"/>
  <c r="AO59" i="12"/>
  <c r="AP59" i="12" s="1"/>
  <c r="M36" i="10"/>
  <c r="O25" i="10"/>
  <c r="P24" i="10"/>
  <c r="F25" i="7"/>
  <c r="K24" i="7"/>
  <c r="M24" i="7" s="1"/>
  <c r="N24" i="7" s="1"/>
  <c r="N23" i="8"/>
  <c r="M24" i="8"/>
  <c r="N23" i="6"/>
  <c r="M24" i="6"/>
  <c r="AJ60" i="12" l="1"/>
  <c r="AL60" i="12" s="1"/>
  <c r="AK59" i="12"/>
  <c r="AI61" i="12"/>
  <c r="AO60" i="12"/>
  <c r="AP60" i="12" s="1"/>
  <c r="P25" i="10"/>
  <c r="O26" i="10"/>
  <c r="M37" i="10"/>
  <c r="F26" i="7"/>
  <c r="K25" i="7"/>
  <c r="M25" i="7" s="1"/>
  <c r="N25" i="7" s="1"/>
  <c r="N24" i="8"/>
  <c r="M25" i="8"/>
  <c r="M25" i="6"/>
  <c r="N24" i="6"/>
  <c r="AJ61" i="12" l="1"/>
  <c r="AL61" i="12" s="1"/>
  <c r="AK60" i="12"/>
  <c r="AI62" i="12"/>
  <c r="AO61" i="12"/>
  <c r="AP61" i="12" s="1"/>
  <c r="M38" i="10"/>
  <c r="O27" i="10"/>
  <c r="P26" i="10"/>
  <c r="F27" i="7"/>
  <c r="K26" i="7"/>
  <c r="M26" i="7" s="1"/>
  <c r="N26" i="7" s="1"/>
  <c r="M26" i="8"/>
  <c r="N25" i="8"/>
  <c r="M26" i="6"/>
  <c r="N25" i="6"/>
  <c r="AJ62" i="12" l="1"/>
  <c r="AL62" i="12" s="1"/>
  <c r="AK61" i="12"/>
  <c r="AI63" i="12"/>
  <c r="AO62" i="12"/>
  <c r="AP62" i="12" s="1"/>
  <c r="P27" i="10"/>
  <c r="O28" i="10"/>
  <c r="M39" i="10"/>
  <c r="F28" i="7"/>
  <c r="K27" i="7"/>
  <c r="M27" i="7" s="1"/>
  <c r="N27" i="7" s="1"/>
  <c r="M27" i="8"/>
  <c r="N26" i="8"/>
  <c r="N26" i="6"/>
  <c r="M27" i="6"/>
  <c r="AJ63" i="12" l="1"/>
  <c r="AL63" i="12" s="1"/>
  <c r="AK62" i="12"/>
  <c r="AI64" i="12"/>
  <c r="AO63" i="12"/>
  <c r="AP63" i="12" s="1"/>
  <c r="M40" i="10"/>
  <c r="O29" i="10"/>
  <c r="P28" i="10"/>
  <c r="F29" i="7"/>
  <c r="K28" i="7"/>
  <c r="M28" i="7" s="1"/>
  <c r="N28" i="7" s="1"/>
  <c r="N27" i="8"/>
  <c r="M28" i="8"/>
  <c r="M28" i="6"/>
  <c r="N27" i="6"/>
  <c r="AJ64" i="12" l="1"/>
  <c r="AL64" i="12" s="1"/>
  <c r="AK63" i="12"/>
  <c r="AI65" i="12"/>
  <c r="AO64" i="12"/>
  <c r="AP64" i="12" s="1"/>
  <c r="P29" i="10"/>
  <c r="O30" i="10"/>
  <c r="M41" i="10"/>
  <c r="F30" i="7"/>
  <c r="K29" i="7"/>
  <c r="M29" i="7" s="1"/>
  <c r="N29" i="7" s="1"/>
  <c r="N28" i="8"/>
  <c r="M29" i="8"/>
  <c r="M29" i="6"/>
  <c r="N28" i="6"/>
  <c r="AJ65" i="12" l="1"/>
  <c r="AL65" i="12" s="1"/>
  <c r="AK64" i="12"/>
  <c r="AI66" i="12"/>
  <c r="AO65" i="12"/>
  <c r="AP65" i="12" s="1"/>
  <c r="M42" i="10"/>
  <c r="O31" i="10"/>
  <c r="P30" i="10"/>
  <c r="F31" i="7"/>
  <c r="K30" i="7"/>
  <c r="M30" i="7" s="1"/>
  <c r="N30" i="7" s="1"/>
  <c r="M30" i="8"/>
  <c r="N29" i="8"/>
  <c r="M30" i="6"/>
  <c r="N29" i="6"/>
  <c r="AJ66" i="12" l="1"/>
  <c r="AL66" i="12" s="1"/>
  <c r="AK65" i="12"/>
  <c r="AI67" i="12"/>
  <c r="AO66" i="12"/>
  <c r="AP66" i="12" s="1"/>
  <c r="M43" i="10"/>
  <c r="O32" i="10"/>
  <c r="P31" i="10"/>
  <c r="F32" i="7"/>
  <c r="K31" i="7"/>
  <c r="M31" i="7" s="1"/>
  <c r="N31" i="7" s="1"/>
  <c r="M31" i="8"/>
  <c r="N30" i="8"/>
  <c r="M31" i="6"/>
  <c r="N30" i="6"/>
  <c r="AJ67" i="12" l="1"/>
  <c r="AL67" i="12" s="1"/>
  <c r="AK66" i="12"/>
  <c r="AI68" i="12"/>
  <c r="AO67" i="12"/>
  <c r="AP67" i="12" s="1"/>
  <c r="O33" i="10"/>
  <c r="P32" i="10"/>
  <c r="M44" i="10"/>
  <c r="F33" i="7"/>
  <c r="K32" i="7"/>
  <c r="M32" i="7" s="1"/>
  <c r="N31" i="8"/>
  <c r="M32" i="8"/>
  <c r="N31" i="6"/>
  <c r="M32" i="6"/>
  <c r="AJ68" i="12" l="1"/>
  <c r="AL68" i="12" s="1"/>
  <c r="AK67" i="12"/>
  <c r="AI69" i="12"/>
  <c r="AO68" i="12"/>
  <c r="AP68" i="12" s="1"/>
  <c r="M45" i="10"/>
  <c r="P33" i="10"/>
  <c r="O34" i="10"/>
  <c r="N32" i="7"/>
  <c r="F34" i="7"/>
  <c r="K33" i="7"/>
  <c r="M33" i="7" s="1"/>
  <c r="N32" i="8"/>
  <c r="M33" i="8"/>
  <c r="M33" i="6"/>
  <c r="N32" i="6"/>
  <c r="AJ69" i="12" l="1"/>
  <c r="AL69" i="12" s="1"/>
  <c r="AK68" i="12"/>
  <c r="AI70" i="12"/>
  <c r="AO69" i="12"/>
  <c r="AP69" i="12" s="1"/>
  <c r="M46" i="10"/>
  <c r="O35" i="10"/>
  <c r="P34" i="10"/>
  <c r="N33" i="7"/>
  <c r="F35" i="7"/>
  <c r="K34" i="7"/>
  <c r="M34" i="7" s="1"/>
  <c r="M34" i="8"/>
  <c r="N33" i="8"/>
  <c r="M34" i="6"/>
  <c r="N33" i="6"/>
  <c r="AJ70" i="12" l="1"/>
  <c r="AL70" i="12" s="1"/>
  <c r="AK69" i="12"/>
  <c r="AI71" i="12"/>
  <c r="AO70" i="12"/>
  <c r="AP70" i="12" s="1"/>
  <c r="M47" i="10"/>
  <c r="O36" i="10"/>
  <c r="P35" i="10"/>
  <c r="N34" i="7"/>
  <c r="F36" i="7"/>
  <c r="K35" i="7"/>
  <c r="M35" i="7" s="1"/>
  <c r="M35" i="8"/>
  <c r="N34" i="8"/>
  <c r="N34" i="6"/>
  <c r="M35" i="6"/>
  <c r="AJ71" i="12" l="1"/>
  <c r="AL71" i="12" s="1"/>
  <c r="AK70" i="12"/>
  <c r="AI72" i="12"/>
  <c r="AO71" i="12"/>
  <c r="AP71" i="12" s="1"/>
  <c r="O37" i="10"/>
  <c r="P36" i="10"/>
  <c r="M48" i="10"/>
  <c r="N35" i="7"/>
  <c r="F37" i="7"/>
  <c r="K36" i="7"/>
  <c r="M36" i="7" s="1"/>
  <c r="N35" i="8"/>
  <c r="M36" i="8"/>
  <c r="M36" i="6"/>
  <c r="N35" i="6"/>
  <c r="AJ72" i="12" l="1"/>
  <c r="AL72" i="12" s="1"/>
  <c r="AK71" i="12"/>
  <c r="AI73" i="12"/>
  <c r="AO72" i="12"/>
  <c r="AP72" i="12" s="1"/>
  <c r="M49" i="10"/>
  <c r="P37" i="10"/>
  <c r="O38" i="10"/>
  <c r="N36" i="7"/>
  <c r="F38" i="7"/>
  <c r="K37" i="7"/>
  <c r="M37" i="7" s="1"/>
  <c r="N36" i="8"/>
  <c r="M37" i="8"/>
  <c r="M37" i="6"/>
  <c r="N36" i="6"/>
  <c r="AJ73" i="12" l="1"/>
  <c r="AL73" i="12" s="1"/>
  <c r="AK72" i="12"/>
  <c r="AI74" i="12"/>
  <c r="AO73" i="12"/>
  <c r="AP73" i="12" s="1"/>
  <c r="M50" i="10"/>
  <c r="O39" i="10"/>
  <c r="P38" i="10"/>
  <c r="N37" i="7"/>
  <c r="F39" i="7"/>
  <c r="K38" i="7"/>
  <c r="M38" i="7" s="1"/>
  <c r="M38" i="8"/>
  <c r="N37" i="8"/>
  <c r="M38" i="6"/>
  <c r="N37" i="6"/>
  <c r="AJ74" i="12" l="1"/>
  <c r="AL74" i="12" s="1"/>
  <c r="AK73" i="12"/>
  <c r="AI75" i="12"/>
  <c r="AO74" i="12"/>
  <c r="AP74" i="12" s="1"/>
  <c r="M51" i="10"/>
  <c r="O40" i="10"/>
  <c r="P39" i="10"/>
  <c r="N38" i="7"/>
  <c r="F40" i="7"/>
  <c r="K39" i="7"/>
  <c r="M39" i="7" s="1"/>
  <c r="M39" i="8"/>
  <c r="N38" i="8"/>
  <c r="M39" i="6"/>
  <c r="N38" i="6"/>
  <c r="AJ75" i="12" l="1"/>
  <c r="AL75" i="12" s="1"/>
  <c r="AK74" i="12"/>
  <c r="AI76" i="12"/>
  <c r="AO75" i="12"/>
  <c r="AP75" i="12" s="1"/>
  <c r="M52" i="10"/>
  <c r="O41" i="10"/>
  <c r="P40" i="10"/>
  <c r="N39" i="7"/>
  <c r="F41" i="7"/>
  <c r="K40" i="7"/>
  <c r="M40" i="7" s="1"/>
  <c r="M40" i="8"/>
  <c r="N39" i="8"/>
  <c r="N39" i="6"/>
  <c r="M40" i="6"/>
  <c r="AJ76" i="12" l="1"/>
  <c r="AL76" i="12" s="1"/>
  <c r="AK75" i="12"/>
  <c r="AI77" i="12"/>
  <c r="AO76" i="12"/>
  <c r="AP76" i="12" s="1"/>
  <c r="P41" i="10"/>
  <c r="O42" i="10"/>
  <c r="M53" i="10"/>
  <c r="N40" i="7"/>
  <c r="F42" i="7"/>
  <c r="K41" i="7"/>
  <c r="M41" i="7" s="1"/>
  <c r="N40" i="8"/>
  <c r="M41" i="8"/>
  <c r="M41" i="6"/>
  <c r="N40" i="6"/>
  <c r="AJ77" i="12" l="1"/>
  <c r="AL77" i="12" s="1"/>
  <c r="AK76" i="12"/>
  <c r="AI78" i="12"/>
  <c r="AO78" i="12" s="1"/>
  <c r="AP78" i="12" s="1"/>
  <c r="AO77" i="12"/>
  <c r="AP77" i="12" s="1"/>
  <c r="M54" i="10"/>
  <c r="O43" i="10"/>
  <c r="P42" i="10"/>
  <c r="N41" i="7"/>
  <c r="F43" i="7"/>
  <c r="K42" i="7"/>
  <c r="M42" i="7" s="1"/>
  <c r="N41" i="8"/>
  <c r="M42" i="8"/>
  <c r="M42" i="6"/>
  <c r="N41" i="6"/>
  <c r="AJ78" i="12" l="1"/>
  <c r="AK77" i="12"/>
  <c r="O44" i="10"/>
  <c r="P43" i="10"/>
  <c r="M55" i="10"/>
  <c r="N42" i="7"/>
  <c r="F44" i="7"/>
  <c r="K43" i="7"/>
  <c r="M43" i="7" s="1"/>
  <c r="M43" i="8"/>
  <c r="N42" i="8"/>
  <c r="N42" i="6"/>
  <c r="M43" i="6"/>
  <c r="AK78" i="12" l="1"/>
  <c r="O45" i="10"/>
  <c r="P44" i="10"/>
  <c r="M56" i="10"/>
  <c r="N43" i="7"/>
  <c r="F45" i="7"/>
  <c r="K44" i="7"/>
  <c r="M44" i="7" s="1"/>
  <c r="M44" i="8"/>
  <c r="N43" i="8"/>
  <c r="M44" i="6"/>
  <c r="N43" i="6"/>
  <c r="P45" i="10" l="1"/>
  <c r="O46" i="10"/>
  <c r="M57" i="10"/>
  <c r="N44" i="7"/>
  <c r="F46" i="7"/>
  <c r="K45" i="7"/>
  <c r="M45" i="7" s="1"/>
  <c r="N45" i="7" s="1"/>
  <c r="N44" i="8"/>
  <c r="M45" i="8"/>
  <c r="M45" i="6"/>
  <c r="N44" i="6"/>
  <c r="O47" i="10" l="1"/>
  <c r="P46" i="10"/>
  <c r="M58" i="10"/>
  <c r="F47" i="7"/>
  <c r="K46" i="7"/>
  <c r="M46" i="7" s="1"/>
  <c r="M46" i="8"/>
  <c r="N45" i="8"/>
  <c r="M46" i="6"/>
  <c r="N45" i="6"/>
  <c r="O48" i="10" l="1"/>
  <c r="P47" i="10"/>
  <c r="M59" i="10"/>
  <c r="N46" i="7"/>
  <c r="F48" i="7"/>
  <c r="K47" i="7"/>
  <c r="M47" i="7" s="1"/>
  <c r="M47" i="8"/>
  <c r="N46" i="8"/>
  <c r="M47" i="6"/>
  <c r="N46" i="6"/>
  <c r="O49" i="10" l="1"/>
  <c r="P48" i="10"/>
  <c r="M60" i="10"/>
  <c r="N47" i="7"/>
  <c r="F49" i="7"/>
  <c r="K48" i="7"/>
  <c r="M48" i="7" s="1"/>
  <c r="M48" i="8"/>
  <c r="N47" i="8"/>
  <c r="N47" i="6"/>
  <c r="M48" i="6"/>
  <c r="P49" i="10" l="1"/>
  <c r="O50" i="10"/>
  <c r="M61" i="10"/>
  <c r="N48" i="7"/>
  <c r="F50" i="7"/>
  <c r="K49" i="7"/>
  <c r="M49" i="7" s="1"/>
  <c r="N48" i="8"/>
  <c r="M49" i="8"/>
  <c r="M49" i="6"/>
  <c r="N48" i="6"/>
  <c r="M62" i="10" l="1"/>
  <c r="O51" i="10"/>
  <c r="P50" i="10"/>
  <c r="N49" i="7"/>
  <c r="F51" i="7"/>
  <c r="K50" i="7"/>
  <c r="M50" i="7" s="1"/>
  <c r="M50" i="8"/>
  <c r="N49" i="8"/>
  <c r="M50" i="6"/>
  <c r="N49" i="6"/>
  <c r="M63" i="10" l="1"/>
  <c r="O52" i="10"/>
  <c r="P51" i="10"/>
  <c r="N50" i="7"/>
  <c r="F52" i="7"/>
  <c r="K51" i="7"/>
  <c r="M51" i="7" s="1"/>
  <c r="M51" i="8"/>
  <c r="N50" i="8"/>
  <c r="N50" i="6"/>
  <c r="M51" i="6"/>
  <c r="M64" i="10" l="1"/>
  <c r="O53" i="10"/>
  <c r="P52" i="10"/>
  <c r="N51" i="7"/>
  <c r="F53" i="7"/>
  <c r="K52" i="7"/>
  <c r="M52" i="7" s="1"/>
  <c r="M52" i="8"/>
  <c r="N51" i="8"/>
  <c r="M52" i="6"/>
  <c r="N51" i="6"/>
  <c r="M65" i="10" l="1"/>
  <c r="P53" i="10"/>
  <c r="O54" i="10"/>
  <c r="N52" i="7"/>
  <c r="F54" i="7"/>
  <c r="K53" i="7"/>
  <c r="M53" i="7" s="1"/>
  <c r="N52" i="8"/>
  <c r="M53" i="8"/>
  <c r="M53" i="6"/>
  <c r="N52" i="6"/>
  <c r="O55" i="10" l="1"/>
  <c r="P54" i="10"/>
  <c r="M66" i="10"/>
  <c r="N53" i="7"/>
  <c r="F55" i="7"/>
  <c r="K54" i="7"/>
  <c r="M54" i="7" s="1"/>
  <c r="N53" i="8"/>
  <c r="M54" i="8"/>
  <c r="M54" i="6"/>
  <c r="N53" i="6"/>
  <c r="O56" i="10" l="1"/>
  <c r="P55" i="10"/>
  <c r="M67" i="10"/>
  <c r="N54" i="7"/>
  <c r="F56" i="7"/>
  <c r="K55" i="7"/>
  <c r="M55" i="7" s="1"/>
  <c r="M55" i="8"/>
  <c r="N54" i="8"/>
  <c r="M55" i="6"/>
  <c r="N54" i="6"/>
  <c r="M68" i="10" l="1"/>
  <c r="O57" i="10"/>
  <c r="P56" i="10"/>
  <c r="N55" i="7"/>
  <c r="F57" i="7"/>
  <c r="K56" i="7"/>
  <c r="M56" i="7" s="1"/>
  <c r="M56" i="8"/>
  <c r="N55" i="8"/>
  <c r="N55" i="6"/>
  <c r="M56" i="6"/>
  <c r="M69" i="10" l="1"/>
  <c r="P57" i="10"/>
  <c r="O58" i="10"/>
  <c r="N56" i="7"/>
  <c r="F58" i="7"/>
  <c r="K57" i="7"/>
  <c r="M57" i="7" s="1"/>
  <c r="N56" i="8"/>
  <c r="M57" i="8"/>
  <c r="M57" i="6"/>
  <c r="N56" i="6"/>
  <c r="O59" i="10" l="1"/>
  <c r="P58" i="10"/>
  <c r="M70" i="10"/>
  <c r="N57" i="7"/>
  <c r="F59" i="7"/>
  <c r="K58" i="7"/>
  <c r="M58" i="7" s="1"/>
  <c r="M58" i="8"/>
  <c r="N57" i="8"/>
  <c r="M58" i="6"/>
  <c r="N57" i="6"/>
  <c r="O60" i="10" l="1"/>
  <c r="P59" i="10"/>
  <c r="M71" i="10"/>
  <c r="N58" i="7"/>
  <c r="F60" i="7"/>
  <c r="K59" i="7"/>
  <c r="M59" i="7" s="1"/>
  <c r="M59" i="8"/>
  <c r="N58" i="8"/>
  <c r="N58" i="6"/>
  <c r="M59" i="6"/>
  <c r="M72" i="10" l="1"/>
  <c r="O61" i="10"/>
  <c r="P60" i="10"/>
  <c r="N59" i="7"/>
  <c r="F61" i="7"/>
  <c r="K60" i="7"/>
  <c r="M60" i="7" s="1"/>
  <c r="M60" i="8"/>
  <c r="N59" i="8"/>
  <c r="M60" i="6"/>
  <c r="N59" i="6"/>
  <c r="P61" i="10" l="1"/>
  <c r="O62" i="10"/>
  <c r="N60" i="7"/>
  <c r="F62" i="7"/>
  <c r="K61" i="7"/>
  <c r="M61" i="7" s="1"/>
  <c r="N60" i="8"/>
  <c r="M61" i="8"/>
  <c r="M61" i="6"/>
  <c r="N60" i="6"/>
  <c r="O63" i="10" l="1"/>
  <c r="P62" i="10"/>
  <c r="N61" i="7"/>
  <c r="F63" i="7"/>
  <c r="K62" i="7"/>
  <c r="M62" i="7" s="1"/>
  <c r="N61" i="8"/>
  <c r="M62" i="8"/>
  <c r="M62" i="6"/>
  <c r="N61" i="6"/>
  <c r="O64" i="10" l="1"/>
  <c r="P63" i="10"/>
  <c r="N62" i="7"/>
  <c r="F64" i="7"/>
  <c r="K63" i="7"/>
  <c r="M63" i="7" s="1"/>
  <c r="M63" i="8"/>
  <c r="N62" i="8"/>
  <c r="M63" i="6"/>
  <c r="N62" i="6"/>
  <c r="O65" i="10" l="1"/>
  <c r="P64" i="10"/>
  <c r="N63" i="7"/>
  <c r="F65" i="7"/>
  <c r="K64" i="7"/>
  <c r="M64" i="7" s="1"/>
  <c r="M64" i="8"/>
  <c r="N63" i="8"/>
  <c r="N63" i="6"/>
  <c r="M64" i="6"/>
  <c r="P65" i="10" l="1"/>
  <c r="O66" i="10"/>
  <c r="N64" i="7"/>
  <c r="F66" i="7"/>
  <c r="K65" i="7"/>
  <c r="M65" i="7" s="1"/>
  <c r="N64" i="8"/>
  <c r="M65" i="8"/>
  <c r="M65" i="6"/>
  <c r="N64" i="6"/>
  <c r="O67" i="10" l="1"/>
  <c r="P66" i="10"/>
  <c r="N65" i="7"/>
  <c r="F67" i="7"/>
  <c r="K66" i="7"/>
  <c r="M66" i="7" s="1"/>
  <c r="M66" i="8"/>
  <c r="N65" i="8"/>
  <c r="M66" i="6"/>
  <c r="N65" i="6"/>
  <c r="P67" i="10" l="1"/>
  <c r="O68" i="10"/>
  <c r="N66" i="7"/>
  <c r="F68" i="7"/>
  <c r="K67" i="7"/>
  <c r="M67" i="7" s="1"/>
  <c r="M67" i="8"/>
  <c r="N66" i="8"/>
  <c r="N66" i="6"/>
  <c r="M67" i="6"/>
  <c r="O69" i="10" l="1"/>
  <c r="P68" i="10"/>
  <c r="N67" i="7"/>
  <c r="F69" i="7"/>
  <c r="K68" i="7"/>
  <c r="M68" i="7" s="1"/>
  <c r="M68" i="8"/>
  <c r="N67" i="8"/>
  <c r="M68" i="6"/>
  <c r="N67" i="6"/>
  <c r="P69" i="10" l="1"/>
  <c r="O70" i="10"/>
  <c r="N68" i="7"/>
  <c r="F70" i="7"/>
  <c r="K69" i="7"/>
  <c r="M69" i="7" s="1"/>
  <c r="N68" i="8"/>
  <c r="M69" i="8"/>
  <c r="M69" i="6"/>
  <c r="N68" i="6"/>
  <c r="O71" i="10" l="1"/>
  <c r="P70" i="10"/>
  <c r="N69" i="7"/>
  <c r="F71" i="7"/>
  <c r="K70" i="7"/>
  <c r="M70" i="7" s="1"/>
  <c r="M70" i="8"/>
  <c r="M71" i="8" s="1"/>
  <c r="N69" i="8"/>
  <c r="M70" i="6"/>
  <c r="N69" i="6"/>
  <c r="N71" i="8" l="1"/>
  <c r="M72" i="8"/>
  <c r="O72" i="10"/>
  <c r="P71" i="10"/>
  <c r="N70" i="7"/>
  <c r="F72" i="7"/>
  <c r="K71" i="7"/>
  <c r="M71" i="7" s="1"/>
  <c r="N70" i="8"/>
  <c r="M71" i="6"/>
  <c r="N70" i="6"/>
  <c r="M73" i="8" l="1"/>
  <c r="N72" i="8"/>
  <c r="K72" i="7"/>
  <c r="M72" i="7" s="1"/>
  <c r="F73" i="7"/>
  <c r="K73" i="7" s="1"/>
  <c r="P72" i="10"/>
  <c r="O73" i="10"/>
  <c r="N71" i="7"/>
  <c r="N71" i="6"/>
  <c r="M72" i="6"/>
  <c r="M73" i="7" l="1"/>
  <c r="N73" i="8"/>
  <c r="M74" i="8"/>
  <c r="N72" i="6"/>
  <c r="M73" i="6"/>
  <c r="N73" i="7"/>
  <c r="N72" i="7"/>
  <c r="F74" i="7"/>
  <c r="K74" i="7" s="1"/>
  <c r="M74" i="7" s="1"/>
  <c r="P73" i="10"/>
  <c r="O74" i="10"/>
  <c r="M75" i="8" l="1"/>
  <c r="N74" i="8"/>
  <c r="N73" i="6"/>
  <c r="M74" i="6"/>
  <c r="N74" i="7"/>
  <c r="F75" i="7"/>
  <c r="K75" i="7" s="1"/>
  <c r="M75" i="7" s="1"/>
  <c r="P74" i="10"/>
  <c r="O75" i="10"/>
  <c r="M76" i="8" l="1"/>
  <c r="N75" i="8"/>
  <c r="N74" i="6"/>
  <c r="M75" i="6"/>
  <c r="N75" i="7"/>
  <c r="F76" i="7"/>
  <c r="K76" i="7" s="1"/>
  <c r="M76" i="7" s="1"/>
  <c r="O76" i="10"/>
  <c r="P75" i="10"/>
  <c r="N76" i="8" l="1"/>
  <c r="M77" i="8"/>
  <c r="M76" i="6"/>
  <c r="N75" i="6"/>
  <c r="N76" i="7"/>
  <c r="F77" i="7"/>
  <c r="K77" i="7" s="1"/>
  <c r="M77" i="7" s="1"/>
  <c r="O77" i="10"/>
  <c r="O78" i="10" s="1"/>
  <c r="P78" i="10" s="1"/>
  <c r="P76" i="10"/>
  <c r="N77" i="8" l="1"/>
  <c r="M78" i="8"/>
  <c r="N78" i="8" s="1"/>
  <c r="N76" i="6"/>
  <c r="M77" i="6"/>
  <c r="N77" i="7"/>
  <c r="F78" i="7"/>
  <c r="K78" i="7" s="1"/>
  <c r="M78" i="7" s="1"/>
  <c r="N78" i="7" s="1"/>
  <c r="P77" i="10"/>
  <c r="M78" i="6" l="1"/>
  <c r="N78" i="6" s="1"/>
  <c r="N77" i="6"/>
</calcChain>
</file>

<file path=xl/sharedStrings.xml><?xml version="1.0" encoding="utf-8"?>
<sst xmlns="http://schemas.openxmlformats.org/spreadsheetml/2006/main" count="372" uniqueCount="232">
  <si>
    <t>year</t>
  </si>
  <si>
    <t>POP</t>
  </si>
  <si>
    <t>GDP</t>
  </si>
  <si>
    <t>GDP_QI</t>
  </si>
  <si>
    <t>GDP_P</t>
  </si>
  <si>
    <t>PCE</t>
  </si>
  <si>
    <t>PIE</t>
  </si>
  <si>
    <t>GCE</t>
  </si>
  <si>
    <t>GIE</t>
  </si>
  <si>
    <t>NX</t>
  </si>
  <si>
    <t>VA_TOT</t>
  </si>
  <si>
    <t>VA_GOOD</t>
  </si>
  <si>
    <t>VA_SERV</t>
  </si>
  <si>
    <t>VA_TOT_P</t>
  </si>
  <si>
    <t>VA_GOOD_P</t>
  </si>
  <si>
    <t>VA_SERV_P</t>
  </si>
  <si>
    <t>VAX_GOOD</t>
  </si>
  <si>
    <t>VAC_GOOD</t>
  </si>
  <si>
    <t>VAX_SERV</t>
  </si>
  <si>
    <t>VAC_SERV</t>
  </si>
  <si>
    <t>LAB_TOT</t>
  </si>
  <si>
    <t>LAB_GOOD</t>
  </si>
  <si>
    <t>LAB_SERV</t>
  </si>
  <si>
    <t>LAB_S_TOT</t>
  </si>
  <si>
    <t>VA_TOT_QI</t>
  </si>
  <si>
    <t>VA_GOOD_QI</t>
  </si>
  <si>
    <t>VA_SERV_QI</t>
  </si>
  <si>
    <t>CAP_TOT_QI</t>
  </si>
  <si>
    <t>CAP_GOOD_QI</t>
  </si>
  <si>
    <t>CAP_SERV_QI</t>
  </si>
  <si>
    <t>LAB_TOT_QI</t>
  </si>
  <si>
    <t>LAB_GOOD_QI</t>
  </si>
  <si>
    <t>LAB_SERV_QI</t>
  </si>
  <si>
    <t>LAB_S_GOOD</t>
  </si>
  <si>
    <t>LAB_S_SERV</t>
  </si>
  <si>
    <t>C_TOT</t>
  </si>
  <si>
    <t>C_GOOD</t>
  </si>
  <si>
    <t>C_SERV</t>
  </si>
  <si>
    <t>C_TOT_QI</t>
  </si>
  <si>
    <t>C_TOT_P</t>
  </si>
  <si>
    <t>C_GOOD_QI</t>
  </si>
  <si>
    <t>C_GOOD_P</t>
  </si>
  <si>
    <t>C_SERV_QI</t>
  </si>
  <si>
    <t>C_SERV_P</t>
  </si>
  <si>
    <t>X_TOT</t>
  </si>
  <si>
    <t>X_TOT_QI</t>
  </si>
  <si>
    <t>X_TOT_P</t>
  </si>
  <si>
    <t>Population, midperiod, thousands</t>
  </si>
  <si>
    <t>GDP, millions of dollars</t>
  </si>
  <si>
    <t>GDP, chain-type quantity indexes for GDP, 2009=1</t>
  </si>
  <si>
    <t>GDP, chain-type price indexes for GDP, 2009=1</t>
  </si>
  <si>
    <t>Personal consumption expenditures, millions of current dollars</t>
  </si>
  <si>
    <t>Private investment expenditures, millions of current dollars</t>
  </si>
  <si>
    <t>Government consumption expenditures, millions of current dollars</t>
  </si>
  <si>
    <t>Government investment expenditures, millions of current dollars</t>
  </si>
  <si>
    <t>Net exports, millions of dollars</t>
  </si>
  <si>
    <t>GDP, current prices, millions of dollars</t>
  </si>
  <si>
    <t>Value added, current prices, goods, millions of dollars</t>
  </si>
  <si>
    <t>Value added, current prices, services, millions of dollars</t>
  </si>
  <si>
    <t>Value added, price index, aggregate, 1947 = 1</t>
  </si>
  <si>
    <t>Value added, price index, goods, 1947 = 1</t>
  </si>
  <si>
    <t>Value added, price index, services, 1947 = 1</t>
  </si>
  <si>
    <t>Investment value added requirement, services, millions of dollars</t>
  </si>
  <si>
    <t>Consumption value added requirement, services, millions of dollars</t>
  </si>
  <si>
    <t>Labour income, current prices, millions of dollars</t>
  </si>
  <si>
    <t>Labour income, current prices, goods, millions of dollars</t>
  </si>
  <si>
    <t>Labour income, current prices, services, millions of dollars</t>
  </si>
  <si>
    <t>Labour income share in value added, aggregate, t and t-1 average</t>
  </si>
  <si>
    <t>Value added, volume index, aggregate, 1947 = 1</t>
  </si>
  <si>
    <t>Value added, volume index, goods, 1947 = 1</t>
  </si>
  <si>
    <t>Value added, volume index, services, 1947 = 1</t>
  </si>
  <si>
    <t>Capital services, volume index, aggregate, 1947 = 1</t>
  </si>
  <si>
    <t>Capital services, volume index, goods, 1947 = 1</t>
  </si>
  <si>
    <t>Capital services, volume index, services, 1947 = 1</t>
  </si>
  <si>
    <t>Efficiency hours worked by persons engaged, volume index, aggregate, 1947 = 1</t>
  </si>
  <si>
    <t>Efficiency hours worked by persons engaged, volume index, goods, 1947 = 1</t>
  </si>
  <si>
    <t>Efficiency hours worked by persons engaged, volume index, services, 1947 = 1</t>
  </si>
  <si>
    <t>Labour income share in value added, goods, t and t-1 average</t>
  </si>
  <si>
    <t>Labour income share in value added, services, t and t-1 average</t>
  </si>
  <si>
    <t>Consumption defined as GDP-X, current prices, millions of dollars</t>
  </si>
  <si>
    <t>Goods consumption expenditures, millions of current dollars</t>
  </si>
  <si>
    <t>Service consumption expenditures, millions of current dollars</t>
  </si>
  <si>
    <t>Chain-type quantity indexes for consumption, 1947=1</t>
  </si>
  <si>
    <t>Chain-type price indexes for consumption, 1947=1</t>
  </si>
  <si>
    <t>Chain-type quantity indexes for goods consumption, 1947=1</t>
  </si>
  <si>
    <t>Chain-type price indexes for goods consumption, 1947=1</t>
  </si>
  <si>
    <t>Chain-type quantity indexes for service consumption, 1947=1</t>
  </si>
  <si>
    <t>Chain-type price indexes for service consumption, 1947=1</t>
  </si>
  <si>
    <t>Fixed investment expenditures, millions of current dollars</t>
  </si>
  <si>
    <t>Chain-type quantity indexes for fixed investment, 1947=1</t>
  </si>
  <si>
    <t>Chain-type price indexes for fixed investment, 1947=1</t>
  </si>
  <si>
    <t>Variable Name</t>
  </si>
  <si>
    <t>Definition</t>
  </si>
  <si>
    <t>dl_chg_VA</t>
  </si>
  <si>
    <t>dl_chg_CAP</t>
  </si>
  <si>
    <t>dl_chg_TFP</t>
  </si>
  <si>
    <t>Cum_Sum</t>
  </si>
  <si>
    <t>TFP_INDEX</t>
  </si>
  <si>
    <t>avg_LAB_S_TOT</t>
  </si>
  <si>
    <t>dl_chg_LAB</t>
  </si>
  <si>
    <t>dl_chg_VA_QI</t>
  </si>
  <si>
    <t>TFPVA_SERV_I</t>
  </si>
  <si>
    <t>mLAB_S_GOOD</t>
  </si>
  <si>
    <t>TFPVA_TOT_I</t>
  </si>
  <si>
    <t>VAX_GOOD_S</t>
  </si>
  <si>
    <t>VAX_SERV_S</t>
  </si>
  <si>
    <t>VAC_GOOD_S</t>
  </si>
  <si>
    <t>VAC_SERV_S</t>
  </si>
  <si>
    <t>C_PC</t>
  </si>
  <si>
    <t>VAX_GOOD_S_hat</t>
  </si>
  <si>
    <t>VAX_SERV_S_hat</t>
  </si>
  <si>
    <t>omega_x</t>
  </si>
  <si>
    <t>epsilon_x</t>
  </si>
  <si>
    <t>VAX_GOOD_QI_hat</t>
  </si>
  <si>
    <t>VAX_SERV_QI_hat</t>
  </si>
  <si>
    <t>VAX_SERV_GOOD_hat</t>
  </si>
  <si>
    <t>dVAX_SERV_S_hat_2017</t>
  </si>
  <si>
    <t>VAC_GOOD_S_CES_hat</t>
  </si>
  <si>
    <t>VAC_SERV_S_CES_hat</t>
  </si>
  <si>
    <t>omega_c</t>
  </si>
  <si>
    <t>epsilon_c</t>
  </si>
  <si>
    <t>VAC_GOOD_CES_QI_hat</t>
  </si>
  <si>
    <t>VAC_SERV_CES_QI_hat</t>
  </si>
  <si>
    <t>VAC_SERV_GOOD_CES_hat</t>
  </si>
  <si>
    <t>dVAC_SERV_S_CES_hat_2017</t>
  </si>
  <si>
    <t>VAC_GOOD_S_PIGL_hat</t>
  </si>
  <si>
    <t>VAC_SERV_S_PIGL_hat</t>
  </si>
  <si>
    <t>chi</t>
  </si>
  <si>
    <t>gamma</t>
  </si>
  <si>
    <t>nu</t>
  </si>
  <si>
    <t>VAC_GOOD_PIGL_QI_hat</t>
  </si>
  <si>
    <t>VAC_SERV_PIGL_QI_hat</t>
  </si>
  <si>
    <t>VAC_SERV_GOOD_PIGL_hat</t>
  </si>
  <si>
    <t>dVAC_SERV_S_PIGL_hat_2017</t>
  </si>
  <si>
    <t>VAX_S_GOOD</t>
  </si>
  <si>
    <t>VAX_S_SERV</t>
  </si>
  <si>
    <t>VAC_S_GOOD</t>
  </si>
  <si>
    <t>VAC_S_SERV</t>
  </si>
  <si>
    <t>VAX_GOOD_QI</t>
  </si>
  <si>
    <t>VAX_SERV_QI</t>
  </si>
  <si>
    <t>VAC_GOOD_QI</t>
  </si>
  <si>
    <t>VAC_SERV_QI</t>
  </si>
  <si>
    <t>VA_SERV_GOOD_P</t>
  </si>
  <si>
    <t>VA_SERV_X_P</t>
  </si>
  <si>
    <t>VA_GOOD_X_P</t>
  </si>
  <si>
    <t>C_X_P</t>
  </si>
  <si>
    <t>mLAB_S_TOT</t>
  </si>
  <si>
    <t>mLAB_S_SERV</t>
  </si>
  <si>
    <t>dlTFPVA_TOT_I</t>
  </si>
  <si>
    <t>dlTFPVA_GOOD_I</t>
  </si>
  <si>
    <t>dlTFPVA_SERV_I</t>
  </si>
  <si>
    <t>TFPVA_GOOD_I</t>
  </si>
  <si>
    <t>.</t>
  </si>
  <si>
    <t xml:space="preserve">From here onwards </t>
  </si>
  <si>
    <t xml:space="preserve">VAX_S_SERV </t>
  </si>
  <si>
    <t xml:space="preserve">VAC_S_GOOD </t>
  </si>
  <si>
    <t>Goods value added share in investment expenditure avergared over t and t-1</t>
  </si>
  <si>
    <t>Services value added share in investment expenditure avergared over t and t-1</t>
  </si>
  <si>
    <t>Goods value added share in consumption expenditure avergared over t and t-1</t>
  </si>
  <si>
    <t>Services value added share in consumption expenditure avergared over t and t-1</t>
  </si>
  <si>
    <t>Goods quantity in investment expenditure, 1947 = 1</t>
  </si>
  <si>
    <t>Services quantity in investment expenditure, 1947 = 1</t>
  </si>
  <si>
    <t>Goods quantity in consumption expenditure, 1947 = 1</t>
  </si>
  <si>
    <t>Services quantity iin consumption expenditure, 1947 = 1</t>
  </si>
  <si>
    <t>Value added, services relative to goods price index, 1947 = 1</t>
  </si>
  <si>
    <t>Value added, goods relative to investment price index, 1947 = 1</t>
  </si>
  <si>
    <t>Value added, services relative to investment price index, 1947 = 1</t>
  </si>
  <si>
    <t>Consumption relative to investment price index, 1947 = 1</t>
  </si>
  <si>
    <t>TFP index, aggregate, 1947 = 1</t>
  </si>
  <si>
    <t>TFP index, goods, 1947 = 1</t>
  </si>
  <si>
    <t>TFP index, services, 1947 = 1</t>
  </si>
  <si>
    <t>A_X_I</t>
  </si>
  <si>
    <t>Exogenous investment specific TFP index, 1947 = 1</t>
  </si>
  <si>
    <t>calA_X_I_BU</t>
  </si>
  <si>
    <t>Effective investment specific TFP index, buttom up approach, 1947 = 1</t>
  </si>
  <si>
    <t>calA_X_I_TD</t>
  </si>
  <si>
    <t>Effective investment specific TFP index, top down approach, 1947 = 1</t>
  </si>
  <si>
    <t>calA_C_I</t>
  </si>
  <si>
    <t>Effective consumption specific TFP index, log-CES, 1947 = 1</t>
  </si>
  <si>
    <t>Average labour share, total economy</t>
  </si>
  <si>
    <t>Average labour share, goods sector</t>
  </si>
  <si>
    <t>Average labour share, services sector</t>
  </si>
  <si>
    <t>these data are calculated</t>
  </si>
  <si>
    <t>by HRV</t>
  </si>
  <si>
    <t>From here below these are calculated by HRV</t>
  </si>
  <si>
    <t>VA_TOT/X_P</t>
  </si>
  <si>
    <t>Except for VA shares</t>
  </si>
  <si>
    <t>CAP_TOT_QI_1997_2023</t>
  </si>
  <si>
    <t>LAB_TOT_QI_1997_2023</t>
  </si>
  <si>
    <t>CAP_GOODS_QI_1997_2023</t>
  </si>
  <si>
    <t>LAB_GOODS_QI_1997_2023</t>
  </si>
  <si>
    <t>CAP_SERV_QI_1997_2023</t>
  </si>
  <si>
    <t>LAB_SERV_QI_1997_2023</t>
  </si>
  <si>
    <t>1947=1</t>
  </si>
  <si>
    <t>1980=1</t>
  </si>
  <si>
    <t>1980-2023</t>
  </si>
  <si>
    <t>1947-2023</t>
  </si>
  <si>
    <t>1947-1980</t>
  </si>
  <si>
    <t>Goods</t>
  </si>
  <si>
    <t>Services</t>
  </si>
  <si>
    <t>Investment</t>
  </si>
  <si>
    <t>TFP_GOOD</t>
  </si>
  <si>
    <t>TFP_SERV</t>
  </si>
  <si>
    <t>A_Good/A_Cal_A_X</t>
  </si>
  <si>
    <t>A_Serv/A_Cal_A_X</t>
  </si>
  <si>
    <t>Pg/Ps</t>
  </si>
  <si>
    <t>Data</t>
  </si>
  <si>
    <t>Model</t>
  </si>
  <si>
    <t>g_g</t>
  </si>
  <si>
    <t>g_s</t>
  </si>
  <si>
    <t>g_A</t>
  </si>
  <si>
    <t>Ps_Model</t>
  </si>
  <si>
    <t>Pg_Model</t>
  </si>
  <si>
    <t>Wedge_s</t>
  </si>
  <si>
    <t>Wedge_g</t>
  </si>
  <si>
    <t>Pg_Px Data</t>
  </si>
  <si>
    <t>Ps_Px_Data</t>
  </si>
  <si>
    <t>Pg Data</t>
  </si>
  <si>
    <t>Ps Data</t>
  </si>
  <si>
    <t>Consumption</t>
  </si>
  <si>
    <t>Growth Rates</t>
  </si>
  <si>
    <t>5-year mov. Avg.</t>
  </si>
  <si>
    <t>80-90</t>
  </si>
  <si>
    <t>90-00</t>
  </si>
  <si>
    <t>00-10</t>
  </si>
  <si>
    <t>10-23</t>
  </si>
  <si>
    <t>50-60</t>
  </si>
  <si>
    <t>60-70</t>
  </si>
  <si>
    <t>70-80</t>
  </si>
  <si>
    <t>Servs</t>
  </si>
  <si>
    <t>Goods Consumption Expenditures</t>
  </si>
  <si>
    <t>Services Consumption Expenditures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</si>
</sst>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0.00000"/>
    <numFmt numFmtId="165" formatCode="_-* #,##0.0_-;\-* #,##0.0_-;_-* &quot;-&quot;??_-;_-@_-"/>
    <numFmt numFmtId="166" formatCode="0.0000"/>
    <numFmt numFmtId="167" formatCode="0.000"/>
    <numFmt numFmtId="168" formatCode="0.000000"/>
    <numFmt numFmtId="169" formatCode="_-* #,##0.000_-;\-* #,##0.000_-;_-* &quot;-&quot;??_-;_-@_-"/>
    <numFmt numFmtId="170" formatCode="_-* #,##0_-;\-* #,##0_-;_-* &quot;-&quot;??_-;_-@_-"/>
    <numFmt numFmtId="171" formatCode="_-* #,##0.0_-;\-* #,##0.0_-;_-* &quot;-&quot;?_-;_-@_-"/>
    <numFmt numFmtId="172" formatCode="0.000000000000"/>
    <numFmt numFmtId="173" formatCode="0.0000000"/>
    <numFmt numFmtId="174" formatCode="0.00000000000"/>
  </numFmts>
  <fonts count="6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4" fillId="0" borderId="1"/>
  </cellStyleXfs>
  <cellXfs count="60">
    <xf numFmtId="0" fontId="0" fillId="0" borderId="0" xfId="0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4" fillId="0" borderId="1" xfId="2"/>
    <xf numFmtId="0" fontId="4" fillId="2" borderId="1" xfId="2" applyFill="1"/>
    <xf numFmtId="0" fontId="4" fillId="0" borderId="1" xfId="2" applyAlignment="1">
      <alignment horizontal="center"/>
    </xf>
    <xf numFmtId="167" fontId="4" fillId="0" borderId="1" xfId="2" applyNumberFormat="1" applyAlignment="1">
      <alignment horizontal="center"/>
    </xf>
    <xf numFmtId="168" fontId="4" fillId="0" borderId="1" xfId="2" applyNumberFormat="1" applyAlignment="1">
      <alignment horizontal="center"/>
    </xf>
    <xf numFmtId="164" fontId="0" fillId="0" borderId="0" xfId="0" applyNumberFormat="1" applyAlignment="1">
      <alignment horizontal="center"/>
    </xf>
    <xf numFmtId="167" fontId="4" fillId="2" borderId="1" xfId="2" applyNumberFormat="1" applyFill="1" applyAlignment="1">
      <alignment horizontal="center"/>
    </xf>
    <xf numFmtId="0" fontId="4" fillId="0" borderId="1" xfId="2" applyAlignment="1">
      <alignment horizontal="left"/>
    </xf>
    <xf numFmtId="167" fontId="4" fillId="2" borderId="1" xfId="2" applyNumberFormat="1" applyFill="1"/>
    <xf numFmtId="167" fontId="4" fillId="0" borderId="1" xfId="2" applyNumberFormat="1"/>
    <xf numFmtId="165" fontId="4" fillId="0" borderId="1" xfId="1" applyNumberFormat="1" applyFont="1" applyBorder="1" applyAlignment="1">
      <alignment horizontal="center"/>
    </xf>
    <xf numFmtId="0" fontId="0" fillId="2" borderId="0" xfId="0" applyFill="1"/>
    <xf numFmtId="167" fontId="0" fillId="0" borderId="0" xfId="0" applyNumberFormat="1"/>
    <xf numFmtId="169" fontId="4" fillId="0" borderId="1" xfId="1" applyNumberFormat="1" applyFont="1" applyBorder="1" applyAlignment="1">
      <alignment horizontal="center"/>
    </xf>
    <xf numFmtId="1" fontId="0" fillId="0" borderId="0" xfId="0" applyNumberFormat="1" applyAlignment="1">
      <alignment horizontal="left"/>
    </xf>
    <xf numFmtId="0" fontId="0" fillId="3" borderId="0" xfId="0" applyFill="1"/>
    <xf numFmtId="43" fontId="0" fillId="0" borderId="0" xfId="1" applyFont="1"/>
    <xf numFmtId="166" fontId="0" fillId="0" borderId="1" xfId="0" applyNumberFormat="1" applyBorder="1" applyAlignment="1">
      <alignment horizontal="center" vertical="center"/>
    </xf>
    <xf numFmtId="170" fontId="4" fillId="0" borderId="1" xfId="1" applyNumberFormat="1" applyFont="1" applyBorder="1" applyAlignment="1">
      <alignment horizontal="center"/>
    </xf>
    <xf numFmtId="0" fontId="3" fillId="0" borderId="1" xfId="2" applyFont="1" applyAlignment="1">
      <alignment horizontal="center"/>
    </xf>
    <xf numFmtId="0" fontId="0" fillId="2" borderId="0" xfId="0" applyFill="1" applyAlignment="1">
      <alignment horizontal="left"/>
    </xf>
    <xf numFmtId="165" fontId="0" fillId="2" borderId="1" xfId="1" applyNumberFormat="1" applyFont="1" applyFill="1" applyBorder="1" applyAlignment="1">
      <alignment horizontal="center" vertical="center"/>
    </xf>
    <xf numFmtId="43" fontId="0" fillId="2" borderId="0" xfId="0" applyNumberFormat="1" applyFill="1"/>
    <xf numFmtId="164" fontId="0" fillId="2" borderId="0" xfId="0" applyNumberFormat="1" applyFill="1"/>
    <xf numFmtId="167" fontId="0" fillId="2" borderId="0" xfId="0" applyNumberFormat="1" applyFill="1"/>
    <xf numFmtId="0" fontId="2" fillId="0" borderId="1" xfId="2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1" xfId="2" applyFont="1" applyAlignment="1">
      <alignment horizontal="center"/>
    </xf>
    <xf numFmtId="166" fontId="0" fillId="0" borderId="1" xfId="0" applyNumberFormat="1" applyBorder="1" applyAlignment="1">
      <alignment horizontal="right" vertical="center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5" fontId="0" fillId="0" borderId="1" xfId="1" applyNumberFormat="1" applyFont="1" applyFill="1" applyBorder="1" applyAlignment="1">
      <alignment horizontal="center" vertical="center"/>
    </xf>
    <xf numFmtId="171" fontId="0" fillId="0" borderId="0" xfId="0" applyNumberFormat="1"/>
    <xf numFmtId="43" fontId="0" fillId="0" borderId="0" xfId="0" applyNumberFormat="1"/>
    <xf numFmtId="0" fontId="0" fillId="0" borderId="2" xfId="0" applyBorder="1"/>
    <xf numFmtId="167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0" fillId="2" borderId="1" xfId="0" applyNumberFormat="1" applyFill="1" applyBorder="1" applyAlignment="1">
      <alignment horizontal="left"/>
    </xf>
    <xf numFmtId="164" fontId="0" fillId="2" borderId="1" xfId="0" applyNumberForma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center" vertical="center"/>
    </xf>
    <xf numFmtId="172" fontId="0" fillId="2" borderId="0" xfId="0" applyNumberFormat="1" applyFill="1"/>
    <xf numFmtId="173" fontId="0" fillId="2" borderId="0" xfId="0" applyNumberFormat="1" applyFill="1"/>
    <xf numFmtId="0" fontId="0" fillId="4" borderId="0" xfId="0" applyFill="1"/>
    <xf numFmtId="174" fontId="0" fillId="2" borderId="0" xfId="0" applyNumberFormat="1" applyFill="1"/>
    <xf numFmtId="174" fontId="0" fillId="0" borderId="0" xfId="0" applyNumberFormat="1"/>
    <xf numFmtId="2" fontId="0" fillId="0" borderId="0" xfId="0" applyNumberFormat="1"/>
    <xf numFmtId="164" fontId="0" fillId="0" borderId="0" xfId="0" applyNumberFormat="1"/>
    <xf numFmtId="167" fontId="0" fillId="5" borderId="0" xfId="0" applyNumberFormat="1" applyFill="1"/>
    <xf numFmtId="17" fontId="0" fillId="0" borderId="0" xfId="0" quotePrefix="1" applyNumberFormat="1"/>
    <xf numFmtId="0" fontId="0" fillId="0" borderId="0" xfId="0" applyAlignment="1">
      <alignment horizontal="center"/>
    </xf>
  </cellXfs>
  <cellStyles count="3">
    <cellStyle name="Comma" xfId="1" builtinId="3"/>
    <cellStyle name="Normal" xfId="0" builtinId="0"/>
    <cellStyle name="Normal 2" xfId="2" xr:uid="{E1307BB6-9699-4A35-BDE8-E197C36440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69816272965879E-2"/>
          <c:y val="0.17171296296296296"/>
          <c:w val="0.90046697287839017"/>
          <c:h val="0.69959062408865558"/>
        </c:manualLayout>
      </c:layout>
      <c:lineChart>
        <c:grouping val="standard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C_GOOD_QI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Sheet1!$A$36:$A$73</c:f>
              <c:numCache>
                <c:formatCode>0</c:formatCode>
                <c:ptCount val="38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</c:numCache>
            </c:numRef>
          </c:cat>
          <c:val>
            <c:numRef>
              <c:f>Sheet1!$E$36:$E$73</c:f>
              <c:numCache>
                <c:formatCode>General</c:formatCode>
                <c:ptCount val="38"/>
                <c:pt idx="0">
                  <c:v>1</c:v>
                </c:pt>
                <c:pt idx="1">
                  <c:v>1.0037321982192364</c:v>
                </c:pt>
                <c:pt idx="2">
                  <c:v>0.99451730733841637</c:v>
                </c:pt>
                <c:pt idx="3">
                  <c:v>1.0138246565596969</c:v>
                </c:pt>
                <c:pt idx="4">
                  <c:v>1.0360547850057078</c:v>
                </c:pt>
                <c:pt idx="5">
                  <c:v>1.0828498765844967</c:v>
                </c:pt>
                <c:pt idx="6">
                  <c:v>1.1261365971206059</c:v>
                </c:pt>
                <c:pt idx="7">
                  <c:v>1.1605704216171004</c:v>
                </c:pt>
                <c:pt idx="8">
                  <c:v>1.242059404653151</c:v>
                </c:pt>
                <c:pt idx="9">
                  <c:v>1.2950764512950093</c:v>
                </c:pt>
                <c:pt idx="10">
                  <c:v>1.3209650632806629</c:v>
                </c:pt>
                <c:pt idx="11">
                  <c:v>1.3161137791716577</c:v>
                </c:pt>
                <c:pt idx="12">
                  <c:v>1.3459417419758863</c:v>
                </c:pt>
                <c:pt idx="13">
                  <c:v>1.3693532369611967</c:v>
                </c:pt>
                <c:pt idx="14">
                  <c:v>1.4165747953666048</c:v>
                </c:pt>
                <c:pt idx="15">
                  <c:v>1.462524924954461</c:v>
                </c:pt>
                <c:pt idx="16">
                  <c:v>1.518551016874254</c:v>
                </c:pt>
                <c:pt idx="17">
                  <c:v>1.5767875330822485</c:v>
                </c:pt>
                <c:pt idx="18">
                  <c:v>1.616856577782944</c:v>
                </c:pt>
                <c:pt idx="19">
                  <c:v>1.6831299467778329</c:v>
                </c:pt>
                <c:pt idx="20">
                  <c:v>1.7254554750440132</c:v>
                </c:pt>
                <c:pt idx="21">
                  <c:v>1.7801353133306859</c:v>
                </c:pt>
                <c:pt idx="22">
                  <c:v>1.8049086303087751</c:v>
                </c:pt>
                <c:pt idx="23">
                  <c:v>1.8685315896678207</c:v>
                </c:pt>
                <c:pt idx="24">
                  <c:v>1.9188849226032931</c:v>
                </c:pt>
                <c:pt idx="25">
                  <c:v>1.9847833143492695</c:v>
                </c:pt>
                <c:pt idx="26">
                  <c:v>2.073381462716291</c:v>
                </c:pt>
                <c:pt idx="27">
                  <c:v>2.1845058846626406</c:v>
                </c:pt>
                <c:pt idx="28">
                  <c:v>2.2160350900985373</c:v>
                </c:pt>
                <c:pt idx="29">
                  <c:v>2.2684601283547585</c:v>
                </c:pt>
                <c:pt idx="30">
                  <c:v>2.2710050789983192</c:v>
                </c:pt>
                <c:pt idx="31">
                  <c:v>2.3223704115469617</c:v>
                </c:pt>
                <c:pt idx="32">
                  <c:v>2.3845838353054361</c:v>
                </c:pt>
                <c:pt idx="33">
                  <c:v>2.4868995309554425</c:v>
                </c:pt>
                <c:pt idx="34">
                  <c:v>2.5741003522894119</c:v>
                </c:pt>
                <c:pt idx="35">
                  <c:v>2.6181476553479661</c:v>
                </c:pt>
                <c:pt idx="36">
                  <c:v>2.7243167992577022</c:v>
                </c:pt>
                <c:pt idx="37">
                  <c:v>2.8308013502725062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A-4CBF-90B4-5D72E9734A9C}"/>
            </c:ext>
          </c:extLst>
        </c:ser>
        <c:ser>
          <c:idx val="1"/>
          <c:order val="1"/>
          <c:tx>
            <c:strRef>
              <c:f>Sheet1!$F$2</c:f>
              <c:strCache>
                <c:ptCount val="1"/>
                <c:pt idx="0">
                  <c:v>C_SERV_QI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Sheet1!$A$36:$A$73</c:f>
              <c:numCache>
                <c:formatCode>0</c:formatCode>
                <c:ptCount val="38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</c:numCache>
            </c:numRef>
          </c:cat>
          <c:val>
            <c:numRef>
              <c:f>Sheet1!$F$36:$F$73</c:f>
              <c:numCache>
                <c:formatCode>General</c:formatCode>
                <c:ptCount val="38"/>
                <c:pt idx="0">
                  <c:v>1</c:v>
                </c:pt>
                <c:pt idx="1">
                  <c:v>1.0172848693013619</c:v>
                </c:pt>
                <c:pt idx="2">
                  <c:v>1.035740220017759</c:v>
                </c:pt>
                <c:pt idx="3">
                  <c:v>1.0791612552422096</c:v>
                </c:pt>
                <c:pt idx="4">
                  <c:v>1.1089875570894947</c:v>
                </c:pt>
                <c:pt idx="5">
                  <c:v>1.1629075477023652</c:v>
                </c:pt>
                <c:pt idx="6">
                  <c:v>1.209279651625659</c:v>
                </c:pt>
                <c:pt idx="7">
                  <c:v>1.2528650398594157</c:v>
                </c:pt>
                <c:pt idx="8">
                  <c:v>1.3037720629711338</c:v>
                </c:pt>
                <c:pt idx="9">
                  <c:v>1.3485804944955253</c:v>
                </c:pt>
                <c:pt idx="10">
                  <c:v>1.3894697041294095</c:v>
                </c:pt>
                <c:pt idx="11">
                  <c:v>1.4170551514582377</c:v>
                </c:pt>
                <c:pt idx="12">
                  <c:v>1.4643356796242974</c:v>
                </c:pt>
                <c:pt idx="13">
                  <c:v>1.497072907690683</c:v>
                </c:pt>
                <c:pt idx="14">
                  <c:v>1.5342181034574209</c:v>
                </c:pt>
                <c:pt idx="15">
                  <c:v>1.5711043224862813</c:v>
                </c:pt>
                <c:pt idx="16">
                  <c:v>1.6079866244224872</c:v>
                </c:pt>
                <c:pt idx="17">
                  <c:v>1.6526130372457464</c:v>
                </c:pt>
                <c:pt idx="18">
                  <c:v>1.711433853743612</c:v>
                </c:pt>
                <c:pt idx="19">
                  <c:v>1.7759382794197103</c:v>
                </c:pt>
                <c:pt idx="20">
                  <c:v>1.8433968697300391</c:v>
                </c:pt>
                <c:pt idx="21">
                  <c:v>1.8846663487556252</c:v>
                </c:pt>
                <c:pt idx="22">
                  <c:v>1.9273279431753945</c:v>
                </c:pt>
                <c:pt idx="23">
                  <c:v>1.9673907865428841</c:v>
                </c:pt>
                <c:pt idx="24">
                  <c:v>2.0217041495576011</c:v>
                </c:pt>
                <c:pt idx="25">
                  <c:v>2.0759084460169586</c:v>
                </c:pt>
                <c:pt idx="26">
                  <c:v>2.1212582546135645</c:v>
                </c:pt>
                <c:pt idx="27">
                  <c:v>2.1738359736419834</c:v>
                </c:pt>
                <c:pt idx="28">
                  <c:v>2.2196684657670698</c:v>
                </c:pt>
                <c:pt idx="29">
                  <c:v>2.236045803693234</c:v>
                </c:pt>
                <c:pt idx="30">
                  <c:v>2.265839789899065</c:v>
                </c:pt>
                <c:pt idx="31">
                  <c:v>2.2789338514757476</c:v>
                </c:pt>
                <c:pt idx="32">
                  <c:v>2.2916150482604731</c:v>
                </c:pt>
                <c:pt idx="33">
                  <c:v>2.3038452295477327</c:v>
                </c:pt>
                <c:pt idx="34">
                  <c:v>2.3354806913291055</c:v>
                </c:pt>
                <c:pt idx="35">
                  <c:v>2.3902993198003859</c:v>
                </c:pt>
                <c:pt idx="36">
                  <c:v>2.4308426689084501</c:v>
                </c:pt>
                <c:pt idx="37">
                  <c:v>2.4663864603593284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BA-4CBF-90B4-5D72E9734A9C}"/>
            </c:ext>
          </c:extLst>
        </c:ser>
        <c:ser>
          <c:idx val="2"/>
          <c:order val="2"/>
          <c:tx>
            <c:strRef>
              <c:f>Sheet1!$G$2</c:f>
              <c:strCache>
                <c:ptCount val="1"/>
                <c:pt idx="0">
                  <c:v>X_TOT_QI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Sheet1!$A$36:$A$73</c:f>
              <c:numCache>
                <c:formatCode>0</c:formatCode>
                <c:ptCount val="38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</c:numCache>
            </c:numRef>
          </c:cat>
          <c:val>
            <c:numRef>
              <c:f>Sheet1!$G$36:$G$73</c:f>
              <c:numCache>
                <c:formatCode>General</c:formatCode>
                <c:ptCount val="38"/>
                <c:pt idx="0">
                  <c:v>1</c:v>
                </c:pt>
                <c:pt idx="1">
                  <c:v>1.0190688542047994</c:v>
                </c:pt>
                <c:pt idx="2">
                  <c:v>0.96848480814669324</c:v>
                </c:pt>
                <c:pt idx="3">
                  <c:v>1.0387700089853242</c:v>
                </c:pt>
                <c:pt idx="4">
                  <c:v>1.194682019368366</c:v>
                </c:pt>
                <c:pt idx="5">
                  <c:v>1.2783786482079265</c:v>
                </c:pt>
                <c:pt idx="6">
                  <c:v>1.318579653233052</c:v>
                </c:pt>
                <c:pt idx="7">
                  <c:v>1.3419082165795868</c:v>
                </c:pt>
                <c:pt idx="8">
                  <c:v>1.3729242237678472</c:v>
                </c:pt>
                <c:pt idx="9">
                  <c:v>1.4131585077706421</c:v>
                </c:pt>
                <c:pt idx="10">
                  <c:v>1.4116942327531712</c:v>
                </c:pt>
                <c:pt idx="11">
                  <c:v>1.3536889746746974</c:v>
                </c:pt>
                <c:pt idx="12">
                  <c:v>1.4091983094279334</c:v>
                </c:pt>
                <c:pt idx="13">
                  <c:v>1.4810143432393759</c:v>
                </c:pt>
                <c:pt idx="14">
                  <c:v>1.5714333255682402</c:v>
                </c:pt>
                <c:pt idx="15">
                  <c:v>1.6524343572165481</c:v>
                </c:pt>
                <c:pt idx="16">
                  <c:v>1.7789277513394792</c:v>
                </c:pt>
                <c:pt idx="17">
                  <c:v>1.9066524676361947</c:v>
                </c:pt>
                <c:pt idx="18">
                  <c:v>2.083863023727913</c:v>
                </c:pt>
                <c:pt idx="19">
                  <c:v>2.2573463343206122</c:v>
                </c:pt>
                <c:pt idx="20">
                  <c:v>2.4017438184298947</c:v>
                </c:pt>
                <c:pt idx="21">
                  <c:v>2.3915937302405932</c:v>
                </c:pt>
                <c:pt idx="22">
                  <c:v>2.351026656461114</c:v>
                </c:pt>
                <c:pt idx="23">
                  <c:v>2.4506306366268245</c:v>
                </c:pt>
                <c:pt idx="24">
                  <c:v>2.5974907650836871</c:v>
                </c:pt>
                <c:pt idx="25">
                  <c:v>2.7549003294618761</c:v>
                </c:pt>
                <c:pt idx="26">
                  <c:v>2.8285799860228136</c:v>
                </c:pt>
                <c:pt idx="27">
                  <c:v>2.8122067290092696</c:v>
                </c:pt>
                <c:pt idx="28">
                  <c:v>2.6939332423707816</c:v>
                </c:pt>
                <c:pt idx="29">
                  <c:v>2.3565842457319719</c:v>
                </c:pt>
                <c:pt idx="30">
                  <c:v>2.4097973310259877</c:v>
                </c:pt>
                <c:pt idx="31">
                  <c:v>2.5212819062198379</c:v>
                </c:pt>
                <c:pt idx="32">
                  <c:v>2.6955306332989291</c:v>
                </c:pt>
                <c:pt idx="33">
                  <c:v>2.8054510965423107</c:v>
                </c:pt>
                <c:pt idx="34">
                  <c:v>2.970747778628223</c:v>
                </c:pt>
                <c:pt idx="35">
                  <c:v>3.1015008818928993</c:v>
                </c:pt>
                <c:pt idx="36">
                  <c:v>3.1915205164897267</c:v>
                </c:pt>
                <c:pt idx="37">
                  <c:v>3.3278977669805965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BA-4CBF-90B4-5D72E9734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025440"/>
        <c:axId val="1024024480"/>
      </c:lineChart>
      <c:catAx>
        <c:axId val="102402544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024480"/>
        <c:crosses val="autoZero"/>
        <c:auto val="1"/>
        <c:lblAlgn val="ctr"/>
        <c:lblOffset val="100"/>
        <c:noMultiLvlLbl val="0"/>
      </c:catAx>
      <c:valAx>
        <c:axId val="1024024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02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9582895888013996E-2"/>
          <c:y val="0.17187445319335079"/>
          <c:w val="0.47245876672823306"/>
          <c:h val="6.44334406652776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Sheet1!$K$2</c:f>
              <c:strCache>
                <c:ptCount val="1"/>
                <c:pt idx="0">
                  <c:v>C_GOOD_QI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Sheet1!$A$36:$A$73</c:f>
              <c:numCache>
                <c:formatCode>0</c:formatCode>
                <c:ptCount val="38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</c:numCache>
            </c:numRef>
          </c:cat>
          <c:val>
            <c:numRef>
              <c:f>Sheet1!$K$36:$K$73</c:f>
              <c:numCache>
                <c:formatCode>0.0000</c:formatCode>
                <c:ptCount val="38"/>
                <c:pt idx="0">
                  <c:v>3.2988022936500494E-2</c:v>
                </c:pt>
                <c:pt idx="1">
                  <c:v>2.6639570968344774E-2</c:v>
                </c:pt>
                <c:pt idx="2">
                  <c:v>2.0914551713790686E-2</c:v>
                </c:pt>
                <c:pt idx="3">
                  <c:v>1.6317206695978314E-2</c:v>
                </c:pt>
                <c:pt idx="4">
                  <c:v>1.3237134298724373E-2</c:v>
                </c:pt>
                <c:pt idx="5">
                  <c:v>1.6211794886399143E-2</c:v>
                </c:pt>
                <c:pt idx="6">
                  <c:v>2.3460317697115429E-2</c:v>
                </c:pt>
                <c:pt idx="7">
                  <c:v>3.1411833457551365E-2</c:v>
                </c:pt>
                <c:pt idx="8">
                  <c:v>4.1571994802908074E-2</c:v>
                </c:pt>
                <c:pt idx="9">
                  <c:v>4.57235540371983E-2</c:v>
                </c:pt>
                <c:pt idx="10">
                  <c:v>4.0688235475905409E-2</c:v>
                </c:pt>
                <c:pt idx="11">
                  <c:v>3.1958766978168109E-2</c:v>
                </c:pt>
                <c:pt idx="12">
                  <c:v>3.0376109763641201E-2</c:v>
                </c:pt>
                <c:pt idx="13">
                  <c:v>1.9812017996066623E-2</c:v>
                </c:pt>
                <c:pt idx="14">
                  <c:v>1.8171973832612265E-2</c:v>
                </c:pt>
                <c:pt idx="15">
                  <c:v>2.066146645919633E-2</c:v>
                </c:pt>
                <c:pt idx="16">
                  <c:v>2.9057529712622411E-2</c:v>
                </c:pt>
                <c:pt idx="17">
                  <c:v>3.2194807715760373E-2</c:v>
                </c:pt>
                <c:pt idx="18">
                  <c:v>3.3798344799297241E-2</c:v>
                </c:pt>
                <c:pt idx="19">
                  <c:v>3.5099234970810397E-2</c:v>
                </c:pt>
                <c:pt idx="20">
                  <c:v>3.3641120440419801E-2</c:v>
                </c:pt>
                <c:pt idx="21">
                  <c:v>3.2317581113274853E-2</c:v>
                </c:pt>
                <c:pt idx="22">
                  <c:v>2.7430877134592448E-2</c:v>
                </c:pt>
                <c:pt idx="23">
                  <c:v>2.9398504920215895E-2</c:v>
                </c:pt>
                <c:pt idx="24">
                  <c:v>2.6590316000925762E-2</c:v>
                </c:pt>
                <c:pt idx="25">
                  <c:v>2.8429337463378702E-2</c:v>
                </c:pt>
                <c:pt idx="26">
                  <c:v>3.101905972464767E-2</c:v>
                </c:pt>
                <c:pt idx="27">
                  <c:v>3.8954901332662752E-2</c:v>
                </c:pt>
                <c:pt idx="28">
                  <c:v>3.4791530314437269E-2</c:v>
                </c:pt>
                <c:pt idx="29">
                  <c:v>3.4133341664056259E-2</c:v>
                </c:pt>
                <c:pt idx="30">
                  <c:v>2.7489313831429295E-2</c:v>
                </c:pt>
                <c:pt idx="31">
                  <c:v>2.3085150760803773E-2</c:v>
                </c:pt>
                <c:pt idx="32">
                  <c:v>1.7723753989519375E-2</c:v>
                </c:pt>
                <c:pt idx="33">
                  <c:v>2.3418562693510347E-2</c:v>
                </c:pt>
                <c:pt idx="34">
                  <c:v>2.5699950136111351E-2</c:v>
                </c:pt>
                <c:pt idx="35">
                  <c:v>2.8897918645495714E-2</c:v>
                </c:pt>
                <c:pt idx="36">
                  <c:v>3.2484590334290339E-2</c:v>
                </c:pt>
                <c:pt idx="37">
                  <c:v>3.4944178141579352E-2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16-4D30-A895-1B97963D0F89}"/>
            </c:ext>
          </c:extLst>
        </c:ser>
        <c:ser>
          <c:idx val="1"/>
          <c:order val="1"/>
          <c:tx>
            <c:strRef>
              <c:f>Sheet1!$L$2</c:f>
              <c:strCache>
                <c:ptCount val="1"/>
                <c:pt idx="0">
                  <c:v>C_SERV_QI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Sheet1!$A$36:$A$73</c:f>
              <c:numCache>
                <c:formatCode>0</c:formatCode>
                <c:ptCount val="38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</c:numCache>
            </c:numRef>
          </c:cat>
          <c:val>
            <c:numRef>
              <c:f>Sheet1!$L$36:$L$73</c:f>
              <c:numCache>
                <c:formatCode>0.0000</c:formatCode>
                <c:ptCount val="38"/>
                <c:pt idx="0">
                  <c:v>2.7972189179803309E-2</c:v>
                </c:pt>
                <c:pt idx="1">
                  <c:v>2.6222078203645527E-2</c:v>
                </c:pt>
                <c:pt idx="2">
                  <c:v>2.3223898439320934E-2</c:v>
                </c:pt>
                <c:pt idx="3">
                  <c:v>2.4059157726561375E-2</c:v>
                </c:pt>
                <c:pt idx="4">
                  <c:v>2.4599323689363572E-2</c:v>
                </c:pt>
                <c:pt idx="5">
                  <c:v>3.0721735320970955E-2</c:v>
                </c:pt>
                <c:pt idx="6">
                  <c:v>3.5239961899446157E-2</c:v>
                </c:pt>
                <c:pt idx="7">
                  <c:v>3.8820095215464256E-2</c:v>
                </c:pt>
                <c:pt idx="8">
                  <c:v>3.8562051041438748E-2</c:v>
                </c:pt>
                <c:pt idx="9">
                  <c:v>3.990802925389976E-2</c:v>
                </c:pt>
                <c:pt idx="10">
                  <c:v>3.6247883031926165E-2</c:v>
                </c:pt>
                <c:pt idx="11">
                  <c:v>3.2243326536957453E-2</c:v>
                </c:pt>
                <c:pt idx="12">
                  <c:v>3.1707906885996985E-2</c:v>
                </c:pt>
                <c:pt idx="13">
                  <c:v>2.8052683080224662E-2</c:v>
                </c:pt>
                <c:pt idx="14">
                  <c:v>2.6141399077700057E-2</c:v>
                </c:pt>
                <c:pt idx="15">
                  <c:v>2.4885833500873256E-2</c:v>
                </c:pt>
                <c:pt idx="16">
                  <c:v>2.5610269496514258E-2</c:v>
                </c:pt>
                <c:pt idx="17">
                  <c:v>2.4487796350927925E-2</c:v>
                </c:pt>
                <c:pt idx="18">
                  <c:v>2.7135045277403912E-2</c:v>
                </c:pt>
                <c:pt idx="19">
                  <c:v>2.9710725481821097E-2</c:v>
                </c:pt>
                <c:pt idx="20">
                  <c:v>3.2499206236570585E-2</c:v>
                </c:pt>
                <c:pt idx="21">
                  <c:v>3.2281673124235202E-2</c:v>
                </c:pt>
                <c:pt idx="22">
                  <c:v>3.1258308545908255E-2</c:v>
                </c:pt>
                <c:pt idx="23">
                  <c:v>2.8297131689544841E-2</c:v>
                </c:pt>
                <c:pt idx="24">
                  <c:v>2.628043506381399E-2</c:v>
                </c:pt>
                <c:pt idx="25">
                  <c:v>2.4045721187746682E-2</c:v>
                </c:pt>
                <c:pt idx="26">
                  <c:v>2.3937327411088737E-2</c:v>
                </c:pt>
                <c:pt idx="27">
                  <c:v>2.4367316941641893E-2</c:v>
                </c:pt>
                <c:pt idx="28">
                  <c:v>2.4426709938702017E-2</c:v>
                </c:pt>
                <c:pt idx="29">
                  <c:v>2.0381006258727609E-2</c:v>
                </c:pt>
                <c:pt idx="30">
                  <c:v>1.7683649588289229E-2</c:v>
                </c:pt>
                <c:pt idx="31">
                  <c:v>1.4470276539172123E-2</c:v>
                </c:pt>
                <c:pt idx="32">
                  <c:v>1.0625962645451592E-2</c:v>
                </c:pt>
                <c:pt idx="33">
                  <c:v>7.4766091957830568E-3</c:v>
                </c:pt>
                <c:pt idx="34">
                  <c:v>8.7472712906859762E-3</c:v>
                </c:pt>
                <c:pt idx="35">
                  <c:v>1.0776809052094549E-2</c:v>
                </c:pt>
                <c:pt idx="36">
                  <c:v>1.301335308085263E-2</c:v>
                </c:pt>
                <c:pt idx="37">
                  <c:v>1.4824847811402276E-2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16-4D30-A895-1B97963D0F89}"/>
            </c:ext>
          </c:extLst>
        </c:ser>
        <c:ser>
          <c:idx val="2"/>
          <c:order val="2"/>
          <c:tx>
            <c:strRef>
              <c:f>Sheet1!$M$2</c:f>
              <c:strCache>
                <c:ptCount val="1"/>
                <c:pt idx="0">
                  <c:v>X_TOT_QI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Sheet1!$A$36:$A$73</c:f>
              <c:numCache>
                <c:formatCode>0</c:formatCode>
                <c:ptCount val="38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</c:numCache>
            </c:numRef>
          </c:cat>
          <c:val>
            <c:numRef>
              <c:f>Sheet1!$M$36:$M$73</c:f>
              <c:numCache>
                <c:formatCode>0.0000</c:formatCode>
                <c:ptCount val="38"/>
                <c:pt idx="0">
                  <c:v>6.0851480943373136E-2</c:v>
                </c:pt>
                <c:pt idx="1">
                  <c:v>4.8600245789927519E-2</c:v>
                </c:pt>
                <c:pt idx="2">
                  <c:v>1.8006898051330732E-2</c:v>
                </c:pt>
                <c:pt idx="3">
                  <c:v>1.1213064604743384E-2</c:v>
                </c:pt>
                <c:pt idx="4">
                  <c:v>2.9832507847312683E-2</c:v>
                </c:pt>
                <c:pt idx="5">
                  <c:v>5.2430847858756492E-2</c:v>
                </c:pt>
                <c:pt idx="6">
                  <c:v>5.4906450683647613E-2</c:v>
                </c:pt>
                <c:pt idx="7">
                  <c:v>6.8372392027373732E-2</c:v>
                </c:pt>
                <c:pt idx="8">
                  <c:v>5.8480597591885397E-2</c:v>
                </c:pt>
                <c:pt idx="9">
                  <c:v>3.4323123930621514E-2</c:v>
                </c:pt>
                <c:pt idx="10">
                  <c:v>2.0104357212734847E-2</c:v>
                </c:pt>
                <c:pt idx="11">
                  <c:v>5.5971617647053492E-3</c:v>
                </c:pt>
                <c:pt idx="12">
                  <c:v>1.0259918301700121E-2</c:v>
                </c:pt>
                <c:pt idx="13">
                  <c:v>1.5829713020539239E-2</c:v>
                </c:pt>
                <c:pt idx="14">
                  <c:v>2.217901805718454E-2</c:v>
                </c:pt>
                <c:pt idx="15">
                  <c:v>3.2695443441163707E-2</c:v>
                </c:pt>
                <c:pt idx="16">
                  <c:v>5.6223210041483541E-2</c:v>
                </c:pt>
                <c:pt idx="17">
                  <c:v>6.2381757102037527E-2</c:v>
                </c:pt>
                <c:pt idx="18">
                  <c:v>7.0777948759302323E-2</c:v>
                </c:pt>
                <c:pt idx="19">
                  <c:v>7.5217700467585275E-2</c:v>
                </c:pt>
                <c:pt idx="20">
                  <c:v>7.7702069913284211E-2</c:v>
                </c:pt>
                <c:pt idx="21">
                  <c:v>6.1546898546714648E-2</c:v>
                </c:pt>
                <c:pt idx="22">
                  <c:v>4.3794684711682061E-2</c:v>
                </c:pt>
                <c:pt idx="23">
                  <c:v>3.3679259149240547E-2</c:v>
                </c:pt>
                <c:pt idx="24">
                  <c:v>2.9014591475343486E-2</c:v>
                </c:pt>
                <c:pt idx="25">
                  <c:v>2.8341156053733108E-2</c:v>
                </c:pt>
                <c:pt idx="26">
                  <c:v>3.4535371512793157E-2</c:v>
                </c:pt>
                <c:pt idx="27">
                  <c:v>3.6770141969999878E-2</c:v>
                </c:pt>
                <c:pt idx="28">
                  <c:v>1.9885473087090877E-2</c:v>
                </c:pt>
                <c:pt idx="29">
                  <c:v>-1.714511328991284E-2</c:v>
                </c:pt>
                <c:pt idx="30">
                  <c:v>-2.4749118413272299E-2</c:v>
                </c:pt>
                <c:pt idx="31">
                  <c:v>-2.0845497259273937E-2</c:v>
                </c:pt>
                <c:pt idx="32">
                  <c:v>-5.8655629387734942E-3</c:v>
                </c:pt>
                <c:pt idx="33">
                  <c:v>1.0701630138531848E-2</c:v>
                </c:pt>
                <c:pt idx="34">
                  <c:v>4.7530684303017254E-2</c:v>
                </c:pt>
                <c:pt idx="35">
                  <c:v>5.1817270838495945E-2</c:v>
                </c:pt>
                <c:pt idx="36">
                  <c:v>4.8369568657166885E-2</c:v>
                </c:pt>
                <c:pt idx="37">
                  <c:v>4.3093560146172251E-2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16-4D30-A895-1B97963D0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337551"/>
        <c:axId val="88338511"/>
      </c:lineChart>
      <c:catAx>
        <c:axId val="8833755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38511"/>
        <c:crosses val="autoZero"/>
        <c:auto val="1"/>
        <c:lblAlgn val="ctr"/>
        <c:lblOffset val="100"/>
        <c:noMultiLvlLbl val="0"/>
      </c:catAx>
      <c:valAx>
        <c:axId val="883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3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Expenditure Growth Rates</a:t>
            </a:r>
          </a:p>
          <a:p>
            <a:pPr>
              <a:defRPr/>
            </a:pPr>
            <a:r>
              <a:rPr lang="en-GB"/>
              <a:t>(10</a:t>
            </a:r>
            <a:r>
              <a:rPr lang="en-GB" baseline="0"/>
              <a:t> year avg of </a:t>
            </a:r>
            <a:r>
              <a:rPr lang="en-GB"/>
              <a:t>y-o-y growth</a:t>
            </a:r>
            <a:r>
              <a:rPr lang="en-GB" baseline="0"/>
              <a:t> rates)</a:t>
            </a:r>
            <a:endParaRPr lang="en-GB"/>
          </a:p>
        </c:rich>
      </c:tx>
      <c:layout>
        <c:manualLayout>
          <c:xMode val="edge"/>
          <c:yMode val="edge"/>
          <c:x val="0.31663188976377959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Sheet1!$H$81</c:f>
              <c:strCache>
                <c:ptCount val="1"/>
                <c:pt idx="0">
                  <c:v>Goods Consumption Expenditures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Sheet1!$G$82:$G$88</c:f>
              <c:strCache>
                <c:ptCount val="7"/>
                <c:pt idx="0">
                  <c:v>50-60</c:v>
                </c:pt>
                <c:pt idx="1">
                  <c:v>60-70</c:v>
                </c:pt>
                <c:pt idx="2">
                  <c:v>70-80</c:v>
                </c:pt>
                <c:pt idx="3">
                  <c:v>80-90</c:v>
                </c:pt>
                <c:pt idx="4">
                  <c:v>90-00</c:v>
                </c:pt>
                <c:pt idx="5">
                  <c:v>00-10</c:v>
                </c:pt>
                <c:pt idx="6">
                  <c:v>10-23</c:v>
                </c:pt>
              </c:strCache>
            </c:strRef>
          </c:cat>
          <c:val>
            <c:numRef>
              <c:f>Sheet1!$H$82:$H$88</c:f>
              <c:numCache>
                <c:formatCode>0.0000</c:formatCode>
                <c:ptCount val="7"/>
                <c:pt idx="0">
                  <c:v>2.8747803353805602E-2</c:v>
                </c:pt>
                <c:pt idx="1">
                  <c:v>4.1002279830929411E-2</c:v>
                </c:pt>
                <c:pt idx="2">
                  <c:v>3.3801232105445292E-2</c:v>
                </c:pt>
                <c:pt idx="3">
                  <c:v>2.9480344167961338E-2</c:v>
                </c:pt>
                <c:pt idx="4">
                  <c:v>2.6635604401711331E-2</c:v>
                </c:pt>
                <c:pt idx="5">
                  <c:v>3.0361828832491011E-2</c:v>
                </c:pt>
                <c:pt idx="6">
                  <c:v>3.1768729425892143E-2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AE-4D7A-89D3-EE4E92AC39FD}"/>
            </c:ext>
          </c:extLst>
        </c:ser>
        <c:ser>
          <c:idx val="1"/>
          <c:order val="1"/>
          <c:tx>
            <c:strRef>
              <c:f>Sheet1!$I$81</c:f>
              <c:strCache>
                <c:ptCount val="1"/>
                <c:pt idx="0">
                  <c:v>Services Consumption Expenditures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Sheet1!$G$82:$G$88</c:f>
              <c:strCache>
                <c:ptCount val="7"/>
                <c:pt idx="0">
                  <c:v>50-60</c:v>
                </c:pt>
                <c:pt idx="1">
                  <c:v>60-70</c:v>
                </c:pt>
                <c:pt idx="2">
                  <c:v>70-80</c:v>
                </c:pt>
                <c:pt idx="3">
                  <c:v>80-90</c:v>
                </c:pt>
                <c:pt idx="4">
                  <c:v>90-00</c:v>
                </c:pt>
                <c:pt idx="5">
                  <c:v>00-10</c:v>
                </c:pt>
                <c:pt idx="6">
                  <c:v>10-23</c:v>
                </c:pt>
              </c:strCache>
            </c:strRef>
          </c:cat>
          <c:val>
            <c:numRef>
              <c:f>Sheet1!$I$82:$I$88</c:f>
              <c:numCache>
                <c:formatCode>0.0000</c:formatCode>
                <c:ptCount val="7"/>
                <c:pt idx="0">
                  <c:v>4.442871895488304E-2</c:v>
                </c:pt>
                <c:pt idx="1">
                  <c:v>4.5622962798872527E-2</c:v>
                </c:pt>
                <c:pt idx="2">
                  <c:v>2.9165321602278582E-2</c:v>
                </c:pt>
                <c:pt idx="3">
                  <c:v>3.2253676471631666E-2</c:v>
                </c:pt>
                <c:pt idx="4">
                  <c:v>2.7926062279760577E-2</c:v>
                </c:pt>
                <c:pt idx="5">
                  <c:v>2.3330720661270798E-2</c:v>
                </c:pt>
                <c:pt idx="6">
                  <c:v>1.5455466899636854E-2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AE-4D7A-89D3-EE4E92AC39FD}"/>
            </c:ext>
          </c:extLst>
        </c:ser>
        <c:ser>
          <c:idx val="2"/>
          <c:order val="2"/>
          <c:tx>
            <c:strRef>
              <c:f>Sheet1!$J$81</c:f>
              <c:strCache>
                <c:ptCount val="1"/>
                <c:pt idx="0">
                  <c:v>Investment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Sheet1!$G$82:$G$88</c:f>
              <c:strCache>
                <c:ptCount val="7"/>
                <c:pt idx="0">
                  <c:v>50-60</c:v>
                </c:pt>
                <c:pt idx="1">
                  <c:v>60-70</c:v>
                </c:pt>
                <c:pt idx="2">
                  <c:v>70-80</c:v>
                </c:pt>
                <c:pt idx="3">
                  <c:v>80-90</c:v>
                </c:pt>
                <c:pt idx="4">
                  <c:v>90-00</c:v>
                </c:pt>
                <c:pt idx="5">
                  <c:v>00-10</c:v>
                </c:pt>
                <c:pt idx="6">
                  <c:v>10-23</c:v>
                </c:pt>
              </c:strCache>
            </c:strRef>
          </c:cat>
          <c:val>
            <c:numRef>
              <c:f>Sheet1!$J$82:$J$88</c:f>
              <c:numCache>
                <c:formatCode>0.0000</c:formatCode>
                <c:ptCount val="7"/>
                <c:pt idx="0">
                  <c:v>5.6359212897048649E-2</c:v>
                </c:pt>
                <c:pt idx="1">
                  <c:v>4.9038550927651858E-2</c:v>
                </c:pt>
                <c:pt idx="2">
                  <c:v>3.8027741239073244E-2</c:v>
                </c:pt>
                <c:pt idx="3">
                  <c:v>3.2077815888967097E-2</c:v>
                </c:pt>
                <c:pt idx="4">
                  <c:v>4.8698359262384902E-2</c:v>
                </c:pt>
                <c:pt idx="5">
                  <c:v>5.9347390927153246E-3</c:v>
                </c:pt>
                <c:pt idx="6">
                  <c:v>3.797685517929749E-2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AE-4D7A-89D3-EE4E92AC3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096464"/>
        <c:axId val="1163097424"/>
      </c:lineChart>
      <c:catAx>
        <c:axId val="116309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097424"/>
        <c:crosses val="autoZero"/>
        <c:auto val="1"/>
        <c:lblAlgn val="ctr"/>
        <c:lblOffset val="100"/>
        <c:noMultiLvlLbl val="0"/>
      </c:catAx>
      <c:valAx>
        <c:axId val="116309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09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Sheet1!$K$2</c:f>
              <c:strCache>
                <c:ptCount val="1"/>
                <c:pt idx="0">
                  <c:v>C_GOOD_QI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Sheet1!$A$3:$A$73</c:f>
              <c:numCache>
                <c:formatCode>0</c:formatCode>
                <c:ptCount val="71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</c:numCache>
            </c:numRef>
          </c:cat>
          <c:val>
            <c:numRef>
              <c:f>Sheet1!$K$3:$K$73</c:f>
              <c:numCache>
                <c:formatCode>0.0000</c:formatCode>
                <c:ptCount val="71"/>
                <c:pt idx="5">
                  <c:v>1.5416815701336174E-2</c:v>
                </c:pt>
                <c:pt idx="6">
                  <c:v>2.7865796997503578E-2</c:v>
                </c:pt>
                <c:pt idx="7">
                  <c:v>2.6138979280697815E-2</c:v>
                </c:pt>
                <c:pt idx="8">
                  <c:v>3.5290924441911155E-2</c:v>
                </c:pt>
                <c:pt idx="9">
                  <c:v>3.8353983179269281E-2</c:v>
                </c:pt>
                <c:pt idx="10">
                  <c:v>4.0085462032442634E-2</c:v>
                </c:pt>
                <c:pt idx="11">
                  <c:v>2.6350844529321505E-2</c:v>
                </c:pt>
                <c:pt idx="12">
                  <c:v>3.1356627426913385E-2</c:v>
                </c:pt>
                <c:pt idx="13">
                  <c:v>2.1269517616360999E-2</c:v>
                </c:pt>
                <c:pt idx="14">
                  <c:v>1.7726870695864559E-2</c:v>
                </c:pt>
                <c:pt idx="15">
                  <c:v>2.1664913147217923E-2</c:v>
                </c:pt>
                <c:pt idx="16">
                  <c:v>3.6428720570902982E-2</c:v>
                </c:pt>
                <c:pt idx="17">
                  <c:v>4.0632064444531893E-2</c:v>
                </c:pt>
                <c:pt idx="18">
                  <c:v>4.3837984815380218E-2</c:v>
                </c:pt>
                <c:pt idx="19">
                  <c:v>5.3635621652091015E-2</c:v>
                </c:pt>
                <c:pt idx="20">
                  <c:v>4.7942262860335025E-2</c:v>
                </c:pt>
                <c:pt idx="21">
                  <c:v>4.8918385905222149E-2</c:v>
                </c:pt>
                <c:pt idx="22">
                  <c:v>4.1372495217326929E-2</c:v>
                </c:pt>
                <c:pt idx="23">
                  <c:v>3.3410632659514806E-2</c:v>
                </c:pt>
                <c:pt idx="24">
                  <c:v>2.8342101570782586E-2</c:v>
                </c:pt>
                <c:pt idx="25">
                  <c:v>3.774191080688407E-2</c:v>
                </c:pt>
                <c:pt idx="26">
                  <c:v>4.3420288860170506E-2</c:v>
                </c:pt>
                <c:pt idx="27">
                  <c:v>3.444719794560458E-2</c:v>
                </c:pt>
                <c:pt idx="28">
                  <c:v>3.7211628058355137E-2</c:v>
                </c:pt>
                <c:pt idx="29">
                  <c:v>3.8203445158159897E-2</c:v>
                </c:pt>
                <c:pt idx="30">
                  <c:v>2.9813804611776695E-2</c:v>
                </c:pt>
                <c:pt idx="31">
                  <c:v>2.2788894402678329E-2</c:v>
                </c:pt>
                <c:pt idx="32">
                  <c:v>3.3155266265285997E-2</c:v>
                </c:pt>
                <c:pt idx="33">
                  <c:v>3.2988022936500494E-2</c:v>
                </c:pt>
                <c:pt idx="34">
                  <c:v>2.6639570968344774E-2</c:v>
                </c:pt>
                <c:pt idx="35">
                  <c:v>2.0914551713790686E-2</c:v>
                </c:pt>
                <c:pt idx="36">
                  <c:v>1.6317206695978314E-2</c:v>
                </c:pt>
                <c:pt idx="37">
                  <c:v>1.3237134298724373E-2</c:v>
                </c:pt>
                <c:pt idx="38">
                  <c:v>1.6211794886399143E-2</c:v>
                </c:pt>
                <c:pt idx="39">
                  <c:v>2.3460317697115429E-2</c:v>
                </c:pt>
                <c:pt idx="40">
                  <c:v>3.1411833457551365E-2</c:v>
                </c:pt>
                <c:pt idx="41">
                  <c:v>4.1571994802908074E-2</c:v>
                </c:pt>
                <c:pt idx="42">
                  <c:v>4.57235540371983E-2</c:v>
                </c:pt>
                <c:pt idx="43">
                  <c:v>4.0688235475905409E-2</c:v>
                </c:pt>
                <c:pt idx="44">
                  <c:v>3.1958766978168109E-2</c:v>
                </c:pt>
                <c:pt idx="45">
                  <c:v>3.0376109763641201E-2</c:v>
                </c:pt>
                <c:pt idx="46">
                  <c:v>1.9812017996066623E-2</c:v>
                </c:pt>
                <c:pt idx="47">
                  <c:v>1.8171973832612265E-2</c:v>
                </c:pt>
                <c:pt idx="48">
                  <c:v>2.066146645919633E-2</c:v>
                </c:pt>
                <c:pt idx="49">
                  <c:v>2.9057529712622411E-2</c:v>
                </c:pt>
                <c:pt idx="50">
                  <c:v>3.2194807715760373E-2</c:v>
                </c:pt>
                <c:pt idx="51">
                  <c:v>3.3798344799297241E-2</c:v>
                </c:pt>
                <c:pt idx="52">
                  <c:v>3.5099234970810397E-2</c:v>
                </c:pt>
                <c:pt idx="53">
                  <c:v>3.3641120440419801E-2</c:v>
                </c:pt>
                <c:pt idx="54">
                  <c:v>3.2317581113274853E-2</c:v>
                </c:pt>
                <c:pt idx="55">
                  <c:v>2.7430877134592448E-2</c:v>
                </c:pt>
                <c:pt idx="56">
                  <c:v>2.9398504920215895E-2</c:v>
                </c:pt>
                <c:pt idx="57">
                  <c:v>2.6590316000925762E-2</c:v>
                </c:pt>
                <c:pt idx="58">
                  <c:v>2.8429337463378702E-2</c:v>
                </c:pt>
                <c:pt idx="59">
                  <c:v>3.101905972464767E-2</c:v>
                </c:pt>
                <c:pt idx="60">
                  <c:v>3.8954901332662752E-2</c:v>
                </c:pt>
                <c:pt idx="61">
                  <c:v>3.4791530314437269E-2</c:v>
                </c:pt>
                <c:pt idx="62">
                  <c:v>3.4133341664056259E-2</c:v>
                </c:pt>
                <c:pt idx="63">
                  <c:v>2.7489313831429295E-2</c:v>
                </c:pt>
                <c:pt idx="64">
                  <c:v>2.3085150760803773E-2</c:v>
                </c:pt>
                <c:pt idx="65">
                  <c:v>1.7723753989519375E-2</c:v>
                </c:pt>
                <c:pt idx="66">
                  <c:v>2.3418562693510347E-2</c:v>
                </c:pt>
                <c:pt idx="67">
                  <c:v>2.5699950136111351E-2</c:v>
                </c:pt>
                <c:pt idx="68">
                  <c:v>2.8897918645495714E-2</c:v>
                </c:pt>
                <c:pt idx="69">
                  <c:v>3.2484590334290339E-2</c:v>
                </c:pt>
                <c:pt idx="70">
                  <c:v>3.4944178141579352E-2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0-4924-AE92-4F01C2126E35}"/>
            </c:ext>
          </c:extLst>
        </c:ser>
        <c:ser>
          <c:idx val="1"/>
          <c:order val="1"/>
          <c:tx>
            <c:strRef>
              <c:f>Sheet1!$L$2</c:f>
              <c:strCache>
                <c:ptCount val="1"/>
                <c:pt idx="0">
                  <c:v>C_SERV_QI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Sheet1!$A$3:$A$73</c:f>
              <c:numCache>
                <c:formatCode>0</c:formatCode>
                <c:ptCount val="71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</c:numCache>
            </c:numRef>
          </c:cat>
          <c:val>
            <c:numRef>
              <c:f>Sheet1!$L$3:$L$73</c:f>
              <c:numCache>
                <c:formatCode>0.0000</c:formatCode>
                <c:ptCount val="71"/>
                <c:pt idx="5">
                  <c:v>6.1614557715142973E-2</c:v>
                </c:pt>
                <c:pt idx="6">
                  <c:v>6.8172166651750035E-2</c:v>
                </c:pt>
                <c:pt idx="7">
                  <c:v>5.9231921889839986E-2</c:v>
                </c:pt>
                <c:pt idx="8">
                  <c:v>5.8045348700865841E-2</c:v>
                </c:pt>
                <c:pt idx="9">
                  <c:v>3.4172389015010095E-2</c:v>
                </c:pt>
                <c:pt idx="10">
                  <c:v>2.2976226440044534E-2</c:v>
                </c:pt>
                <c:pt idx="11">
                  <c:v>1.9075210833359502E-2</c:v>
                </c:pt>
                <c:pt idx="12">
                  <c:v>2.962551601992609E-2</c:v>
                </c:pt>
                <c:pt idx="13">
                  <c:v>3.0779974719031867E-2</c:v>
                </c:pt>
                <c:pt idx="14">
                  <c:v>3.2685165774955172E-2</c:v>
                </c:pt>
                <c:pt idx="15">
                  <c:v>3.669563547007524E-2</c:v>
                </c:pt>
                <c:pt idx="16">
                  <c:v>3.9369269577440982E-2</c:v>
                </c:pt>
                <c:pt idx="17">
                  <c:v>4.0115053179536633E-2</c:v>
                </c:pt>
                <c:pt idx="18">
                  <c:v>4.5192070209680101E-2</c:v>
                </c:pt>
                <c:pt idx="19">
                  <c:v>4.9856454935396768E-2</c:v>
                </c:pt>
                <c:pt idx="20">
                  <c:v>5.0082884157195376E-2</c:v>
                </c:pt>
                <c:pt idx="21">
                  <c:v>5.3595560812897333E-2</c:v>
                </c:pt>
                <c:pt idx="22">
                  <c:v>5.113087241820842E-2</c:v>
                </c:pt>
                <c:pt idx="23">
                  <c:v>4.556728551102527E-2</c:v>
                </c:pt>
                <c:pt idx="24">
                  <c:v>3.8567614754084011E-2</c:v>
                </c:pt>
                <c:pt idx="25">
                  <c:v>3.424646496337487E-2</c:v>
                </c:pt>
                <c:pt idx="26">
                  <c:v>2.9185004967651106E-2</c:v>
                </c:pt>
                <c:pt idx="27">
                  <c:v>2.6750334021938028E-2</c:v>
                </c:pt>
                <c:pt idx="28">
                  <c:v>2.9376690196675215E-2</c:v>
                </c:pt>
                <c:pt idx="29">
                  <c:v>2.9596165403080299E-2</c:v>
                </c:pt>
                <c:pt idx="30">
                  <c:v>2.9049222978134014E-2</c:v>
                </c:pt>
                <c:pt idx="31">
                  <c:v>3.0931304472627243E-2</c:v>
                </c:pt>
                <c:pt idx="32">
                  <c:v>3.1580309182619136E-2</c:v>
                </c:pt>
                <c:pt idx="33">
                  <c:v>2.7972189179803309E-2</c:v>
                </c:pt>
                <c:pt idx="34">
                  <c:v>2.6222078203645527E-2</c:v>
                </c:pt>
                <c:pt idx="35">
                  <c:v>2.3223898439320934E-2</c:v>
                </c:pt>
                <c:pt idx="36">
                  <c:v>2.4059157726561375E-2</c:v>
                </c:pt>
                <c:pt idx="37">
                  <c:v>2.4599323689363572E-2</c:v>
                </c:pt>
                <c:pt idx="38">
                  <c:v>3.0721735320970955E-2</c:v>
                </c:pt>
                <c:pt idx="39">
                  <c:v>3.5239961899446157E-2</c:v>
                </c:pt>
                <c:pt idx="40">
                  <c:v>3.8820095215464256E-2</c:v>
                </c:pt>
                <c:pt idx="41">
                  <c:v>3.8562051041438748E-2</c:v>
                </c:pt>
                <c:pt idx="42">
                  <c:v>3.990802925389976E-2</c:v>
                </c:pt>
                <c:pt idx="43">
                  <c:v>3.6247883031926165E-2</c:v>
                </c:pt>
                <c:pt idx="44">
                  <c:v>3.2243326536957453E-2</c:v>
                </c:pt>
                <c:pt idx="45">
                  <c:v>3.1707906885996985E-2</c:v>
                </c:pt>
                <c:pt idx="46">
                  <c:v>2.8052683080224662E-2</c:v>
                </c:pt>
                <c:pt idx="47">
                  <c:v>2.6141399077700057E-2</c:v>
                </c:pt>
                <c:pt idx="48">
                  <c:v>2.4885833500873256E-2</c:v>
                </c:pt>
                <c:pt idx="49">
                  <c:v>2.5610269496514258E-2</c:v>
                </c:pt>
                <c:pt idx="50">
                  <c:v>2.4487796350927925E-2</c:v>
                </c:pt>
                <c:pt idx="51">
                  <c:v>2.7135045277403912E-2</c:v>
                </c:pt>
                <c:pt idx="52">
                  <c:v>2.9710725481821097E-2</c:v>
                </c:pt>
                <c:pt idx="53">
                  <c:v>3.2499206236570585E-2</c:v>
                </c:pt>
                <c:pt idx="54">
                  <c:v>3.2281673124235202E-2</c:v>
                </c:pt>
                <c:pt idx="55">
                  <c:v>3.1258308545908255E-2</c:v>
                </c:pt>
                <c:pt idx="56">
                  <c:v>2.8297131689544841E-2</c:v>
                </c:pt>
                <c:pt idx="57">
                  <c:v>2.628043506381399E-2</c:v>
                </c:pt>
                <c:pt idx="58">
                  <c:v>2.4045721187746682E-2</c:v>
                </c:pt>
                <c:pt idx="59">
                  <c:v>2.3937327411088737E-2</c:v>
                </c:pt>
                <c:pt idx="60">
                  <c:v>2.4367316941641893E-2</c:v>
                </c:pt>
                <c:pt idx="61">
                  <c:v>2.4426709938702017E-2</c:v>
                </c:pt>
                <c:pt idx="62">
                  <c:v>2.0381006258727609E-2</c:v>
                </c:pt>
                <c:pt idx="63">
                  <c:v>1.7683649588289229E-2</c:v>
                </c:pt>
                <c:pt idx="64">
                  <c:v>1.4470276539172123E-2</c:v>
                </c:pt>
                <c:pt idx="65">
                  <c:v>1.0625962645451592E-2</c:v>
                </c:pt>
                <c:pt idx="66">
                  <c:v>7.4766091957830568E-3</c:v>
                </c:pt>
                <c:pt idx="67">
                  <c:v>8.7472712906859762E-3</c:v>
                </c:pt>
                <c:pt idx="68">
                  <c:v>1.0776809052094549E-2</c:v>
                </c:pt>
                <c:pt idx="69">
                  <c:v>1.301335308085263E-2</c:v>
                </c:pt>
                <c:pt idx="70">
                  <c:v>1.4824847811402276E-2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0-4924-AE92-4F01C2126E35}"/>
            </c:ext>
          </c:extLst>
        </c:ser>
        <c:ser>
          <c:idx val="2"/>
          <c:order val="2"/>
          <c:tx>
            <c:strRef>
              <c:f>Sheet1!$M$2</c:f>
              <c:strCache>
                <c:ptCount val="1"/>
                <c:pt idx="0">
                  <c:v>X_TOT_QI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Sheet1!$A$3:$A$73</c:f>
              <c:numCache>
                <c:formatCode>0</c:formatCode>
                <c:ptCount val="71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</c:numCache>
            </c:numRef>
          </c:cat>
          <c:val>
            <c:numRef>
              <c:f>Sheet1!$M$3:$M$73</c:f>
              <c:numCache>
                <c:formatCode>0.0000</c:formatCode>
                <c:ptCount val="71"/>
                <c:pt idx="5">
                  <c:v>7.8621480883118128E-2</c:v>
                </c:pt>
                <c:pt idx="6">
                  <c:v>6.9081565034975603E-2</c:v>
                </c:pt>
                <c:pt idx="7">
                  <c:v>7.2197823712854853E-2</c:v>
                </c:pt>
                <c:pt idx="8">
                  <c:v>5.6015284265710917E-2</c:v>
                </c:pt>
                <c:pt idx="9">
                  <c:v>4.6391480640655014E-2</c:v>
                </c:pt>
                <c:pt idx="10">
                  <c:v>3.7579230063825506E-2</c:v>
                </c:pt>
                <c:pt idx="11">
                  <c:v>1.6248313293845684E-2</c:v>
                </c:pt>
                <c:pt idx="12">
                  <c:v>4.0520602081242439E-2</c:v>
                </c:pt>
                <c:pt idx="13">
                  <c:v>2.8176402278533842E-2</c:v>
                </c:pt>
                <c:pt idx="14">
                  <c:v>3.149987308365558E-2</c:v>
                </c:pt>
                <c:pt idx="15">
                  <c:v>4.3832476145889296E-2</c:v>
                </c:pt>
                <c:pt idx="16">
                  <c:v>6.1006797806270233E-2</c:v>
                </c:pt>
                <c:pt idx="17">
                  <c:v>5.1542448125047491E-2</c:v>
                </c:pt>
                <c:pt idx="18">
                  <c:v>6.5119913565848897E-2</c:v>
                </c:pt>
                <c:pt idx="19">
                  <c:v>7.2178437185384373E-2</c:v>
                </c:pt>
                <c:pt idx="20">
                  <c:v>5.8949543661643358E-2</c:v>
                </c:pt>
                <c:pt idx="21">
                  <c:v>5.5600705269295371E-2</c:v>
                </c:pt>
                <c:pt idx="22">
                  <c:v>4.6534653730256226E-2</c:v>
                </c:pt>
                <c:pt idx="23">
                  <c:v>2.4399167643087603E-2</c:v>
                </c:pt>
                <c:pt idx="24">
                  <c:v>1.6010560369304684E-2</c:v>
                </c:pt>
                <c:pt idx="25">
                  <c:v>2.9818855077536854E-2</c:v>
                </c:pt>
                <c:pt idx="26">
                  <c:v>3.4664182394540964E-2</c:v>
                </c:pt>
                <c:pt idx="27">
                  <c:v>2.1228652554316808E-2</c:v>
                </c:pt>
                <c:pt idx="28">
                  <c:v>1.3098128296024792E-2</c:v>
                </c:pt>
                <c:pt idx="29">
                  <c:v>2.3413956272581339E-2</c:v>
                </c:pt>
                <c:pt idx="30">
                  <c:v>2.8455656995035473E-2</c:v>
                </c:pt>
                <c:pt idx="31">
                  <c:v>3.5627675939086646E-2</c:v>
                </c:pt>
                <c:pt idx="32">
                  <c:v>5.482682992382968E-2</c:v>
                </c:pt>
                <c:pt idx="33">
                  <c:v>6.0851480943373136E-2</c:v>
                </c:pt>
                <c:pt idx="34">
                  <c:v>4.8600245789927519E-2</c:v>
                </c:pt>
                <c:pt idx="35">
                  <c:v>1.8006898051330732E-2</c:v>
                </c:pt>
                <c:pt idx="36">
                  <c:v>1.1213064604743384E-2</c:v>
                </c:pt>
                <c:pt idx="37">
                  <c:v>2.9832507847312683E-2</c:v>
                </c:pt>
                <c:pt idx="38">
                  <c:v>5.2430847858756492E-2</c:v>
                </c:pt>
                <c:pt idx="39">
                  <c:v>5.4906450683647613E-2</c:v>
                </c:pt>
                <c:pt idx="40">
                  <c:v>6.8372392027373732E-2</c:v>
                </c:pt>
                <c:pt idx="41">
                  <c:v>5.8480597591885397E-2</c:v>
                </c:pt>
                <c:pt idx="42">
                  <c:v>3.4323123930621514E-2</c:v>
                </c:pt>
                <c:pt idx="43">
                  <c:v>2.0104357212734847E-2</c:v>
                </c:pt>
                <c:pt idx="44">
                  <c:v>5.5971617647053492E-3</c:v>
                </c:pt>
                <c:pt idx="45">
                  <c:v>1.0259918301700121E-2</c:v>
                </c:pt>
                <c:pt idx="46">
                  <c:v>1.5829713020539239E-2</c:v>
                </c:pt>
                <c:pt idx="47">
                  <c:v>2.217901805718454E-2</c:v>
                </c:pt>
                <c:pt idx="48">
                  <c:v>3.2695443441163707E-2</c:v>
                </c:pt>
                <c:pt idx="49">
                  <c:v>5.6223210041483541E-2</c:v>
                </c:pt>
                <c:pt idx="50">
                  <c:v>6.2381757102037527E-2</c:v>
                </c:pt>
                <c:pt idx="51">
                  <c:v>7.0777948759302323E-2</c:v>
                </c:pt>
                <c:pt idx="52">
                  <c:v>7.5217700467585275E-2</c:v>
                </c:pt>
                <c:pt idx="53">
                  <c:v>7.7702069913284211E-2</c:v>
                </c:pt>
                <c:pt idx="54">
                  <c:v>6.1546898546714648E-2</c:v>
                </c:pt>
                <c:pt idx="55">
                  <c:v>4.3794684711682061E-2</c:v>
                </c:pt>
                <c:pt idx="56">
                  <c:v>3.3679259149240547E-2</c:v>
                </c:pt>
                <c:pt idx="57">
                  <c:v>2.9014591475343486E-2</c:v>
                </c:pt>
                <c:pt idx="58">
                  <c:v>2.8341156053733108E-2</c:v>
                </c:pt>
                <c:pt idx="59">
                  <c:v>3.4535371512793157E-2</c:v>
                </c:pt>
                <c:pt idx="60">
                  <c:v>3.6770141969999878E-2</c:v>
                </c:pt>
                <c:pt idx="61">
                  <c:v>1.9885473087090877E-2</c:v>
                </c:pt>
                <c:pt idx="62">
                  <c:v>-1.714511328991284E-2</c:v>
                </c:pt>
                <c:pt idx="63">
                  <c:v>-2.4749118413272299E-2</c:v>
                </c:pt>
                <c:pt idx="64">
                  <c:v>-2.0845497259273937E-2</c:v>
                </c:pt>
                <c:pt idx="65">
                  <c:v>-5.8655629387734942E-3</c:v>
                </c:pt>
                <c:pt idx="66">
                  <c:v>1.0701630138531848E-2</c:v>
                </c:pt>
                <c:pt idx="67">
                  <c:v>4.7530684303017254E-2</c:v>
                </c:pt>
                <c:pt idx="68">
                  <c:v>5.1817270838495945E-2</c:v>
                </c:pt>
                <c:pt idx="69">
                  <c:v>4.8369568657166885E-2</c:v>
                </c:pt>
                <c:pt idx="70">
                  <c:v>4.3093560146172251E-2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90-4924-AE92-4F01C2126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337551"/>
        <c:axId val="88338511"/>
      </c:lineChart>
      <c:catAx>
        <c:axId val="8833755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38511"/>
        <c:crosses val="autoZero"/>
        <c:auto val="1"/>
        <c:lblAlgn val="ctr"/>
        <c:lblOffset val="100"/>
        <c:noMultiLvlLbl val="0"/>
      </c:catAx>
      <c:valAx>
        <c:axId val="883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3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Sheet1!$K$2</c:f>
              <c:strCache>
                <c:ptCount val="1"/>
                <c:pt idx="0">
                  <c:v>C_GOOD_QI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Sheet1!$A$3:$A$73</c:f>
              <c:numCache>
                <c:formatCode>0</c:formatCode>
                <c:ptCount val="71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</c:numCache>
            </c:numRef>
          </c:cat>
          <c:val>
            <c:numRef>
              <c:f>Sheet1!$K$3:$K$73</c:f>
              <c:numCache>
                <c:formatCode>0.0000</c:formatCode>
                <c:ptCount val="71"/>
                <c:pt idx="5">
                  <c:v>1.5416815701336174E-2</c:v>
                </c:pt>
                <c:pt idx="6">
                  <c:v>2.7865796997503578E-2</c:v>
                </c:pt>
                <c:pt idx="7">
                  <c:v>2.6138979280697815E-2</c:v>
                </c:pt>
                <c:pt idx="8">
                  <c:v>3.5290924441911155E-2</c:v>
                </c:pt>
                <c:pt idx="9">
                  <c:v>3.8353983179269281E-2</c:v>
                </c:pt>
                <c:pt idx="10">
                  <c:v>4.0085462032442634E-2</c:v>
                </c:pt>
                <c:pt idx="11">
                  <c:v>2.6350844529321505E-2</c:v>
                </c:pt>
                <c:pt idx="12">
                  <c:v>3.1356627426913385E-2</c:v>
                </c:pt>
                <c:pt idx="13">
                  <c:v>2.1269517616360999E-2</c:v>
                </c:pt>
                <c:pt idx="14">
                  <c:v>1.7726870695864559E-2</c:v>
                </c:pt>
                <c:pt idx="15">
                  <c:v>2.1664913147217923E-2</c:v>
                </c:pt>
                <c:pt idx="16">
                  <c:v>3.6428720570902982E-2</c:v>
                </c:pt>
                <c:pt idx="17">
                  <c:v>4.0632064444531893E-2</c:v>
                </c:pt>
                <c:pt idx="18">
                  <c:v>4.3837984815380218E-2</c:v>
                </c:pt>
                <c:pt idx="19">
                  <c:v>5.3635621652091015E-2</c:v>
                </c:pt>
                <c:pt idx="20">
                  <c:v>4.7942262860335025E-2</c:v>
                </c:pt>
                <c:pt idx="21">
                  <c:v>4.8918385905222149E-2</c:v>
                </c:pt>
                <c:pt idx="22">
                  <c:v>4.1372495217326929E-2</c:v>
                </c:pt>
                <c:pt idx="23">
                  <c:v>3.3410632659514806E-2</c:v>
                </c:pt>
                <c:pt idx="24">
                  <c:v>2.8342101570782586E-2</c:v>
                </c:pt>
                <c:pt idx="25">
                  <c:v>3.774191080688407E-2</c:v>
                </c:pt>
                <c:pt idx="26">
                  <c:v>4.3420288860170506E-2</c:v>
                </c:pt>
                <c:pt idx="27">
                  <c:v>3.444719794560458E-2</c:v>
                </c:pt>
                <c:pt idx="28">
                  <c:v>3.7211628058355137E-2</c:v>
                </c:pt>
                <c:pt idx="29">
                  <c:v>3.8203445158159897E-2</c:v>
                </c:pt>
                <c:pt idx="30">
                  <c:v>2.9813804611776695E-2</c:v>
                </c:pt>
                <c:pt idx="31">
                  <c:v>2.2788894402678329E-2</c:v>
                </c:pt>
                <c:pt idx="32">
                  <c:v>3.3155266265285997E-2</c:v>
                </c:pt>
                <c:pt idx="33">
                  <c:v>3.2988022936500494E-2</c:v>
                </c:pt>
                <c:pt idx="34">
                  <c:v>2.6639570968344774E-2</c:v>
                </c:pt>
                <c:pt idx="35">
                  <c:v>2.0914551713790686E-2</c:v>
                </c:pt>
                <c:pt idx="36">
                  <c:v>1.6317206695978314E-2</c:v>
                </c:pt>
                <c:pt idx="37">
                  <c:v>1.3237134298724373E-2</c:v>
                </c:pt>
                <c:pt idx="38">
                  <c:v>1.6211794886399143E-2</c:v>
                </c:pt>
                <c:pt idx="39">
                  <c:v>2.3460317697115429E-2</c:v>
                </c:pt>
                <c:pt idx="40">
                  <c:v>3.1411833457551365E-2</c:v>
                </c:pt>
                <c:pt idx="41">
                  <c:v>4.1571994802908074E-2</c:v>
                </c:pt>
                <c:pt idx="42">
                  <c:v>4.57235540371983E-2</c:v>
                </c:pt>
                <c:pt idx="43">
                  <c:v>4.0688235475905409E-2</c:v>
                </c:pt>
                <c:pt idx="44">
                  <c:v>3.1958766978168109E-2</c:v>
                </c:pt>
                <c:pt idx="45">
                  <c:v>3.0376109763641201E-2</c:v>
                </c:pt>
                <c:pt idx="46">
                  <c:v>1.9812017996066623E-2</c:v>
                </c:pt>
                <c:pt idx="47">
                  <c:v>1.8171973832612265E-2</c:v>
                </c:pt>
                <c:pt idx="48">
                  <c:v>2.066146645919633E-2</c:v>
                </c:pt>
                <c:pt idx="49">
                  <c:v>2.9057529712622411E-2</c:v>
                </c:pt>
                <c:pt idx="50">
                  <c:v>3.2194807715760373E-2</c:v>
                </c:pt>
                <c:pt idx="51">
                  <c:v>3.3798344799297241E-2</c:v>
                </c:pt>
                <c:pt idx="52">
                  <c:v>3.5099234970810397E-2</c:v>
                </c:pt>
                <c:pt idx="53">
                  <c:v>3.3641120440419801E-2</c:v>
                </c:pt>
                <c:pt idx="54">
                  <c:v>3.2317581113274853E-2</c:v>
                </c:pt>
                <c:pt idx="55">
                  <c:v>2.7430877134592448E-2</c:v>
                </c:pt>
                <c:pt idx="56">
                  <c:v>2.9398504920215895E-2</c:v>
                </c:pt>
                <c:pt idx="57">
                  <c:v>2.6590316000925762E-2</c:v>
                </c:pt>
                <c:pt idx="58">
                  <c:v>2.8429337463378702E-2</c:v>
                </c:pt>
                <c:pt idx="59">
                  <c:v>3.101905972464767E-2</c:v>
                </c:pt>
                <c:pt idx="60">
                  <c:v>3.8954901332662752E-2</c:v>
                </c:pt>
                <c:pt idx="61">
                  <c:v>3.4791530314437269E-2</c:v>
                </c:pt>
                <c:pt idx="62">
                  <c:v>3.4133341664056259E-2</c:v>
                </c:pt>
                <c:pt idx="63">
                  <c:v>2.7489313831429295E-2</c:v>
                </c:pt>
                <c:pt idx="64">
                  <c:v>2.3085150760803773E-2</c:v>
                </c:pt>
                <c:pt idx="65">
                  <c:v>1.7723753989519375E-2</c:v>
                </c:pt>
                <c:pt idx="66">
                  <c:v>2.3418562693510347E-2</c:v>
                </c:pt>
                <c:pt idx="67">
                  <c:v>2.5699950136111351E-2</c:v>
                </c:pt>
                <c:pt idx="68">
                  <c:v>2.8897918645495714E-2</c:v>
                </c:pt>
                <c:pt idx="69">
                  <c:v>3.2484590334290339E-2</c:v>
                </c:pt>
                <c:pt idx="70">
                  <c:v>3.4944178141579352E-2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E-4B0B-BFF4-F031DB5D896E}"/>
            </c:ext>
          </c:extLst>
        </c:ser>
        <c:ser>
          <c:idx val="1"/>
          <c:order val="1"/>
          <c:tx>
            <c:strRef>
              <c:f>Sheet1!$L$2</c:f>
              <c:strCache>
                <c:ptCount val="1"/>
                <c:pt idx="0">
                  <c:v>C_SERV_QI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Sheet1!$A$3:$A$73</c:f>
              <c:numCache>
                <c:formatCode>0</c:formatCode>
                <c:ptCount val="71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</c:numCache>
            </c:numRef>
          </c:cat>
          <c:val>
            <c:numRef>
              <c:f>Sheet1!$L$3:$L$73</c:f>
              <c:numCache>
                <c:formatCode>0.0000</c:formatCode>
                <c:ptCount val="71"/>
                <c:pt idx="5">
                  <c:v>6.1614557715142973E-2</c:v>
                </c:pt>
                <c:pt idx="6">
                  <c:v>6.8172166651750035E-2</c:v>
                </c:pt>
                <c:pt idx="7">
                  <c:v>5.9231921889839986E-2</c:v>
                </c:pt>
                <c:pt idx="8">
                  <c:v>5.8045348700865841E-2</c:v>
                </c:pt>
                <c:pt idx="9">
                  <c:v>3.4172389015010095E-2</c:v>
                </c:pt>
                <c:pt idx="10">
                  <c:v>2.2976226440044534E-2</c:v>
                </c:pt>
                <c:pt idx="11">
                  <c:v>1.9075210833359502E-2</c:v>
                </c:pt>
                <c:pt idx="12">
                  <c:v>2.962551601992609E-2</c:v>
                </c:pt>
                <c:pt idx="13">
                  <c:v>3.0779974719031867E-2</c:v>
                </c:pt>
                <c:pt idx="14">
                  <c:v>3.2685165774955172E-2</c:v>
                </c:pt>
                <c:pt idx="15">
                  <c:v>3.669563547007524E-2</c:v>
                </c:pt>
                <c:pt idx="16">
                  <c:v>3.9369269577440982E-2</c:v>
                </c:pt>
                <c:pt idx="17">
                  <c:v>4.0115053179536633E-2</c:v>
                </c:pt>
                <c:pt idx="18">
                  <c:v>4.5192070209680101E-2</c:v>
                </c:pt>
                <c:pt idx="19">
                  <c:v>4.9856454935396768E-2</c:v>
                </c:pt>
                <c:pt idx="20">
                  <c:v>5.0082884157195376E-2</c:v>
                </c:pt>
                <c:pt idx="21">
                  <c:v>5.3595560812897333E-2</c:v>
                </c:pt>
                <c:pt idx="22">
                  <c:v>5.113087241820842E-2</c:v>
                </c:pt>
                <c:pt idx="23">
                  <c:v>4.556728551102527E-2</c:v>
                </c:pt>
                <c:pt idx="24">
                  <c:v>3.8567614754084011E-2</c:v>
                </c:pt>
                <c:pt idx="25">
                  <c:v>3.424646496337487E-2</c:v>
                </c:pt>
                <c:pt idx="26">
                  <c:v>2.9185004967651106E-2</c:v>
                </c:pt>
                <c:pt idx="27">
                  <c:v>2.6750334021938028E-2</c:v>
                </c:pt>
                <c:pt idx="28">
                  <c:v>2.9376690196675215E-2</c:v>
                </c:pt>
                <c:pt idx="29">
                  <c:v>2.9596165403080299E-2</c:v>
                </c:pt>
                <c:pt idx="30">
                  <c:v>2.9049222978134014E-2</c:v>
                </c:pt>
                <c:pt idx="31">
                  <c:v>3.0931304472627243E-2</c:v>
                </c:pt>
                <c:pt idx="32">
                  <c:v>3.1580309182619136E-2</c:v>
                </c:pt>
                <c:pt idx="33">
                  <c:v>2.7972189179803309E-2</c:v>
                </c:pt>
                <c:pt idx="34">
                  <c:v>2.6222078203645527E-2</c:v>
                </c:pt>
                <c:pt idx="35">
                  <c:v>2.3223898439320934E-2</c:v>
                </c:pt>
                <c:pt idx="36">
                  <c:v>2.4059157726561375E-2</c:v>
                </c:pt>
                <c:pt idx="37">
                  <c:v>2.4599323689363572E-2</c:v>
                </c:pt>
                <c:pt idx="38">
                  <c:v>3.0721735320970955E-2</c:v>
                </c:pt>
                <c:pt idx="39">
                  <c:v>3.5239961899446157E-2</c:v>
                </c:pt>
                <c:pt idx="40">
                  <c:v>3.8820095215464256E-2</c:v>
                </c:pt>
                <c:pt idx="41">
                  <c:v>3.8562051041438748E-2</c:v>
                </c:pt>
                <c:pt idx="42">
                  <c:v>3.990802925389976E-2</c:v>
                </c:pt>
                <c:pt idx="43">
                  <c:v>3.6247883031926165E-2</c:v>
                </c:pt>
                <c:pt idx="44">
                  <c:v>3.2243326536957453E-2</c:v>
                </c:pt>
                <c:pt idx="45">
                  <c:v>3.1707906885996985E-2</c:v>
                </c:pt>
                <c:pt idx="46">
                  <c:v>2.8052683080224662E-2</c:v>
                </c:pt>
                <c:pt idx="47">
                  <c:v>2.6141399077700057E-2</c:v>
                </c:pt>
                <c:pt idx="48">
                  <c:v>2.4885833500873256E-2</c:v>
                </c:pt>
                <c:pt idx="49">
                  <c:v>2.5610269496514258E-2</c:v>
                </c:pt>
                <c:pt idx="50">
                  <c:v>2.4487796350927925E-2</c:v>
                </c:pt>
                <c:pt idx="51">
                  <c:v>2.7135045277403912E-2</c:v>
                </c:pt>
                <c:pt idx="52">
                  <c:v>2.9710725481821097E-2</c:v>
                </c:pt>
                <c:pt idx="53">
                  <c:v>3.2499206236570585E-2</c:v>
                </c:pt>
                <c:pt idx="54">
                  <c:v>3.2281673124235202E-2</c:v>
                </c:pt>
                <c:pt idx="55">
                  <c:v>3.1258308545908255E-2</c:v>
                </c:pt>
                <c:pt idx="56">
                  <c:v>2.8297131689544841E-2</c:v>
                </c:pt>
                <c:pt idx="57">
                  <c:v>2.628043506381399E-2</c:v>
                </c:pt>
                <c:pt idx="58">
                  <c:v>2.4045721187746682E-2</c:v>
                </c:pt>
                <c:pt idx="59">
                  <c:v>2.3937327411088737E-2</c:v>
                </c:pt>
                <c:pt idx="60">
                  <c:v>2.4367316941641893E-2</c:v>
                </c:pt>
                <c:pt idx="61">
                  <c:v>2.4426709938702017E-2</c:v>
                </c:pt>
                <c:pt idx="62">
                  <c:v>2.0381006258727609E-2</c:v>
                </c:pt>
                <c:pt idx="63">
                  <c:v>1.7683649588289229E-2</c:v>
                </c:pt>
                <c:pt idx="64">
                  <c:v>1.4470276539172123E-2</c:v>
                </c:pt>
                <c:pt idx="65">
                  <c:v>1.0625962645451592E-2</c:v>
                </c:pt>
                <c:pt idx="66">
                  <c:v>7.4766091957830568E-3</c:v>
                </c:pt>
                <c:pt idx="67">
                  <c:v>8.7472712906859762E-3</c:v>
                </c:pt>
                <c:pt idx="68">
                  <c:v>1.0776809052094549E-2</c:v>
                </c:pt>
                <c:pt idx="69">
                  <c:v>1.301335308085263E-2</c:v>
                </c:pt>
                <c:pt idx="70">
                  <c:v>1.4824847811402276E-2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AE-4B0B-BFF4-F031DB5D8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337551"/>
        <c:axId val="88338511"/>
      </c:lineChart>
      <c:catAx>
        <c:axId val="8833755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38511"/>
        <c:crosses val="autoZero"/>
        <c:auto val="1"/>
        <c:lblAlgn val="ctr"/>
        <c:lblOffset val="100"/>
        <c:noMultiLvlLbl val="0"/>
      </c:catAx>
      <c:valAx>
        <c:axId val="883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3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969816272965879E-2"/>
          <c:y val="5.0925925925925923E-2"/>
          <c:w val="0.88840048403040528"/>
          <c:h val="0.77684079194372335"/>
        </c:manualLayout>
      </c:layout>
      <c:lineChart>
        <c:grouping val="standard"/>
        <c:varyColors val="0"/>
        <c:ser>
          <c:idx val="0"/>
          <c:order val="0"/>
          <c:tx>
            <c:v>Pg/Ps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Sheet2!$A$35:$A$78</c:f>
              <c:numCache>
                <c:formatCode>0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cat>
          <c:val>
            <c:numRef>
              <c:f>Sheet2!$AC$35:$AC$78</c:f>
            </c:numRef>
          </c:val>
          <c:smooth val="0"/>
          <c:extLst>
            <c:ext xmlns:c16="http://schemas.microsoft.com/office/drawing/2014/chart" uri="{C3380CC4-5D6E-409C-BE32-E72D297353CC}">
              <c16:uniqueId val="{00000000-C8F3-4A1C-8944-AED25300AE0B}"/>
            </c:ext>
          </c:extLst>
        </c:ser>
        <c:ser>
          <c:idx val="1"/>
          <c:order val="1"/>
          <c:tx>
            <c:v>Pg/Ps Model (As/Ag)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Sheet2!$A$35:$A$78</c:f>
              <c:numCache>
                <c:formatCode>0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cat>
          <c:val>
            <c:numRef>
              <c:f>Sheet2!$AO$35:$AO$78</c:f>
            </c:numRef>
          </c:val>
          <c:smooth val="0"/>
          <c:extLst>
            <c:ext xmlns:c16="http://schemas.microsoft.com/office/drawing/2014/chart" uri="{C3380CC4-5D6E-409C-BE32-E72D297353CC}">
              <c16:uniqueId val="{00000001-C8F3-4A1C-8944-AED25300A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604112"/>
        <c:axId val="1808602192"/>
      </c:lineChart>
      <c:catAx>
        <c:axId val="1808604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602192"/>
        <c:crosses val="autoZero"/>
        <c:auto val="1"/>
        <c:lblAlgn val="ctr"/>
        <c:lblOffset val="100"/>
        <c:noMultiLvlLbl val="0"/>
      </c:catAx>
      <c:valAx>
        <c:axId val="1808602192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60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82669751026889"/>
          <c:y val="0.62721556911495391"/>
          <c:w val="0.24067866899497703"/>
          <c:h val="0.117527219922496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69816272965879E-2"/>
          <c:y val="5.0925925925925923E-2"/>
          <c:w val="0.88840048403040528"/>
          <c:h val="0.77684079194372335"/>
        </c:manualLayout>
      </c:layout>
      <c:lineChart>
        <c:grouping val="standard"/>
        <c:varyColors val="0"/>
        <c:ser>
          <c:idx val="1"/>
          <c:order val="0"/>
          <c:tx>
            <c:v>Pg/Ps (Data/Model)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Sheet2!$A$35:$A$78</c:f>
              <c:numCache>
                <c:formatCode>0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cat>
          <c:val>
            <c:numRef>
              <c:f>Sheet2!$AP$35:$AP$78</c:f>
            </c:numRef>
          </c:val>
          <c:smooth val="0"/>
          <c:extLst>
            <c:ext xmlns:c16="http://schemas.microsoft.com/office/drawing/2014/chart" uri="{C3380CC4-5D6E-409C-BE32-E72D297353CC}">
              <c16:uniqueId val="{00000001-1F0F-4C5C-B957-FF77BDD0F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604112"/>
        <c:axId val="1808602192"/>
      </c:lineChart>
      <c:catAx>
        <c:axId val="1808604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602192"/>
        <c:crosses val="autoZero"/>
        <c:auto val="1"/>
        <c:lblAlgn val="ctr"/>
        <c:lblOffset val="100"/>
        <c:noMultiLvlLbl val="0"/>
      </c:catAx>
      <c:valAx>
        <c:axId val="1808602192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60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82669751026889"/>
          <c:y val="0.62721556911495391"/>
          <c:w val="0.23989037916870562"/>
          <c:h val="0.12057962208100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969816272965879E-2"/>
          <c:y val="5.0925925925925923E-2"/>
          <c:w val="0.88840048403040528"/>
          <c:h val="0.7768407919437233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Sheet2!$A$35:$A$78</c:f>
              <c:numCache>
                <c:formatCode>0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cat>
          <c:val>
            <c:numRef>
              <c:f>Sheet2!$AL$35:$AL$78</c:f>
            </c:numRef>
          </c:val>
          <c:smooth val="0"/>
          <c:extLst>
            <c:ext xmlns:c16="http://schemas.microsoft.com/office/drawing/2014/chart" uri="{C3380CC4-5D6E-409C-BE32-E72D297353CC}">
              <c16:uniqueId val="{00000000-7680-47DA-B13B-7CF8DF4868B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Sheet2!$A$35:$A$78</c:f>
              <c:numCache>
                <c:formatCode>0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cat>
          <c:val>
            <c:numRef>
              <c:f>Sheet2!$AK$35:$AK$78</c:f>
            </c:numRef>
          </c:val>
          <c:smooth val="0"/>
          <c:extLst>
            <c:ext xmlns:c16="http://schemas.microsoft.com/office/drawing/2014/chart" uri="{C3380CC4-5D6E-409C-BE32-E72D297353CC}">
              <c16:uniqueId val="{00000001-7680-47DA-B13B-7CF8DF48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604112"/>
        <c:axId val="1808602192"/>
      </c:lineChart>
      <c:catAx>
        <c:axId val="1808604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602192"/>
        <c:crosses val="autoZero"/>
        <c:auto val="1"/>
        <c:lblAlgn val="ctr"/>
        <c:lblOffset val="100"/>
        <c:noMultiLvlLbl val="0"/>
      </c:catAx>
      <c:valAx>
        <c:axId val="1808602192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60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82669751026889"/>
          <c:y val="0.62721556911495391"/>
          <c:w val="0.23989037916870562"/>
          <c:h val="0.122935881911249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303149606299225E-2"/>
          <c:y val="6.0185185185185182E-2"/>
          <c:w val="0.86478762029746281"/>
          <c:h val="0.76334135316418794"/>
        </c:manualLayout>
      </c:layout>
      <c:lineChart>
        <c:grouping val="standard"/>
        <c:varyColors val="0"/>
        <c:ser>
          <c:idx val="0"/>
          <c:order val="0"/>
          <c:tx>
            <c:v>cal_Ax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cat>
            <c:numRef>
              <c:f>calA_X_TD!$A$2:$A$78</c:f>
              <c:numCache>
                <c:formatCode>General</c:formatCode>
                <c:ptCount val="77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  <c:pt idx="71">
                  <c:v>2018</c:v>
                </c:pt>
                <c:pt idx="72">
                  <c:v>2019</c:v>
                </c:pt>
                <c:pt idx="73">
                  <c:v>2020</c:v>
                </c:pt>
                <c:pt idx="74">
                  <c:v>2021</c:v>
                </c:pt>
                <c:pt idx="75">
                  <c:v>2022</c:v>
                </c:pt>
                <c:pt idx="76">
                  <c:v>2023</c:v>
                </c:pt>
              </c:numCache>
            </c:numRef>
          </c:cat>
          <c:val>
            <c:numRef>
              <c:f>calA_X_TD!$P$2:$P$78</c:f>
              <c:numCache>
                <c:formatCode>0.000</c:formatCode>
                <c:ptCount val="77"/>
                <c:pt idx="0">
                  <c:v>1</c:v>
                </c:pt>
                <c:pt idx="1">
                  <c:v>0.98601273843223736</c:v>
                </c:pt>
                <c:pt idx="2">
                  <c:v>0.97328459573874482</c:v>
                </c:pt>
                <c:pt idx="3">
                  <c:v>1.0146998714116864</c:v>
                </c:pt>
                <c:pt idx="4">
                  <c:v>1.0157501259471713</c:v>
                </c:pt>
                <c:pt idx="5">
                  <c:v>1.020643644789526</c:v>
                </c:pt>
                <c:pt idx="6">
                  <c:v>1.0461721427672477</c:v>
                </c:pt>
                <c:pt idx="7">
                  <c:v>1.0445505297077573</c:v>
                </c:pt>
                <c:pt idx="8">
                  <c:v>1.0781542273510138</c:v>
                </c:pt>
                <c:pt idx="9">
                  <c:v>1.0359145020775968</c:v>
                </c:pt>
                <c:pt idx="10">
                  <c:v>1.0348674429339175</c:v>
                </c:pt>
                <c:pt idx="11">
                  <c:v>1.0510914904543185</c:v>
                </c:pt>
                <c:pt idx="12">
                  <c:v>1.0892086414937645</c:v>
                </c:pt>
                <c:pt idx="13">
                  <c:v>1.1005693540559423</c:v>
                </c:pt>
                <c:pt idx="14">
                  <c:v>1.1212255242581564</c:v>
                </c:pt>
                <c:pt idx="15">
                  <c:v>1.1577639361922438</c:v>
                </c:pt>
                <c:pt idx="16">
                  <c:v>1.1879760592956032</c:v>
                </c:pt>
                <c:pt idx="17">
                  <c:v>1.2254989350043595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DF-4BB9-AFB8-56582BB91B48}"/>
            </c:ext>
          </c:extLst>
        </c:ser>
        <c:ser>
          <c:idx val="1"/>
          <c:order val="1"/>
          <c:tx>
            <c:v>Ag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calA_X_TD!$A$2:$A$78</c:f>
              <c:numCache>
                <c:formatCode>General</c:formatCode>
                <c:ptCount val="77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  <c:pt idx="71">
                  <c:v>2018</c:v>
                </c:pt>
                <c:pt idx="72">
                  <c:v>2019</c:v>
                </c:pt>
                <c:pt idx="73">
                  <c:v>2020</c:v>
                </c:pt>
                <c:pt idx="74">
                  <c:v>2021</c:v>
                </c:pt>
                <c:pt idx="75">
                  <c:v>2022</c:v>
                </c:pt>
                <c:pt idx="76">
                  <c:v>2023</c:v>
                </c:pt>
              </c:numCache>
            </c:numRef>
          </c:cat>
          <c:val>
            <c:numRef>
              <c:f>TFP_Goods!$N$2:$N$78</c:f>
              <c:numCache>
                <c:formatCode>0.000</c:formatCode>
                <c:ptCount val="77"/>
                <c:pt idx="0">
                  <c:v>1</c:v>
                </c:pt>
                <c:pt idx="1">
                  <c:v>1.0496765938118493</c:v>
                </c:pt>
                <c:pt idx="2">
                  <c:v>1.0521277490658589</c:v>
                </c:pt>
                <c:pt idx="3">
                  <c:v>1.1089718866784188</c:v>
                </c:pt>
                <c:pt idx="4">
                  <c:v>1.105953828457795</c:v>
                </c:pt>
                <c:pt idx="5">
                  <c:v>1.1238217488434394</c:v>
                </c:pt>
                <c:pt idx="6">
                  <c:v>1.1616130762327979</c:v>
                </c:pt>
                <c:pt idx="7">
                  <c:v>1.1480665919279096</c:v>
                </c:pt>
                <c:pt idx="8">
                  <c:v>1.2033073664078522</c:v>
                </c:pt>
                <c:pt idx="9">
                  <c:v>1.1665095490682402</c:v>
                </c:pt>
                <c:pt idx="10">
                  <c:v>1.1579885768460338</c:v>
                </c:pt>
                <c:pt idx="11">
                  <c:v>1.1427304612643614</c:v>
                </c:pt>
                <c:pt idx="12">
                  <c:v>1.1769023074522671</c:v>
                </c:pt>
                <c:pt idx="13">
                  <c:v>1.1896560684720932</c:v>
                </c:pt>
                <c:pt idx="14">
                  <c:v>1.1981175095513132</c:v>
                </c:pt>
                <c:pt idx="15">
                  <c:v>1.2499043050525778</c:v>
                </c:pt>
                <c:pt idx="16">
                  <c:v>1.2836550842511147</c:v>
                </c:pt>
                <c:pt idx="17">
                  <c:v>1.3252590714562826</c:v>
                </c:pt>
                <c:pt idx="18">
                  <c:v>1.3650116019389198</c:v>
                </c:pt>
                <c:pt idx="19">
                  <c:v>1.3752929216759</c:v>
                </c:pt>
                <c:pt idx="20">
                  <c:v>1.3553275868776431</c:v>
                </c:pt>
                <c:pt idx="21">
                  <c:v>1.3942867669369485</c:v>
                </c:pt>
                <c:pt idx="22">
                  <c:v>1.386381988264245</c:v>
                </c:pt>
                <c:pt idx="23">
                  <c:v>1.3675255367757002</c:v>
                </c:pt>
                <c:pt idx="24">
                  <c:v>1.4014897514838451</c:v>
                </c:pt>
                <c:pt idx="25">
                  <c:v>1.4454911771826973</c:v>
                </c:pt>
                <c:pt idx="26">
                  <c:v>1.4605444538200629</c:v>
                </c:pt>
                <c:pt idx="27">
                  <c:v>1.3623107603809068</c:v>
                </c:pt>
                <c:pt idx="28">
                  <c:v>1.334175159539716</c:v>
                </c:pt>
                <c:pt idx="29">
                  <c:v>1.3798026704703565</c:v>
                </c:pt>
                <c:pt idx="30">
                  <c:v>1.3874692376239497</c:v>
                </c:pt>
                <c:pt idx="31">
                  <c:v>1.3735294600300088</c:v>
                </c:pt>
                <c:pt idx="32">
                  <c:v>1.3321290012172116</c:v>
                </c:pt>
                <c:pt idx="33">
                  <c:v>1.2697138496695868</c:v>
                </c:pt>
                <c:pt idx="34">
                  <c:v>1.2722378044350893</c:v>
                </c:pt>
                <c:pt idx="35">
                  <c:v>1.2339415549374935</c:v>
                </c:pt>
                <c:pt idx="36">
                  <c:v>1.2576329065241358</c:v>
                </c:pt>
                <c:pt idx="37">
                  <c:v>1.3141653280511603</c:v>
                </c:pt>
                <c:pt idx="38">
                  <c:v>1.3512727183196291</c:v>
                </c:pt>
                <c:pt idx="39">
                  <c:v>1.3833341133285872</c:v>
                </c:pt>
                <c:pt idx="40">
                  <c:v>1.4300331124900085</c:v>
                </c:pt>
                <c:pt idx="41">
                  <c:v>1.4602403702159634</c:v>
                </c:pt>
                <c:pt idx="42">
                  <c:v>1.4657843877146699</c:v>
                </c:pt>
                <c:pt idx="43">
                  <c:v>1.4604236007435976</c:v>
                </c:pt>
                <c:pt idx="44">
                  <c:v>1.450289523176991</c:v>
                </c:pt>
                <c:pt idx="45">
                  <c:v>1.4865272014737474</c:v>
                </c:pt>
                <c:pt idx="46">
                  <c:v>1.4915351323276824</c:v>
                </c:pt>
                <c:pt idx="47">
                  <c:v>1.5460143435254508</c:v>
                </c:pt>
                <c:pt idx="48">
                  <c:v>1.546263913509939</c:v>
                </c:pt>
                <c:pt idx="49">
                  <c:v>1.5653186644776678</c:v>
                </c:pt>
                <c:pt idx="50">
                  <c:v>1.5969317026779783</c:v>
                </c:pt>
                <c:pt idx="51">
                  <c:v>1.6121473569733598</c:v>
                </c:pt>
                <c:pt idx="52">
                  <c:v>1.6591448720685078</c:v>
                </c:pt>
                <c:pt idx="53">
                  <c:v>1.7187993679832165</c:v>
                </c:pt>
                <c:pt idx="54">
                  <c:v>1.6694877314800012</c:v>
                </c:pt>
                <c:pt idx="55">
                  <c:v>1.7131385201246963</c:v>
                </c:pt>
                <c:pt idx="56">
                  <c:v>1.7946854356355924</c:v>
                </c:pt>
                <c:pt idx="57">
                  <c:v>1.8671998117343687</c:v>
                </c:pt>
                <c:pt idx="58">
                  <c:v>1.852890085339016</c:v>
                </c:pt>
                <c:pt idx="59">
                  <c:v>1.8758940441800505</c:v>
                </c:pt>
                <c:pt idx="60">
                  <c:v>1.8832783956123547</c:v>
                </c:pt>
                <c:pt idx="61">
                  <c:v>1.8226161653853967</c:v>
                </c:pt>
                <c:pt idx="62">
                  <c:v>1.8305868604300122</c:v>
                </c:pt>
                <c:pt idx="63">
                  <c:v>1.8903021236011681</c:v>
                </c:pt>
                <c:pt idx="64">
                  <c:v>1.8744390397414965</c:v>
                </c:pt>
                <c:pt idx="65">
                  <c:v>1.8601741789695789</c:v>
                </c:pt>
                <c:pt idx="66">
                  <c:v>1.8780215572015073</c:v>
                </c:pt>
                <c:pt idx="67">
                  <c:v>1.8702505485525316</c:v>
                </c:pt>
                <c:pt idx="68">
                  <c:v>1.8997660703050783</c:v>
                </c:pt>
                <c:pt idx="69">
                  <c:v>1.8963353613936631</c:v>
                </c:pt>
                <c:pt idx="70">
                  <c:v>1.9202045706999824</c:v>
                </c:pt>
                <c:pt idx="71">
                  <c:v>1.9416589676097435</c:v>
                </c:pt>
                <c:pt idx="72">
                  <c:v>1.9314168440652164</c:v>
                </c:pt>
                <c:pt idx="73">
                  <c:v>1.9271587960387428</c:v>
                </c:pt>
                <c:pt idx="74">
                  <c:v>1.9648328270893161</c:v>
                </c:pt>
                <c:pt idx="75">
                  <c:v>1.8781482536768745</c:v>
                </c:pt>
                <c:pt idx="76">
                  <c:v>1.9244900047123736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DF-4BB9-AFB8-56582BB91B48}"/>
            </c:ext>
          </c:extLst>
        </c:ser>
        <c:ser>
          <c:idx val="2"/>
          <c:order val="2"/>
          <c:tx>
            <c:v>As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calA_X_TD!$A$2:$A$78</c:f>
              <c:numCache>
                <c:formatCode>General</c:formatCode>
                <c:ptCount val="77"/>
                <c:pt idx="0">
                  <c:v>1947</c:v>
                </c:pt>
                <c:pt idx="1">
                  <c:v>1948</c:v>
                </c:pt>
                <c:pt idx="2">
                  <c:v>1949</c:v>
                </c:pt>
                <c:pt idx="3">
                  <c:v>1950</c:v>
                </c:pt>
                <c:pt idx="4">
                  <c:v>1951</c:v>
                </c:pt>
                <c:pt idx="5">
                  <c:v>1952</c:v>
                </c:pt>
                <c:pt idx="6">
                  <c:v>1953</c:v>
                </c:pt>
                <c:pt idx="7">
                  <c:v>1954</c:v>
                </c:pt>
                <c:pt idx="8">
                  <c:v>1955</c:v>
                </c:pt>
                <c:pt idx="9">
                  <c:v>1956</c:v>
                </c:pt>
                <c:pt idx="10">
                  <c:v>1957</c:v>
                </c:pt>
                <c:pt idx="11">
                  <c:v>1958</c:v>
                </c:pt>
                <c:pt idx="12">
                  <c:v>1959</c:v>
                </c:pt>
                <c:pt idx="13">
                  <c:v>1960</c:v>
                </c:pt>
                <c:pt idx="14">
                  <c:v>1961</c:v>
                </c:pt>
                <c:pt idx="15">
                  <c:v>1962</c:v>
                </c:pt>
                <c:pt idx="16">
                  <c:v>1963</c:v>
                </c:pt>
                <c:pt idx="17">
                  <c:v>1964</c:v>
                </c:pt>
                <c:pt idx="18">
                  <c:v>1965</c:v>
                </c:pt>
                <c:pt idx="19">
                  <c:v>1966</c:v>
                </c:pt>
                <c:pt idx="20">
                  <c:v>1967</c:v>
                </c:pt>
                <c:pt idx="21">
                  <c:v>1968</c:v>
                </c:pt>
                <c:pt idx="22">
                  <c:v>1969</c:v>
                </c:pt>
                <c:pt idx="23">
                  <c:v>1970</c:v>
                </c:pt>
                <c:pt idx="24">
                  <c:v>1971</c:v>
                </c:pt>
                <c:pt idx="25">
                  <c:v>1972</c:v>
                </c:pt>
                <c:pt idx="26">
                  <c:v>1973</c:v>
                </c:pt>
                <c:pt idx="27">
                  <c:v>1974</c:v>
                </c:pt>
                <c:pt idx="28">
                  <c:v>1975</c:v>
                </c:pt>
                <c:pt idx="29">
                  <c:v>1976</c:v>
                </c:pt>
                <c:pt idx="30">
                  <c:v>1977</c:v>
                </c:pt>
                <c:pt idx="31">
                  <c:v>1978</c:v>
                </c:pt>
                <c:pt idx="32">
                  <c:v>1979</c:v>
                </c:pt>
                <c:pt idx="33">
                  <c:v>1980</c:v>
                </c:pt>
                <c:pt idx="34">
                  <c:v>1981</c:v>
                </c:pt>
                <c:pt idx="35">
                  <c:v>1982</c:v>
                </c:pt>
                <c:pt idx="36">
                  <c:v>1983</c:v>
                </c:pt>
                <c:pt idx="37">
                  <c:v>1984</c:v>
                </c:pt>
                <c:pt idx="38">
                  <c:v>1985</c:v>
                </c:pt>
                <c:pt idx="39">
                  <c:v>1986</c:v>
                </c:pt>
                <c:pt idx="40">
                  <c:v>1987</c:v>
                </c:pt>
                <c:pt idx="41">
                  <c:v>1988</c:v>
                </c:pt>
                <c:pt idx="42">
                  <c:v>1989</c:v>
                </c:pt>
                <c:pt idx="43">
                  <c:v>1990</c:v>
                </c:pt>
                <c:pt idx="44">
                  <c:v>1991</c:v>
                </c:pt>
                <c:pt idx="45">
                  <c:v>1992</c:v>
                </c:pt>
                <c:pt idx="46">
                  <c:v>1993</c:v>
                </c:pt>
                <c:pt idx="47">
                  <c:v>1994</c:v>
                </c:pt>
                <c:pt idx="48">
                  <c:v>1995</c:v>
                </c:pt>
                <c:pt idx="49">
                  <c:v>1996</c:v>
                </c:pt>
                <c:pt idx="50">
                  <c:v>1997</c:v>
                </c:pt>
                <c:pt idx="51">
                  <c:v>1998</c:v>
                </c:pt>
                <c:pt idx="52">
                  <c:v>1999</c:v>
                </c:pt>
                <c:pt idx="53">
                  <c:v>2000</c:v>
                </c:pt>
                <c:pt idx="54">
                  <c:v>2001</c:v>
                </c:pt>
                <c:pt idx="55">
                  <c:v>2002</c:v>
                </c:pt>
                <c:pt idx="56">
                  <c:v>2003</c:v>
                </c:pt>
                <c:pt idx="57">
                  <c:v>2004</c:v>
                </c:pt>
                <c:pt idx="58">
                  <c:v>2005</c:v>
                </c:pt>
                <c:pt idx="59">
                  <c:v>2006</c:v>
                </c:pt>
                <c:pt idx="60">
                  <c:v>2007</c:v>
                </c:pt>
                <c:pt idx="61">
                  <c:v>2008</c:v>
                </c:pt>
                <c:pt idx="62">
                  <c:v>2009</c:v>
                </c:pt>
                <c:pt idx="63">
                  <c:v>2010</c:v>
                </c:pt>
                <c:pt idx="64">
                  <c:v>2011</c:v>
                </c:pt>
                <c:pt idx="65">
                  <c:v>2012</c:v>
                </c:pt>
                <c:pt idx="66">
                  <c:v>2013</c:v>
                </c:pt>
                <c:pt idx="67">
                  <c:v>2014</c:v>
                </c:pt>
                <c:pt idx="68">
                  <c:v>2015</c:v>
                </c:pt>
                <c:pt idx="69">
                  <c:v>2016</c:v>
                </c:pt>
                <c:pt idx="70">
                  <c:v>2017</c:v>
                </c:pt>
                <c:pt idx="71">
                  <c:v>2018</c:v>
                </c:pt>
                <c:pt idx="72">
                  <c:v>2019</c:v>
                </c:pt>
                <c:pt idx="73">
                  <c:v>2020</c:v>
                </c:pt>
                <c:pt idx="74">
                  <c:v>2021</c:v>
                </c:pt>
                <c:pt idx="75">
                  <c:v>2022</c:v>
                </c:pt>
                <c:pt idx="76">
                  <c:v>2023</c:v>
                </c:pt>
              </c:numCache>
            </c:numRef>
          </c:cat>
          <c:val>
            <c:numRef>
              <c:f>TFP_Serv!$N$2:$N$78</c:f>
              <c:numCache>
                <c:formatCode>0.000</c:formatCode>
                <c:ptCount val="77"/>
                <c:pt idx="0">
                  <c:v>1</c:v>
                </c:pt>
                <c:pt idx="1">
                  <c:v>0.9807681255535371</c:v>
                </c:pt>
                <c:pt idx="2">
                  <c:v>0.98032026682589823</c:v>
                </c:pt>
                <c:pt idx="3">
                  <c:v>1.0118130304834019</c:v>
                </c:pt>
                <c:pt idx="4">
                  <c:v>1.0249990167554468</c:v>
                </c:pt>
                <c:pt idx="5">
                  <c:v>1.0258359694239509</c:v>
                </c:pt>
                <c:pt idx="6">
                  <c:v>1.0325297723107383</c:v>
                </c:pt>
                <c:pt idx="7">
                  <c:v>1.0300635729177305</c:v>
                </c:pt>
                <c:pt idx="8">
                  <c:v>1.0560310613517379</c:v>
                </c:pt>
                <c:pt idx="9">
                  <c:v>1.0470042735392213</c:v>
                </c:pt>
                <c:pt idx="10">
                  <c:v>1.0514782693094447</c:v>
                </c:pt>
                <c:pt idx="11">
                  <c:v>1.0521501216592453</c:v>
                </c:pt>
                <c:pt idx="12">
                  <c:v>1.0819234638407291</c:v>
                </c:pt>
                <c:pt idx="13">
                  <c:v>1.076551374420831</c:v>
                </c:pt>
                <c:pt idx="14">
                  <c:v>1.0839698045541242</c:v>
                </c:pt>
                <c:pt idx="15">
                  <c:v>1.1059431522454937</c:v>
                </c:pt>
                <c:pt idx="16">
                  <c:v>1.1213102622276263</c:v>
                </c:pt>
                <c:pt idx="17">
                  <c:v>1.1428183674997712</c:v>
                </c:pt>
                <c:pt idx="18">
                  <c:v>1.1563808172411412</c:v>
                </c:pt>
                <c:pt idx="19">
                  <c:v>1.1724882864347852</c:v>
                </c:pt>
                <c:pt idx="20">
                  <c:v>1.1725166488870302</c:v>
                </c:pt>
                <c:pt idx="21">
                  <c:v>1.181318390935552</c:v>
                </c:pt>
                <c:pt idx="22">
                  <c:v>1.1753222717133358</c:v>
                </c:pt>
                <c:pt idx="23">
                  <c:v>1.1754408074838429</c:v>
                </c:pt>
                <c:pt idx="24">
                  <c:v>1.1834118869581645</c:v>
                </c:pt>
                <c:pt idx="25">
                  <c:v>1.2035106756992351</c:v>
                </c:pt>
                <c:pt idx="26">
                  <c:v>1.2143911093771234</c:v>
                </c:pt>
                <c:pt idx="27">
                  <c:v>1.2115946006270102</c:v>
                </c:pt>
                <c:pt idx="28">
                  <c:v>1.215385021448911</c:v>
                </c:pt>
                <c:pt idx="29">
                  <c:v>1.2351858535284104</c:v>
                </c:pt>
                <c:pt idx="30">
                  <c:v>1.2435773805758583</c:v>
                </c:pt>
                <c:pt idx="31">
                  <c:v>1.2552034441076565</c:v>
                </c:pt>
                <c:pt idx="32">
                  <c:v>1.2574343011826239</c:v>
                </c:pt>
                <c:pt idx="33">
                  <c:v>1.2427327571229168</c:v>
                </c:pt>
                <c:pt idx="34">
                  <c:v>1.2424756356060795</c:v>
                </c:pt>
                <c:pt idx="35">
                  <c:v>1.2136399770840434</c:v>
                </c:pt>
                <c:pt idx="36">
                  <c:v>1.2423627993273765</c:v>
                </c:pt>
                <c:pt idx="37">
                  <c:v>1.2535856624038773</c:v>
                </c:pt>
                <c:pt idx="38">
                  <c:v>1.2578897168506402</c:v>
                </c:pt>
                <c:pt idx="39">
                  <c:v>1.2661500043537266</c:v>
                </c:pt>
                <c:pt idx="40">
                  <c:v>1.2350709458220739</c:v>
                </c:pt>
                <c:pt idx="41">
                  <c:v>1.2440905270277276</c:v>
                </c:pt>
                <c:pt idx="42">
                  <c:v>1.2497957944208951</c:v>
                </c:pt>
                <c:pt idx="43">
                  <c:v>1.2443032390878828</c:v>
                </c:pt>
                <c:pt idx="44">
                  <c:v>1.2387470426221574</c:v>
                </c:pt>
                <c:pt idx="45">
                  <c:v>1.2612929555942809</c:v>
                </c:pt>
                <c:pt idx="46">
                  <c:v>1.2570566804401757</c:v>
                </c:pt>
                <c:pt idx="47">
                  <c:v>1.2580519369842946</c:v>
                </c:pt>
                <c:pt idx="48">
                  <c:v>1.2438920824356732</c:v>
                </c:pt>
                <c:pt idx="49">
                  <c:v>1.2609198073456052</c:v>
                </c:pt>
                <c:pt idx="50">
                  <c:v>1.2699519827012127</c:v>
                </c:pt>
                <c:pt idx="51">
                  <c:v>1.2688921744033097</c:v>
                </c:pt>
                <c:pt idx="52">
                  <c:v>1.2724927142725269</c:v>
                </c:pt>
                <c:pt idx="53">
                  <c:v>1.2659825494811239</c:v>
                </c:pt>
                <c:pt idx="54">
                  <c:v>1.264424919847527</c:v>
                </c:pt>
                <c:pt idx="55">
                  <c:v>1.2729926197229378</c:v>
                </c:pt>
                <c:pt idx="56">
                  <c:v>1.2824996986868225</c:v>
                </c:pt>
                <c:pt idx="57">
                  <c:v>1.2927234259291263</c:v>
                </c:pt>
                <c:pt idx="58">
                  <c:v>1.3103217988547473</c:v>
                </c:pt>
                <c:pt idx="59">
                  <c:v>1.3008631415934628</c:v>
                </c:pt>
                <c:pt idx="60">
                  <c:v>1.2910930062302641</c:v>
                </c:pt>
                <c:pt idx="61">
                  <c:v>1.2788137081860154</c:v>
                </c:pt>
                <c:pt idx="62">
                  <c:v>1.2685214393898894</c:v>
                </c:pt>
                <c:pt idx="63">
                  <c:v>1.2921042755549561</c:v>
                </c:pt>
                <c:pt idx="64">
                  <c:v>1.293913790996124</c:v>
                </c:pt>
                <c:pt idx="65">
                  <c:v>1.3021545543301662</c:v>
                </c:pt>
                <c:pt idx="66">
                  <c:v>1.2976159826695428</c:v>
                </c:pt>
                <c:pt idx="67">
                  <c:v>1.3076297194393662</c:v>
                </c:pt>
                <c:pt idx="68">
                  <c:v>1.311208080796745</c:v>
                </c:pt>
                <c:pt idx="69">
                  <c:v>1.3063654518699797</c:v>
                </c:pt>
                <c:pt idx="70">
                  <c:v>1.3143507547871935</c:v>
                </c:pt>
                <c:pt idx="71">
                  <c:v>1.3200489774365141</c:v>
                </c:pt>
                <c:pt idx="72">
                  <c:v>1.3333111329227267</c:v>
                </c:pt>
                <c:pt idx="73">
                  <c:v>1.3236158420940836</c:v>
                </c:pt>
                <c:pt idx="74">
                  <c:v>1.3704154619559092</c:v>
                </c:pt>
                <c:pt idx="75">
                  <c:v>1.364903925690836</c:v>
                </c:pt>
                <c:pt idx="76">
                  <c:v>1.3766101081188256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DF-4BB9-AFB8-56582BB91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37391"/>
        <c:axId val="88435471"/>
      </c:lineChart>
      <c:catAx>
        <c:axId val="8843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35471"/>
        <c:crosses val="autoZero"/>
        <c:auto val="1"/>
        <c:lblAlgn val="ctr"/>
        <c:lblOffset val="100"/>
        <c:noMultiLvlLbl val="0"/>
      </c:catAx>
      <c:valAx>
        <c:axId val="88435471"/>
        <c:scaling>
          <c:orientation val="minMax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37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641622922134726"/>
          <c:y val="9.1145013123359583E-2"/>
          <c:w val="0.2557230971128609"/>
          <c:h val="0.312502187226596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358140</xdr:colOff>
      <xdr:row>41</xdr:row>
      <xdr:rowOff>80010</xdr:rowOff>
    </xdr:from>
    <xdr:to>
      <xdr:col>24</xdr:col>
      <xdr:colOff>434340</xdr:colOff>
      <xdr:row>59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5C730E-6265-0403-47FF-3949D6DEB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297180</xdr:colOff>
      <xdr:row>60</xdr:row>
      <xdr:rowOff>19050</xdr:rowOff>
    </xdr:from>
    <xdr:to>
      <xdr:col>24</xdr:col>
      <xdr:colOff>236220</xdr:colOff>
      <xdr:row>75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6134F6-641A-A718-703A-AAF0DB3AF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160020</xdr:colOff>
      <xdr:row>78</xdr:row>
      <xdr:rowOff>102870</xdr:rowOff>
    </xdr:from>
    <xdr:to>
      <xdr:col>21</xdr:col>
      <xdr:colOff>464820</xdr:colOff>
      <xdr:row>93</xdr:row>
      <xdr:rowOff>102870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A3EECE-8A7E-FC74-01E0-8E8036D71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60</xdr:row>
      <xdr:rowOff>0</xdr:rowOff>
    </xdr:from>
    <xdr:to>
      <xdr:col>34</xdr:col>
      <xdr:colOff>548640</xdr:colOff>
      <xdr:row>75</xdr:row>
      <xdr:rowOff>125730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743CD2-F81F-4661-9D9D-97DB9AE31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77</xdr:row>
      <xdr:rowOff>0</xdr:rowOff>
    </xdr:from>
    <xdr:to>
      <xdr:col>34</xdr:col>
      <xdr:colOff>548640</xdr:colOff>
      <xdr:row>92</xdr:row>
      <xdr:rowOff>125730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637381F-DD82-494F-A5DC-9F8068A8DD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76200</xdr:colOff>
      <xdr:row>36</xdr:row>
      <xdr:rowOff>11430</xdr:rowOff>
    </xdr:from>
    <xdr:to>
      <xdr:col>50</xdr:col>
      <xdr:colOff>594360</xdr:colOff>
      <xdr:row>55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536A20-6F71-9895-A956-2F943DF2B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76200</xdr:colOff>
      <xdr:row>56</xdr:row>
      <xdr:rowOff>7620</xdr:rowOff>
    </xdr:from>
    <xdr:to>
      <xdr:col>50</xdr:col>
      <xdr:colOff>594360</xdr:colOff>
      <xdr:row>75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237FC0-ABE3-4D21-9A38-138F1C3AB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0</xdr:colOff>
      <xdr:row>36</xdr:row>
      <xdr:rowOff>0</xdr:rowOff>
    </xdr:from>
    <xdr:to>
      <xdr:col>60</xdr:col>
      <xdr:colOff>518160</xdr:colOff>
      <xdr:row>55</xdr:row>
      <xdr:rowOff>80010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A9124A-2E0F-4CD3-AFC7-EC560B051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99060</xdr:colOff>
      <xdr:row>2</xdr:row>
      <xdr:rowOff>144780</xdr:rowOff>
    </xdr:from>
    <xdr:to>
      <xdr:col>26</xdr:col>
      <xdr:colOff>457200</xdr:colOff>
      <xdr:row>17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EB7261-26E2-96AB-B18B-9CE591962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9F7D-CC7B-4EC9-B0EF-65F21D289A65}">
  <dimension ref="A1:B75"/>
  <sheetViews>
    <sheetView topLeftCell="A21" workbookViewId="0">
      <selection activeCell="B42" sqref="B42"/>
    </sheetView>
  </sheetViews>
  <sheetFormatPr defaultRowHeight="14.4" x14ac:dyDescent="0.3"/>
  <cols>
    <col min="1" max="1" width="13.33203125" bestFit="1" customWidth="1"/>
    <col min="2" max="2" width="66.6640625" bestFit="1" customWidth="1"/>
  </cols>
  <sheetData>
    <row r="1" spans="1:2" x14ac:dyDescent="0.3">
      <c r="A1" t="s">
        <v>91</v>
      </c>
      <c r="B1" t="s">
        <v>92</v>
      </c>
    </row>
    <row r="2" spans="1:2" x14ac:dyDescent="0.3">
      <c r="A2" t="s">
        <v>1</v>
      </c>
      <c r="B2" t="s">
        <v>47</v>
      </c>
    </row>
    <row r="3" spans="1:2" x14ac:dyDescent="0.3">
      <c r="A3" t="s">
        <v>2</v>
      </c>
      <c r="B3" t="s">
        <v>48</v>
      </c>
    </row>
    <row r="4" spans="1:2" x14ac:dyDescent="0.3">
      <c r="A4" t="s">
        <v>3</v>
      </c>
      <c r="B4" t="s">
        <v>49</v>
      </c>
    </row>
    <row r="5" spans="1:2" x14ac:dyDescent="0.3">
      <c r="A5" t="s">
        <v>4</v>
      </c>
      <c r="B5" t="s">
        <v>50</v>
      </c>
    </row>
    <row r="6" spans="1:2" x14ac:dyDescent="0.3">
      <c r="A6" t="s">
        <v>5</v>
      </c>
      <c r="B6" t="s">
        <v>51</v>
      </c>
    </row>
    <row r="7" spans="1:2" x14ac:dyDescent="0.3">
      <c r="A7" t="s">
        <v>6</v>
      </c>
      <c r="B7" t="s">
        <v>52</v>
      </c>
    </row>
    <row r="8" spans="1:2" x14ac:dyDescent="0.3">
      <c r="A8" t="s">
        <v>7</v>
      </c>
      <c r="B8" t="s">
        <v>53</v>
      </c>
    </row>
    <row r="9" spans="1:2" x14ac:dyDescent="0.3">
      <c r="A9" t="s">
        <v>8</v>
      </c>
      <c r="B9" t="s">
        <v>54</v>
      </c>
    </row>
    <row r="10" spans="1:2" x14ac:dyDescent="0.3">
      <c r="A10" t="s">
        <v>9</v>
      </c>
      <c r="B10" t="s">
        <v>55</v>
      </c>
    </row>
    <row r="11" spans="1:2" x14ac:dyDescent="0.3">
      <c r="A11" t="s">
        <v>10</v>
      </c>
      <c r="B11" t="s">
        <v>56</v>
      </c>
    </row>
    <row r="12" spans="1:2" x14ac:dyDescent="0.3">
      <c r="A12" t="s">
        <v>11</v>
      </c>
      <c r="B12" t="s">
        <v>57</v>
      </c>
    </row>
    <row r="13" spans="1:2" x14ac:dyDescent="0.3">
      <c r="A13" t="s">
        <v>12</v>
      </c>
      <c r="B13" t="s">
        <v>58</v>
      </c>
    </row>
    <row r="14" spans="1:2" x14ac:dyDescent="0.3">
      <c r="A14" t="s">
        <v>13</v>
      </c>
      <c r="B14" t="s">
        <v>59</v>
      </c>
    </row>
    <row r="15" spans="1:2" x14ac:dyDescent="0.3">
      <c r="A15" t="s">
        <v>14</v>
      </c>
      <c r="B15" t="s">
        <v>60</v>
      </c>
    </row>
    <row r="16" spans="1:2" x14ac:dyDescent="0.3">
      <c r="A16" t="s">
        <v>15</v>
      </c>
      <c r="B16" t="s">
        <v>61</v>
      </c>
    </row>
    <row r="17" spans="1:2" x14ac:dyDescent="0.3">
      <c r="A17" t="s">
        <v>16</v>
      </c>
      <c r="B17" t="s">
        <v>62</v>
      </c>
    </row>
    <row r="18" spans="1:2" x14ac:dyDescent="0.3">
      <c r="A18" t="s">
        <v>17</v>
      </c>
      <c r="B18" t="s">
        <v>63</v>
      </c>
    </row>
    <row r="19" spans="1:2" x14ac:dyDescent="0.3">
      <c r="A19" t="s">
        <v>18</v>
      </c>
      <c r="B19" t="s">
        <v>62</v>
      </c>
    </row>
    <row r="20" spans="1:2" x14ac:dyDescent="0.3">
      <c r="A20" t="s">
        <v>19</v>
      </c>
      <c r="B20" t="s">
        <v>63</v>
      </c>
    </row>
    <row r="21" spans="1:2" x14ac:dyDescent="0.3">
      <c r="A21" t="s">
        <v>20</v>
      </c>
      <c r="B21" t="s">
        <v>64</v>
      </c>
    </row>
    <row r="22" spans="1:2" x14ac:dyDescent="0.3">
      <c r="A22" t="s">
        <v>21</v>
      </c>
      <c r="B22" t="s">
        <v>65</v>
      </c>
    </row>
    <row r="23" spans="1:2" x14ac:dyDescent="0.3">
      <c r="A23" t="s">
        <v>22</v>
      </c>
      <c r="B23" t="s">
        <v>66</v>
      </c>
    </row>
    <row r="24" spans="1:2" x14ac:dyDescent="0.3">
      <c r="A24" t="s">
        <v>23</v>
      </c>
      <c r="B24" t="s">
        <v>67</v>
      </c>
    </row>
    <row r="25" spans="1:2" x14ac:dyDescent="0.3">
      <c r="A25" t="s">
        <v>24</v>
      </c>
      <c r="B25" t="s">
        <v>68</v>
      </c>
    </row>
    <row r="26" spans="1:2" x14ac:dyDescent="0.3">
      <c r="A26" t="s">
        <v>25</v>
      </c>
      <c r="B26" t="s">
        <v>69</v>
      </c>
    </row>
    <row r="27" spans="1:2" x14ac:dyDescent="0.3">
      <c r="A27" t="s">
        <v>26</v>
      </c>
      <c r="B27" t="s">
        <v>70</v>
      </c>
    </row>
    <row r="28" spans="1:2" x14ac:dyDescent="0.3">
      <c r="A28" t="s">
        <v>27</v>
      </c>
      <c r="B28" t="s">
        <v>71</v>
      </c>
    </row>
    <row r="29" spans="1:2" x14ac:dyDescent="0.3">
      <c r="A29" t="s">
        <v>28</v>
      </c>
      <c r="B29" t="s">
        <v>72</v>
      </c>
    </row>
    <row r="30" spans="1:2" x14ac:dyDescent="0.3">
      <c r="A30" t="s">
        <v>29</v>
      </c>
      <c r="B30" t="s">
        <v>73</v>
      </c>
    </row>
    <row r="31" spans="1:2" x14ac:dyDescent="0.3">
      <c r="A31" t="s">
        <v>30</v>
      </c>
      <c r="B31" t="s">
        <v>74</v>
      </c>
    </row>
    <row r="32" spans="1:2" x14ac:dyDescent="0.3">
      <c r="A32" t="s">
        <v>31</v>
      </c>
      <c r="B32" t="s">
        <v>75</v>
      </c>
    </row>
    <row r="33" spans="1:2" x14ac:dyDescent="0.3">
      <c r="A33" t="s">
        <v>32</v>
      </c>
      <c r="B33" t="s">
        <v>76</v>
      </c>
    </row>
    <row r="34" spans="1:2" x14ac:dyDescent="0.3">
      <c r="A34" t="s">
        <v>33</v>
      </c>
      <c r="B34" t="s">
        <v>77</v>
      </c>
    </row>
    <row r="35" spans="1:2" x14ac:dyDescent="0.3">
      <c r="A35" t="s">
        <v>34</v>
      </c>
      <c r="B35" t="s">
        <v>78</v>
      </c>
    </row>
    <row r="36" spans="1:2" x14ac:dyDescent="0.3">
      <c r="A36" t="s">
        <v>35</v>
      </c>
      <c r="B36" t="s">
        <v>79</v>
      </c>
    </row>
    <row r="37" spans="1:2" x14ac:dyDescent="0.3">
      <c r="A37" t="s">
        <v>36</v>
      </c>
      <c r="B37" t="s">
        <v>80</v>
      </c>
    </row>
    <row r="38" spans="1:2" x14ac:dyDescent="0.3">
      <c r="A38" t="s">
        <v>37</v>
      </c>
      <c r="B38" t="s">
        <v>81</v>
      </c>
    </row>
    <row r="39" spans="1:2" x14ac:dyDescent="0.3">
      <c r="A39" t="s">
        <v>38</v>
      </c>
      <c r="B39" t="s">
        <v>82</v>
      </c>
    </row>
    <row r="40" spans="1:2" x14ac:dyDescent="0.3">
      <c r="A40" t="s">
        <v>39</v>
      </c>
      <c r="B40" t="s">
        <v>83</v>
      </c>
    </row>
    <row r="41" spans="1:2" x14ac:dyDescent="0.3">
      <c r="A41" t="s">
        <v>40</v>
      </c>
      <c r="B41" t="s">
        <v>84</v>
      </c>
    </row>
    <row r="42" spans="1:2" x14ac:dyDescent="0.3">
      <c r="A42" t="s">
        <v>41</v>
      </c>
      <c r="B42" t="s">
        <v>85</v>
      </c>
    </row>
    <row r="43" spans="1:2" x14ac:dyDescent="0.3">
      <c r="A43" t="s">
        <v>42</v>
      </c>
      <c r="B43" t="s">
        <v>86</v>
      </c>
    </row>
    <row r="44" spans="1:2" x14ac:dyDescent="0.3">
      <c r="A44" t="s">
        <v>43</v>
      </c>
      <c r="B44" t="s">
        <v>87</v>
      </c>
    </row>
    <row r="45" spans="1:2" x14ac:dyDescent="0.3">
      <c r="A45" t="s">
        <v>44</v>
      </c>
      <c r="B45" t="s">
        <v>88</v>
      </c>
    </row>
    <row r="46" spans="1:2" x14ac:dyDescent="0.3">
      <c r="A46" t="s">
        <v>45</v>
      </c>
      <c r="B46" t="s">
        <v>89</v>
      </c>
    </row>
    <row r="47" spans="1:2" x14ac:dyDescent="0.3">
      <c r="A47" t="s">
        <v>46</v>
      </c>
      <c r="B47" t="s">
        <v>90</v>
      </c>
    </row>
    <row r="48" spans="1:2" x14ac:dyDescent="0.3">
      <c r="A48" s="17" t="s">
        <v>184</v>
      </c>
      <c r="B48" s="17"/>
    </row>
    <row r="49" spans="1:2" x14ac:dyDescent="0.3">
      <c r="A49" t="s">
        <v>134</v>
      </c>
      <c r="B49" t="s">
        <v>156</v>
      </c>
    </row>
    <row r="50" spans="1:2" x14ac:dyDescent="0.3">
      <c r="A50" t="s">
        <v>154</v>
      </c>
      <c r="B50" t="s">
        <v>157</v>
      </c>
    </row>
    <row r="51" spans="1:2" x14ac:dyDescent="0.3">
      <c r="A51" t="s">
        <v>155</v>
      </c>
      <c r="B51" t="s">
        <v>158</v>
      </c>
    </row>
    <row r="52" spans="1:2" x14ac:dyDescent="0.3">
      <c r="A52" t="s">
        <v>137</v>
      </c>
      <c r="B52" t="s">
        <v>159</v>
      </c>
    </row>
    <row r="53" spans="1:2" x14ac:dyDescent="0.3">
      <c r="A53" t="s">
        <v>138</v>
      </c>
      <c r="B53" t="s">
        <v>160</v>
      </c>
    </row>
    <row r="54" spans="1:2" x14ac:dyDescent="0.3">
      <c r="A54" t="s">
        <v>139</v>
      </c>
      <c r="B54" t="s">
        <v>161</v>
      </c>
    </row>
    <row r="55" spans="1:2" x14ac:dyDescent="0.3">
      <c r="A55" t="s">
        <v>140</v>
      </c>
      <c r="B55" t="s">
        <v>162</v>
      </c>
    </row>
    <row r="56" spans="1:2" x14ac:dyDescent="0.3">
      <c r="A56" t="s">
        <v>141</v>
      </c>
      <c r="B56" t="s">
        <v>163</v>
      </c>
    </row>
    <row r="58" spans="1:2" x14ac:dyDescent="0.3">
      <c r="A58" t="s">
        <v>142</v>
      </c>
      <c r="B58" t="s">
        <v>164</v>
      </c>
    </row>
    <row r="59" spans="1:2" x14ac:dyDescent="0.3">
      <c r="A59" t="s">
        <v>144</v>
      </c>
      <c r="B59" t="s">
        <v>165</v>
      </c>
    </row>
    <row r="60" spans="1:2" x14ac:dyDescent="0.3">
      <c r="A60" t="s">
        <v>143</v>
      </c>
      <c r="B60" t="s">
        <v>166</v>
      </c>
    </row>
    <row r="61" spans="1:2" x14ac:dyDescent="0.3">
      <c r="A61" t="s">
        <v>145</v>
      </c>
      <c r="B61" t="s">
        <v>167</v>
      </c>
    </row>
    <row r="63" spans="1:2" x14ac:dyDescent="0.3">
      <c r="A63" t="s">
        <v>103</v>
      </c>
      <c r="B63" t="s">
        <v>168</v>
      </c>
    </row>
    <row r="64" spans="1:2" x14ac:dyDescent="0.3">
      <c r="A64" t="s">
        <v>151</v>
      </c>
      <c r="B64" t="s">
        <v>169</v>
      </c>
    </row>
    <row r="65" spans="1:2" x14ac:dyDescent="0.3">
      <c r="A65" t="s">
        <v>101</v>
      </c>
      <c r="B65" t="s">
        <v>170</v>
      </c>
    </row>
    <row r="67" spans="1:2" x14ac:dyDescent="0.3">
      <c r="A67" t="s">
        <v>171</v>
      </c>
      <c r="B67" t="s">
        <v>172</v>
      </c>
    </row>
    <row r="68" spans="1:2" x14ac:dyDescent="0.3">
      <c r="A68" t="s">
        <v>173</v>
      </c>
      <c r="B68" t="s">
        <v>174</v>
      </c>
    </row>
    <row r="69" spans="1:2" x14ac:dyDescent="0.3">
      <c r="A69" t="s">
        <v>175</v>
      </c>
      <c r="B69" t="s">
        <v>176</v>
      </c>
    </row>
    <row r="71" spans="1:2" x14ac:dyDescent="0.3">
      <c r="A71" t="s">
        <v>177</v>
      </c>
      <c r="B71" t="s">
        <v>178</v>
      </c>
    </row>
    <row r="73" spans="1:2" x14ac:dyDescent="0.3">
      <c r="A73" t="s">
        <v>146</v>
      </c>
      <c r="B73" t="s">
        <v>179</v>
      </c>
    </row>
    <row r="74" spans="1:2" x14ac:dyDescent="0.3">
      <c r="A74" t="s">
        <v>102</v>
      </c>
      <c r="B74" t="s">
        <v>180</v>
      </c>
    </row>
    <row r="75" spans="1:2" x14ac:dyDescent="0.3">
      <c r="A75" t="s">
        <v>147</v>
      </c>
      <c r="B75" t="s">
        <v>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87"/>
  <sheetViews>
    <sheetView tabSelected="1" zoomScale="103" workbookViewId="0">
      <pane xSplit="10" ySplit="14" topLeftCell="AN26" activePane="bottomRight" state="frozen"/>
      <selection pane="topRight" activeCell="K1" sqref="K1"/>
      <selection pane="bottomLeft" activeCell="A15" sqref="A15"/>
      <selection pane="bottomRight" activeCell="AV36" sqref="AV36"/>
    </sheetView>
  </sheetViews>
  <sheetFormatPr defaultRowHeight="14.4" x14ac:dyDescent="0.3"/>
  <cols>
    <col min="1" max="1" width="8.88671875" style="4"/>
    <col min="2" max="2" width="13.88671875" bestFit="1" customWidth="1"/>
    <col min="3" max="3" width="14.77734375" bestFit="1" customWidth="1"/>
    <col min="4" max="4" width="10.109375" bestFit="1" customWidth="1"/>
    <col min="5" max="5" width="9.109375" bestFit="1" customWidth="1"/>
    <col min="6" max="6" width="13.5546875" bestFit="1" customWidth="1"/>
    <col min="7" max="8" width="12.5546875" bestFit="1" customWidth="1"/>
    <col min="9" max="10" width="10.88671875" bestFit="1" customWidth="1"/>
    <col min="11" max="11" width="13.5546875" bestFit="1" customWidth="1"/>
    <col min="12" max="12" width="12.5546875" bestFit="1" customWidth="1"/>
    <col min="13" max="13" width="13.5546875" bestFit="1" customWidth="1"/>
    <col min="14" max="14" width="9.5546875" bestFit="1" customWidth="1"/>
    <col min="15" max="15" width="11.33203125" bestFit="1" customWidth="1"/>
    <col min="16" max="16" width="10.33203125" bestFit="1" customWidth="1"/>
    <col min="17" max="19" width="13.5546875" bestFit="1" customWidth="1"/>
    <col min="20" max="20" width="14.77734375" bestFit="1" customWidth="1"/>
    <col min="21" max="21" width="13.5546875" bestFit="1" customWidth="1"/>
    <col min="22" max="23" width="12.5546875" bestFit="1" customWidth="1"/>
    <col min="24" max="24" width="13.6640625" bestFit="1" customWidth="1"/>
    <col min="25" max="25" width="10.44140625" bestFit="1" customWidth="1"/>
    <col min="26" max="26" width="12.21875" bestFit="1" customWidth="1"/>
    <col min="27" max="27" width="11.21875" bestFit="1" customWidth="1"/>
    <col min="28" max="28" width="11.44140625" bestFit="1" customWidth="1"/>
    <col min="29" max="29" width="13.33203125" bestFit="1" customWidth="1"/>
    <col min="30" max="30" width="12.21875" bestFit="1" customWidth="1"/>
    <col min="31" max="31" width="11.33203125" bestFit="1" customWidth="1"/>
    <col min="32" max="32" width="13.21875" bestFit="1" customWidth="1"/>
    <col min="33" max="34" width="12.109375" bestFit="1" customWidth="1"/>
    <col min="35" max="35" width="11.109375" bestFit="1" customWidth="1"/>
    <col min="36" max="36" width="13.5546875" bestFit="1" customWidth="1"/>
    <col min="37" max="37" width="12.5546875" bestFit="1" customWidth="1"/>
    <col min="38" max="38" width="13.5546875" bestFit="1" customWidth="1"/>
    <col min="39" max="40" width="12.88671875" bestFit="1" customWidth="1"/>
    <col min="41" max="41" width="11.109375" bestFit="1" customWidth="1"/>
    <col min="42" max="42" width="10.21875" customWidth="1"/>
    <col min="43" max="43" width="11.21875" bestFit="1" customWidth="1"/>
    <col min="44" max="44" width="9.21875" hidden="1" customWidth="1"/>
    <col min="45" max="45" width="12.5546875" hidden="1" customWidth="1"/>
    <col min="46" max="46" width="11.21875" bestFit="1" customWidth="1"/>
    <col min="47" max="47" width="8.33203125" bestFit="1" customWidth="1"/>
    <col min="48" max="48" width="21.77734375" bestFit="1" customWidth="1"/>
    <col min="89" max="89" width="13.44140625" bestFit="1" customWidth="1"/>
    <col min="90" max="90" width="6.109375" bestFit="1" customWidth="1"/>
    <col min="91" max="91" width="11.88671875" bestFit="1" customWidth="1"/>
    <col min="92" max="92" width="13.77734375" bestFit="1" customWidth="1"/>
    <col min="93" max="93" width="12.6640625" bestFit="1" customWidth="1"/>
    <col min="94" max="94" width="13.5546875" bestFit="1" customWidth="1"/>
    <col min="95" max="95" width="15.33203125" bestFit="1" customWidth="1"/>
    <col min="96" max="96" width="14.33203125" bestFit="1" customWidth="1"/>
    <col min="97" max="97" width="12" bestFit="1" customWidth="1"/>
    <col min="98" max="98" width="13.88671875" bestFit="1" customWidth="1"/>
    <col min="99" max="99" width="12.77734375" bestFit="1" customWidth="1"/>
    <col min="105" max="105" width="21.77734375" bestFit="1" customWidth="1"/>
    <col min="106" max="106" width="21.5546875" bestFit="1" customWidth="1"/>
    <col min="107" max="107" width="25.21875" bestFit="1" customWidth="1"/>
    <col min="108" max="108" width="25" bestFit="1" customWidth="1"/>
    <col min="109" max="110" width="25" customWidth="1"/>
    <col min="113" max="113" width="21.5546875" style="32" bestFit="1" customWidth="1"/>
    <col min="114" max="114" width="19.77734375" bestFit="1" customWidth="1"/>
  </cols>
  <sheetData>
    <row r="1" spans="1:114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7" t="s">
        <v>153</v>
      </c>
      <c r="AW1" s="21" t="s">
        <v>104</v>
      </c>
      <c r="AX1" s="21" t="s">
        <v>105</v>
      </c>
      <c r="AY1" s="21" t="s">
        <v>106</v>
      </c>
      <c r="AZ1" s="21" t="s">
        <v>107</v>
      </c>
      <c r="BA1" t="s">
        <v>108</v>
      </c>
      <c r="BB1" t="s">
        <v>109</v>
      </c>
      <c r="BC1" t="s">
        <v>110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I1" t="s">
        <v>116</v>
      </c>
      <c r="BJ1" t="s">
        <v>117</v>
      </c>
      <c r="BK1" t="s">
        <v>118</v>
      </c>
      <c r="BL1" t="s">
        <v>119</v>
      </c>
      <c r="BM1" t="s">
        <v>120</v>
      </c>
      <c r="BN1" t="s">
        <v>121</v>
      </c>
      <c r="BO1" t="s">
        <v>122</v>
      </c>
      <c r="BP1" t="s">
        <v>123</v>
      </c>
      <c r="BQ1" t="s">
        <v>124</v>
      </c>
      <c r="BR1" t="s">
        <v>125</v>
      </c>
      <c r="BS1" t="s">
        <v>126</v>
      </c>
      <c r="BT1" t="s">
        <v>127</v>
      </c>
      <c r="BU1" t="s">
        <v>128</v>
      </c>
      <c r="BV1" t="s">
        <v>129</v>
      </c>
      <c r="BW1" t="s">
        <v>130</v>
      </c>
      <c r="BX1" t="s">
        <v>131</v>
      </c>
      <c r="BY1" t="s">
        <v>132</v>
      </c>
      <c r="BZ1" t="s">
        <v>133</v>
      </c>
      <c r="CA1" t="s">
        <v>134</v>
      </c>
      <c r="CB1" t="s">
        <v>135</v>
      </c>
      <c r="CC1" t="s">
        <v>136</v>
      </c>
      <c r="CD1" t="s">
        <v>137</v>
      </c>
      <c r="CE1" t="s">
        <v>138</v>
      </c>
      <c r="CF1" t="s">
        <v>139</v>
      </c>
      <c r="CG1" t="s">
        <v>140</v>
      </c>
      <c r="CH1" t="s">
        <v>141</v>
      </c>
      <c r="CI1" t="s">
        <v>142</v>
      </c>
      <c r="CJ1" t="s">
        <v>143</v>
      </c>
      <c r="CK1" t="s">
        <v>144</v>
      </c>
      <c r="CL1" t="s">
        <v>145</v>
      </c>
      <c r="CM1" t="s">
        <v>146</v>
      </c>
      <c r="CN1" t="s">
        <v>102</v>
      </c>
      <c r="CO1" t="s">
        <v>147</v>
      </c>
      <c r="CP1" t="s">
        <v>148</v>
      </c>
      <c r="CQ1" t="s">
        <v>149</v>
      </c>
      <c r="CR1" t="s">
        <v>150</v>
      </c>
      <c r="CS1" t="s">
        <v>103</v>
      </c>
      <c r="CT1" t="s">
        <v>151</v>
      </c>
      <c r="CU1" t="s">
        <v>101</v>
      </c>
      <c r="CV1" t="s">
        <v>171</v>
      </c>
      <c r="CW1" t="s">
        <v>173</v>
      </c>
      <c r="CX1" t="s">
        <v>177</v>
      </c>
      <c r="CY1" t="s">
        <v>175</v>
      </c>
      <c r="CZ1" s="17"/>
      <c r="DA1" s="25" t="s">
        <v>187</v>
      </c>
      <c r="DB1" s="25" t="s">
        <v>188</v>
      </c>
      <c r="DC1" s="34" t="s">
        <v>189</v>
      </c>
      <c r="DD1" s="34" t="s">
        <v>190</v>
      </c>
      <c r="DE1" s="34" t="s">
        <v>191</v>
      </c>
      <c r="DF1" s="34" t="s">
        <v>192</v>
      </c>
      <c r="DG1" s="17"/>
      <c r="DI1" s="31"/>
      <c r="DJ1" s="31"/>
    </row>
    <row r="2" spans="1:114" x14ac:dyDescent="0.3">
      <c r="A2" s="5">
        <v>1947</v>
      </c>
      <c r="B2" s="3">
        <v>144126</v>
      </c>
      <c r="C2" s="3">
        <v>249616</v>
      </c>
      <c r="D2" s="35">
        <v>1</v>
      </c>
      <c r="E2" s="2">
        <v>1</v>
      </c>
      <c r="F2" s="3">
        <v>161852</v>
      </c>
      <c r="G2" s="3">
        <v>37131</v>
      </c>
      <c r="H2" s="3">
        <v>34141</v>
      </c>
      <c r="I2" s="3">
        <v>5686</v>
      </c>
      <c r="J2" s="3">
        <v>10807</v>
      </c>
      <c r="K2" s="3">
        <f>L2+M2</f>
        <v>249946.01</v>
      </c>
      <c r="L2" s="3">
        <f>+Q2+R2</f>
        <v>101635.01000000001</v>
      </c>
      <c r="M2" s="3">
        <f>+S2+T2</f>
        <v>148311</v>
      </c>
      <c r="N2" s="23">
        <v>1</v>
      </c>
      <c r="O2" s="23">
        <v>1</v>
      </c>
      <c r="P2" s="23">
        <v>1</v>
      </c>
      <c r="Q2" s="22">
        <v>27724.79</v>
      </c>
      <c r="R2" s="22">
        <v>73910.22</v>
      </c>
      <c r="S2" s="22">
        <v>15637.22</v>
      </c>
      <c r="T2" s="22">
        <v>132673.78</v>
      </c>
      <c r="U2" s="3">
        <v>128228.265625</v>
      </c>
      <c r="V2" s="3">
        <v>62056.6875</v>
      </c>
      <c r="W2" s="3">
        <v>66171.578125</v>
      </c>
      <c r="X2" s="2"/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/>
      <c r="AI2" s="2"/>
      <c r="AJ2" s="3">
        <f>AK2+AL2</f>
        <v>206249</v>
      </c>
      <c r="AK2" s="3">
        <v>109002</v>
      </c>
      <c r="AL2" s="3">
        <v>97247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3">
        <v>43367</v>
      </c>
      <c r="AT2" s="23">
        <v>1</v>
      </c>
      <c r="AU2" s="23">
        <v>1</v>
      </c>
      <c r="AV2" s="17" t="s">
        <v>182</v>
      </c>
      <c r="AW2" s="18">
        <f t="shared" ref="AW2:AW33" si="0">Q2/(Q2+S2)</f>
        <v>0.63937972432550982</v>
      </c>
      <c r="AX2" s="18">
        <f t="shared" ref="AX2:AX33" si="1">S2/(S2+Q2)</f>
        <v>0.36062027567449018</v>
      </c>
      <c r="AY2" s="18">
        <f t="shared" ref="AY2:AY33" si="2">R2/(R2+T2)</f>
        <v>0.35777320605661622</v>
      </c>
      <c r="AZ2" s="18">
        <f t="shared" ref="AZ2:AZ33" si="3">T2/(T2+R2)</f>
        <v>0.64222679394338378</v>
      </c>
      <c r="BA2" s="18">
        <v>1.3930100000000001</v>
      </c>
      <c r="BB2" s="18">
        <v>0.64724230000000005</v>
      </c>
      <c r="BC2" s="18">
        <v>0.35275770000000001</v>
      </c>
      <c r="BD2" s="18">
        <v>0.64724230000000005</v>
      </c>
      <c r="BE2" s="18">
        <v>0</v>
      </c>
      <c r="BF2" s="18">
        <v>1</v>
      </c>
      <c r="BG2" s="18">
        <v>1</v>
      </c>
      <c r="BH2" s="18">
        <v>1</v>
      </c>
      <c r="BI2" s="18">
        <v>0.83056479999999999</v>
      </c>
      <c r="BJ2" s="18">
        <v>0.29117480000000001</v>
      </c>
      <c r="BK2" s="18">
        <v>0.70882520000000004</v>
      </c>
      <c r="BL2" s="18">
        <v>0.29117480000000001</v>
      </c>
      <c r="BM2" s="18">
        <v>3.9300000000000004E-15</v>
      </c>
      <c r="BN2" s="18">
        <v>1</v>
      </c>
      <c r="BO2" s="18">
        <v>1</v>
      </c>
      <c r="BP2" s="18">
        <v>1</v>
      </c>
      <c r="BQ2" s="18">
        <v>0.44890160000000001</v>
      </c>
      <c r="BR2" s="18">
        <v>0.36862200000000001</v>
      </c>
      <c r="BS2" s="18">
        <v>0.63137790000000005</v>
      </c>
      <c r="BT2" s="18">
        <v>0.55497370000000001</v>
      </c>
      <c r="BU2" s="18">
        <v>0.69686530000000002</v>
      </c>
      <c r="BV2" s="18">
        <v>0.44306980000000001</v>
      </c>
      <c r="BW2" s="18">
        <v>1</v>
      </c>
      <c r="BX2" s="18">
        <v>1</v>
      </c>
      <c r="BY2" s="18">
        <v>1</v>
      </c>
      <c r="BZ2" s="18">
        <v>0</v>
      </c>
      <c r="CA2" s="18" t="s">
        <v>152</v>
      </c>
      <c r="CB2" s="18" t="s">
        <v>152</v>
      </c>
      <c r="CC2" s="18" t="s">
        <v>152</v>
      </c>
      <c r="CD2" s="18" t="s">
        <v>152</v>
      </c>
      <c r="CE2" s="18">
        <v>1</v>
      </c>
      <c r="CF2" s="18">
        <v>1</v>
      </c>
      <c r="CG2" s="18">
        <v>1</v>
      </c>
      <c r="CH2" s="18">
        <v>1</v>
      </c>
      <c r="CI2" s="18">
        <v>1</v>
      </c>
      <c r="CJ2" s="18">
        <v>1</v>
      </c>
      <c r="CK2" s="18">
        <v>1</v>
      </c>
      <c r="CL2" s="18">
        <v>1</v>
      </c>
      <c r="CM2" s="18">
        <v>0.56350199999999995</v>
      </c>
      <c r="CN2" s="18">
        <v>0.60514999999999997</v>
      </c>
      <c r="CO2" s="18">
        <v>0.53786230000000002</v>
      </c>
      <c r="CP2" s="18" t="s">
        <v>152</v>
      </c>
      <c r="CQ2" s="18" t="s">
        <v>152</v>
      </c>
      <c r="CR2" s="18" t="s">
        <v>152</v>
      </c>
      <c r="CS2" s="18">
        <v>1</v>
      </c>
      <c r="CT2" s="18">
        <v>1</v>
      </c>
      <c r="CU2" s="18">
        <v>1</v>
      </c>
      <c r="CV2" s="18">
        <v>1</v>
      </c>
      <c r="CW2" s="18">
        <v>1</v>
      </c>
      <c r="CX2" s="18">
        <v>1</v>
      </c>
      <c r="CY2" s="18">
        <v>1</v>
      </c>
      <c r="CZ2" s="17"/>
      <c r="DG2" s="17"/>
      <c r="DJ2" s="33"/>
    </row>
    <row r="3" spans="1:114" x14ac:dyDescent="0.3">
      <c r="A3" s="5">
        <v>1948</v>
      </c>
      <c r="B3" s="3">
        <v>146631</v>
      </c>
      <c r="C3" s="3">
        <v>274468</v>
      </c>
      <c r="D3" s="35">
        <v>1.0412065715055201</v>
      </c>
      <c r="E3" s="2">
        <v>1.05604493447616</v>
      </c>
      <c r="F3" s="3">
        <v>174878</v>
      </c>
      <c r="G3" s="3">
        <v>50347</v>
      </c>
      <c r="H3" s="3">
        <v>35274</v>
      </c>
      <c r="I3" s="3">
        <v>8482</v>
      </c>
      <c r="J3" s="3">
        <v>5487</v>
      </c>
      <c r="K3" s="3">
        <f t="shared" ref="K3:K66" si="4">L3+M3</f>
        <v>274818</v>
      </c>
      <c r="L3" s="3">
        <f t="shared" ref="L3:L66" si="5">+Q3+R3</f>
        <v>116934</v>
      </c>
      <c r="M3" s="3">
        <f t="shared" ref="M3:M66" si="6">+S3+T3</f>
        <v>157884</v>
      </c>
      <c r="N3" s="23">
        <v>1.0551725625991821</v>
      </c>
      <c r="O3" s="23">
        <v>1.0566997528076172</v>
      </c>
      <c r="P3" s="23">
        <v>1.0540508031845093</v>
      </c>
      <c r="Q3" s="22">
        <v>34949.839999999997</v>
      </c>
      <c r="R3" s="22">
        <v>81984.160000000003</v>
      </c>
      <c r="S3" s="22">
        <v>18225.16</v>
      </c>
      <c r="T3" s="22">
        <v>139658.84</v>
      </c>
      <c r="U3" s="3">
        <v>141262.28125</v>
      </c>
      <c r="V3" s="3">
        <v>70286.9140625</v>
      </c>
      <c r="W3" s="3">
        <v>70975.3671875</v>
      </c>
      <c r="X3" s="2">
        <v>0.52610206604003906</v>
      </c>
      <c r="Y3" s="2">
        <v>1.0406001806259155</v>
      </c>
      <c r="Z3" s="2">
        <v>1.0894179344177246</v>
      </c>
      <c r="AA3" s="2">
        <v>1.0060052871704102</v>
      </c>
      <c r="AB3" s="2">
        <v>1.0355644226074219</v>
      </c>
      <c r="AC3" s="2">
        <v>1.0613375902175903</v>
      </c>
      <c r="AD3" s="2">
        <v>1.0218958854675293</v>
      </c>
      <c r="AE3" s="2">
        <v>1.02442467212677</v>
      </c>
      <c r="AF3" s="2">
        <v>1.0199851989746094</v>
      </c>
      <c r="AG3" s="2">
        <v>1.0287214517593384</v>
      </c>
      <c r="AH3" s="2">
        <v>0.60841768980026245</v>
      </c>
      <c r="AI3" s="2">
        <v>0.46552881598472595</v>
      </c>
      <c r="AJ3" s="3">
        <f t="shared" ref="AJ3:AJ66" si="7">AK3+AL3</f>
        <v>221299</v>
      </c>
      <c r="AK3" s="3">
        <v>118787</v>
      </c>
      <c r="AL3" s="3">
        <v>102512</v>
      </c>
      <c r="AM3" s="2">
        <v>1.0218831196792899</v>
      </c>
      <c r="AN3" s="2">
        <v>1.04998818513829</v>
      </c>
      <c r="AO3" s="2">
        <v>0.97686170362012303</v>
      </c>
      <c r="AP3" s="2">
        <v>1.1155816540107599</v>
      </c>
      <c r="AQ3" s="2">
        <v>1.0094287840074101</v>
      </c>
      <c r="AR3" s="2">
        <v>1.04429406445037</v>
      </c>
      <c r="AS3" s="3">
        <v>53170</v>
      </c>
      <c r="AT3" s="23">
        <v>1.1316815144766099</v>
      </c>
      <c r="AU3" s="23">
        <v>1.0833855989999901</v>
      </c>
      <c r="AV3" s="17" t="s">
        <v>183</v>
      </c>
      <c r="AW3" s="18">
        <f t="shared" si="0"/>
        <v>0.65726074283027736</v>
      </c>
      <c r="AX3" s="18">
        <f t="shared" si="1"/>
        <v>0.34273925716972259</v>
      </c>
      <c r="AY3" s="18">
        <f t="shared" si="2"/>
        <v>0.36989284570232311</v>
      </c>
      <c r="AZ3" s="18">
        <f t="shared" si="3"/>
        <v>0.63010715429767683</v>
      </c>
      <c r="BA3" s="18">
        <v>1.465546</v>
      </c>
      <c r="BB3" s="18">
        <v>0.64781520000000004</v>
      </c>
      <c r="BC3" s="18">
        <v>0.35218480000000002</v>
      </c>
      <c r="BD3" s="18">
        <v>0.64724230000000005</v>
      </c>
      <c r="BE3" s="18">
        <v>0</v>
      </c>
      <c r="BF3" s="18">
        <v>1.0138210000000001</v>
      </c>
      <c r="BG3" s="18">
        <v>1.0138210000000001</v>
      </c>
      <c r="BH3" s="18">
        <v>1</v>
      </c>
      <c r="BI3" s="18">
        <v>0.83056479999999999</v>
      </c>
      <c r="BJ3" s="18">
        <v>0.29169309999999998</v>
      </c>
      <c r="BK3" s="18">
        <v>0.70830689999999996</v>
      </c>
      <c r="BL3" s="18">
        <v>0.29117480000000001</v>
      </c>
      <c r="BM3" s="18">
        <v>3.9300000000000004E-15</v>
      </c>
      <c r="BN3" s="18">
        <v>1.0147269999999999</v>
      </c>
      <c r="BO3" s="18">
        <v>1.0147269999999999</v>
      </c>
      <c r="BP3" s="18">
        <v>1</v>
      </c>
      <c r="BQ3" s="18">
        <v>0.44890160000000001</v>
      </c>
      <c r="BR3" s="18">
        <v>0.3696528</v>
      </c>
      <c r="BS3" s="18">
        <v>0.6303472</v>
      </c>
      <c r="BT3" s="18">
        <v>0.55497370000000001</v>
      </c>
      <c r="BU3" s="18">
        <v>0.69686530000000002</v>
      </c>
      <c r="BV3" s="18">
        <v>0.44306980000000001</v>
      </c>
      <c r="BW3" s="18">
        <v>1.015757</v>
      </c>
      <c r="BX3" s="18">
        <v>1.0138119999999999</v>
      </c>
      <c r="BY3" s="18">
        <v>0.99808549999999996</v>
      </c>
      <c r="BZ3" s="18">
        <v>0</v>
      </c>
      <c r="CA3" s="18">
        <v>0.64832469999999998</v>
      </c>
      <c r="CB3" s="18">
        <v>0.35167530000000002</v>
      </c>
      <c r="CC3" s="18">
        <v>0.36383379999999998</v>
      </c>
      <c r="CD3" s="18">
        <v>0.63616620000000002</v>
      </c>
      <c r="CE3" s="18">
        <v>1.192723</v>
      </c>
      <c r="CF3" s="18">
        <v>1.1054759999999999</v>
      </c>
      <c r="CG3" s="18">
        <v>1.0472349999999999</v>
      </c>
      <c r="CH3" s="18">
        <v>0.99630779999999997</v>
      </c>
      <c r="CI3" s="18">
        <v>0.99749319999999997</v>
      </c>
      <c r="CJ3" s="18">
        <v>0.97300050000000005</v>
      </c>
      <c r="CK3" s="18">
        <v>0.97544569999999997</v>
      </c>
      <c r="CL3" s="18">
        <v>0.96928539999999996</v>
      </c>
      <c r="CM3" s="18">
        <v>0.56350199999999995</v>
      </c>
      <c r="CN3" s="18">
        <v>0.60514999999999997</v>
      </c>
      <c r="CO3" s="18">
        <v>0.53786230000000002</v>
      </c>
      <c r="CP3" s="18">
        <v>1.09456E-2</v>
      </c>
      <c r="CQ3" s="18">
        <v>4.8508200000000001E-2</v>
      </c>
      <c r="CR3" s="18">
        <v>-1.9423599999999999E-2</v>
      </c>
      <c r="CS3" s="18">
        <v>1.0110060000000001</v>
      </c>
      <c r="CT3" s="18">
        <v>1.0496765938118493</v>
      </c>
      <c r="CU3" s="18">
        <v>0.9807681255535371</v>
      </c>
      <c r="CV3" s="18">
        <v>0.97458769999999995</v>
      </c>
      <c r="CW3" s="18">
        <v>0.99827520000000003</v>
      </c>
      <c r="CX3" s="18">
        <v>0.99988480000000002</v>
      </c>
      <c r="CY3" s="18">
        <v>0.98601273843223736</v>
      </c>
      <c r="CZ3" s="17"/>
      <c r="DG3" s="17"/>
      <c r="DI3" s="11"/>
      <c r="DJ3" s="33"/>
    </row>
    <row r="4" spans="1:114" x14ac:dyDescent="0.3">
      <c r="A4" s="5">
        <v>1949</v>
      </c>
      <c r="B4" s="3">
        <v>149188</v>
      </c>
      <c r="C4" s="3">
        <v>272475</v>
      </c>
      <c r="D4" s="35">
        <v>1.0353712182422099</v>
      </c>
      <c r="E4" s="2">
        <v>1.0542853061008</v>
      </c>
      <c r="F4" s="3">
        <v>178333</v>
      </c>
      <c r="G4" s="3">
        <v>39099</v>
      </c>
      <c r="H4" s="3">
        <v>38493</v>
      </c>
      <c r="I4" s="3">
        <v>11315</v>
      </c>
      <c r="J4" s="3">
        <v>5235</v>
      </c>
      <c r="K4" s="3">
        <f t="shared" si="4"/>
        <v>272848</v>
      </c>
      <c r="L4" s="3">
        <f t="shared" si="5"/>
        <v>109987</v>
      </c>
      <c r="M4" s="3">
        <f t="shared" si="6"/>
        <v>162861</v>
      </c>
      <c r="N4" s="23">
        <v>1.0538395643234253</v>
      </c>
      <c r="O4" s="23">
        <v>1.019019603729248</v>
      </c>
      <c r="P4" s="23">
        <v>1.080051064491272</v>
      </c>
      <c r="Q4" s="22">
        <v>34242.620000000003</v>
      </c>
      <c r="R4" s="22">
        <v>75744.38</v>
      </c>
      <c r="S4" s="22">
        <v>18852.38</v>
      </c>
      <c r="T4" s="22">
        <v>144008.62</v>
      </c>
      <c r="U4" s="3">
        <v>144455.765625</v>
      </c>
      <c r="V4" s="3">
        <v>68189.234375</v>
      </c>
      <c r="W4" s="3">
        <v>76266.53125</v>
      </c>
      <c r="X4" s="2">
        <v>0.53499776124954224</v>
      </c>
      <c r="Y4" s="2">
        <v>1.0339734554290771</v>
      </c>
      <c r="Z4" s="2">
        <v>1.0591192245483398</v>
      </c>
      <c r="AA4" s="2">
        <v>1.0156807899475098</v>
      </c>
      <c r="AB4" s="2">
        <v>1.0618280172348022</v>
      </c>
      <c r="AC4" s="2">
        <v>1.0834800004959106</v>
      </c>
      <c r="AD4" s="2">
        <v>1.0503050088882446</v>
      </c>
      <c r="AE4" s="2">
        <v>0.98832833766937256</v>
      </c>
      <c r="AF4" s="2">
        <v>0.9507482647895813</v>
      </c>
      <c r="AG4" s="2">
        <v>1.0251477956771851</v>
      </c>
      <c r="AH4" s="2">
        <v>0.6139754056930542</v>
      </c>
      <c r="AI4" s="2">
        <v>0.47725245356559753</v>
      </c>
      <c r="AJ4" s="3">
        <f t="shared" si="7"/>
        <v>219369</v>
      </c>
      <c r="AK4" s="3">
        <v>110728</v>
      </c>
      <c r="AL4" s="3">
        <v>108641</v>
      </c>
      <c r="AM4" s="2">
        <v>1.01876325772315</v>
      </c>
      <c r="AN4" s="2">
        <v>1.0440231541261999</v>
      </c>
      <c r="AO4" s="2">
        <v>1.0068307077296199</v>
      </c>
      <c r="AP4" s="2">
        <v>1.00894277860614</v>
      </c>
      <c r="AQ4" s="2">
        <v>1.0441633635041401</v>
      </c>
      <c r="AR4" s="2">
        <v>1.0699145431998001</v>
      </c>
      <c r="AS4" s="3">
        <v>53106</v>
      </c>
      <c r="AT4" s="23">
        <v>1.11344654788418</v>
      </c>
      <c r="AU4" s="23">
        <v>1.0998028430312601</v>
      </c>
      <c r="AV4" s="17"/>
      <c r="AW4" s="18">
        <f t="shared" si="0"/>
        <v>0.64493116112628313</v>
      </c>
      <c r="AX4" s="18">
        <f t="shared" si="1"/>
        <v>0.35506883887371693</v>
      </c>
      <c r="AY4" s="18">
        <f t="shared" si="2"/>
        <v>0.34467961757063614</v>
      </c>
      <c r="AZ4" s="18">
        <f t="shared" si="3"/>
        <v>0.65532038242936386</v>
      </c>
      <c r="BA4" s="18">
        <v>1.4271579999999999</v>
      </c>
      <c r="BB4" s="18">
        <v>0.63385060000000004</v>
      </c>
      <c r="BC4" s="18">
        <v>0.36614940000000001</v>
      </c>
      <c r="BD4" s="18">
        <v>0.64724230000000005</v>
      </c>
      <c r="BE4" s="18">
        <v>0</v>
      </c>
      <c r="BF4" s="18">
        <v>1.0191699999999999</v>
      </c>
      <c r="BG4" s="18">
        <v>1.0191699999999999</v>
      </c>
      <c r="BH4" s="18">
        <v>1</v>
      </c>
      <c r="BI4" s="18">
        <v>0.83056479999999999</v>
      </c>
      <c r="BJ4" s="18">
        <v>0.27931689999999998</v>
      </c>
      <c r="BK4" s="18">
        <v>0.72068310000000002</v>
      </c>
      <c r="BL4" s="18">
        <v>0.29117480000000001</v>
      </c>
      <c r="BM4" s="18">
        <v>3.9300000000000004E-15</v>
      </c>
      <c r="BN4" s="18">
        <v>0.99832100000000001</v>
      </c>
      <c r="BO4" s="18">
        <v>0.99832109999999996</v>
      </c>
      <c r="BP4" s="18">
        <v>1</v>
      </c>
      <c r="BQ4" s="18">
        <v>0.44890160000000001</v>
      </c>
      <c r="BR4" s="18">
        <v>0.36450280000000002</v>
      </c>
      <c r="BS4" s="18">
        <v>0.63549719999999998</v>
      </c>
      <c r="BT4" s="18">
        <v>0.55497370000000001</v>
      </c>
      <c r="BU4" s="18">
        <v>0.69686530000000002</v>
      </c>
      <c r="BV4" s="18">
        <v>0.44306980000000001</v>
      </c>
      <c r="BW4" s="18">
        <v>1.0290729999999999</v>
      </c>
      <c r="BX4" s="18">
        <v>0.98830110000000004</v>
      </c>
      <c r="BY4" s="18">
        <v>0.96037969999999995</v>
      </c>
      <c r="BZ4" s="18">
        <v>0</v>
      </c>
      <c r="CA4" s="18">
        <v>0.65110279999999998</v>
      </c>
      <c r="CB4" s="18">
        <v>0.34889720000000002</v>
      </c>
      <c r="CC4" s="18">
        <v>0.35728539999999998</v>
      </c>
      <c r="CD4" s="18">
        <v>0.64271460000000002</v>
      </c>
      <c r="CE4" s="18">
        <v>1.212159</v>
      </c>
      <c r="CF4" s="18">
        <v>1.1163400000000001</v>
      </c>
      <c r="CG4" s="18">
        <v>1.002607</v>
      </c>
      <c r="CH4" s="18">
        <v>1.0019180000000001</v>
      </c>
      <c r="CI4" s="18">
        <v>1.0598920000000001</v>
      </c>
      <c r="CJ4" s="18">
        <v>0.98201170000000004</v>
      </c>
      <c r="CK4" s="18">
        <v>0.92652020000000002</v>
      </c>
      <c r="CL4" s="18">
        <v>0.94934549999999995</v>
      </c>
      <c r="CM4" s="18">
        <v>0.56350199999999995</v>
      </c>
      <c r="CN4" s="18">
        <v>0.60514999999999997</v>
      </c>
      <c r="CO4" s="18">
        <v>0.53786230000000002</v>
      </c>
      <c r="CP4" s="18">
        <v>2.8928999999999999E-3</v>
      </c>
      <c r="CQ4" s="18">
        <v>2.3920999999999999E-3</v>
      </c>
      <c r="CR4" s="18">
        <v>-4.3649999999999998E-4</v>
      </c>
      <c r="CS4" s="18">
        <v>1.013935</v>
      </c>
      <c r="CT4" s="18">
        <v>1.0521277490658589</v>
      </c>
      <c r="CU4" s="18">
        <v>0.98032026682589823</v>
      </c>
      <c r="CV4" s="18">
        <v>0.94551050000000003</v>
      </c>
      <c r="CW4" s="18">
        <v>0.96979870000000001</v>
      </c>
      <c r="CX4" s="18">
        <v>1.000232</v>
      </c>
      <c r="CY4" s="18">
        <v>0.97328459573874482</v>
      </c>
      <c r="CZ4" s="17"/>
      <c r="DG4" s="17"/>
      <c r="DI4" s="11"/>
      <c r="DJ4" s="33"/>
    </row>
    <row r="5" spans="1:114" x14ac:dyDescent="0.3">
      <c r="A5" s="5">
        <v>1950</v>
      </c>
      <c r="B5" s="3">
        <v>151684</v>
      </c>
      <c r="C5" s="3">
        <v>299827</v>
      </c>
      <c r="D5" s="35">
        <v>1.1254152078283499</v>
      </c>
      <c r="E5" s="2">
        <v>1.0672976183440701</v>
      </c>
      <c r="F5" s="3">
        <v>192044</v>
      </c>
      <c r="G5" s="3">
        <v>56530</v>
      </c>
      <c r="H5" s="3">
        <v>39059</v>
      </c>
      <c r="I5" s="3">
        <v>11455</v>
      </c>
      <c r="J5" s="3">
        <v>738</v>
      </c>
      <c r="K5" s="3">
        <f t="shared" si="4"/>
        <v>300214</v>
      </c>
      <c r="L5" s="3">
        <f t="shared" si="5"/>
        <v>125615</v>
      </c>
      <c r="M5" s="3">
        <f t="shared" si="6"/>
        <v>174599</v>
      </c>
      <c r="N5" s="23">
        <v>1.0758740901947021</v>
      </c>
      <c r="O5" s="23">
        <v>1.0521407127380371</v>
      </c>
      <c r="P5" s="23">
        <v>1.0937265157699585</v>
      </c>
      <c r="Q5" s="22">
        <v>40279.949999999997</v>
      </c>
      <c r="R5" s="22">
        <v>85335.05</v>
      </c>
      <c r="S5" s="22">
        <v>21934.06</v>
      </c>
      <c r="T5" s="22">
        <v>152664.94</v>
      </c>
      <c r="U5" s="3">
        <v>153536.109375</v>
      </c>
      <c r="V5" s="3">
        <v>73332.3359375</v>
      </c>
      <c r="W5" s="3">
        <v>80203.78125</v>
      </c>
      <c r="X5" s="2">
        <v>0.5332179069519043</v>
      </c>
      <c r="Y5" s="2">
        <v>1.1167960166931152</v>
      </c>
      <c r="Z5" s="2">
        <v>1.1728990077972412</v>
      </c>
      <c r="AA5" s="2">
        <v>1.0775227546691895</v>
      </c>
      <c r="AB5" s="2">
        <v>1.0995423793792725</v>
      </c>
      <c r="AC5" s="2">
        <v>1.1210259199142456</v>
      </c>
      <c r="AD5" s="2">
        <v>1.0881060361862183</v>
      </c>
      <c r="AE5" s="2">
        <v>1.0290268659591675</v>
      </c>
      <c r="AF5" s="2">
        <v>1.0109016895294189</v>
      </c>
      <c r="AG5" s="2">
        <v>1.0472925901412964</v>
      </c>
      <c r="AH5" s="2">
        <v>0.60590958595275879</v>
      </c>
      <c r="AI5" s="2">
        <v>0.48117336630821228</v>
      </c>
      <c r="AJ5" s="3">
        <f t="shared" si="7"/>
        <v>237611</v>
      </c>
      <c r="AK5" s="3">
        <v>123721</v>
      </c>
      <c r="AL5" s="3">
        <v>113890</v>
      </c>
      <c r="AM5" s="2">
        <v>1.0910355709606001</v>
      </c>
      <c r="AN5" s="2">
        <v>1.05593158439299</v>
      </c>
      <c r="AO5" s="2">
        <v>1.0529062170049801</v>
      </c>
      <c r="AP5" s="2">
        <v>1.07800125141652</v>
      </c>
      <c r="AQ5" s="2">
        <v>1.0708011180204</v>
      </c>
      <c r="AR5" s="2">
        <v>1.0937059240112099</v>
      </c>
      <c r="AS5" s="3">
        <v>62216</v>
      </c>
      <c r="AT5" s="23">
        <v>1.28382516703786</v>
      </c>
      <c r="AU5" s="23">
        <v>1.11747243990388</v>
      </c>
      <c r="AV5" s="17" t="s">
        <v>186</v>
      </c>
      <c r="AW5" s="18">
        <f t="shared" si="0"/>
        <v>0.64744179004053914</v>
      </c>
      <c r="AX5" s="18">
        <f t="shared" si="1"/>
        <v>0.35255820995946097</v>
      </c>
      <c r="AY5" s="18">
        <f t="shared" si="2"/>
        <v>0.35855064531725406</v>
      </c>
      <c r="AZ5" s="18">
        <f t="shared" si="3"/>
        <v>0.641449354682746</v>
      </c>
      <c r="BA5" s="18">
        <v>1.5237019999999999</v>
      </c>
      <c r="BB5" s="18">
        <v>0.63834210000000002</v>
      </c>
      <c r="BC5" s="18">
        <v>0.36165789999999998</v>
      </c>
      <c r="BD5" s="18">
        <v>0.64724230000000005</v>
      </c>
      <c r="BE5" s="18">
        <v>0</v>
      </c>
      <c r="BF5" s="18">
        <v>1.079086</v>
      </c>
      <c r="BG5" s="18">
        <v>1.079086</v>
      </c>
      <c r="BH5" s="18">
        <v>1</v>
      </c>
      <c r="BI5" s="18">
        <v>0.83056479999999999</v>
      </c>
      <c r="BJ5" s="18">
        <v>0.28323949999999998</v>
      </c>
      <c r="BK5" s="18">
        <v>0.71676050000000002</v>
      </c>
      <c r="BL5" s="18">
        <v>0.29117480000000001</v>
      </c>
      <c r="BM5" s="18">
        <v>3.9300000000000004E-15</v>
      </c>
      <c r="BN5" s="18">
        <v>1.0643130000000001</v>
      </c>
      <c r="BO5" s="18">
        <v>1.0643130000000001</v>
      </c>
      <c r="BP5" s="18">
        <v>1</v>
      </c>
      <c r="BQ5" s="18">
        <v>0.44890160000000001</v>
      </c>
      <c r="BR5" s="18">
        <v>0.35878070000000001</v>
      </c>
      <c r="BS5" s="18">
        <v>0.64121930000000005</v>
      </c>
      <c r="BT5" s="18">
        <v>0.55497370000000001</v>
      </c>
      <c r="BU5" s="18">
        <v>0.69686530000000002</v>
      </c>
      <c r="BV5" s="18">
        <v>0.44306980000000001</v>
      </c>
      <c r="BW5" s="18">
        <v>1.0649200000000001</v>
      </c>
      <c r="BX5" s="18">
        <v>1.0689360000000001</v>
      </c>
      <c r="BY5" s="18">
        <v>1.0037700000000001</v>
      </c>
      <c r="BZ5" s="18">
        <v>0</v>
      </c>
      <c r="CA5" s="18">
        <v>0.64618719999999996</v>
      </c>
      <c r="CB5" s="18">
        <v>0.35381279999999998</v>
      </c>
      <c r="CC5" s="18">
        <v>0.35161490000000001</v>
      </c>
      <c r="CD5" s="18">
        <v>0.64838510000000005</v>
      </c>
      <c r="CE5" s="18">
        <v>1.380727</v>
      </c>
      <c r="CF5" s="18">
        <v>1.282389</v>
      </c>
      <c r="CG5" s="18">
        <v>1.0965100000000001</v>
      </c>
      <c r="CH5" s="18">
        <v>1.0512550000000001</v>
      </c>
      <c r="CI5" s="18">
        <v>1.039525</v>
      </c>
      <c r="CJ5" s="18">
        <v>0.97874309999999998</v>
      </c>
      <c r="CK5" s="18">
        <v>0.94152930000000001</v>
      </c>
      <c r="CL5" s="18">
        <v>0.9450923</v>
      </c>
      <c r="CM5" s="18">
        <v>0.56350199999999995</v>
      </c>
      <c r="CN5" s="18">
        <v>0.60514999999999997</v>
      </c>
      <c r="CO5" s="18">
        <v>0.53786230000000002</v>
      </c>
      <c r="CP5" s="18">
        <v>3.90806E-2</v>
      </c>
      <c r="CQ5" s="18">
        <v>5.2600899999999999E-2</v>
      </c>
      <c r="CR5" s="18">
        <v>3.1628900000000001E-2</v>
      </c>
      <c r="CS5" s="18">
        <v>1.0543439999999999</v>
      </c>
      <c r="CT5" s="18">
        <v>1.1089718866784188</v>
      </c>
      <c r="CU5" s="18">
        <v>1.0118130304834019</v>
      </c>
      <c r="CV5" s="18">
        <v>0.95425360000000004</v>
      </c>
      <c r="CW5" s="18">
        <v>1.023622</v>
      </c>
      <c r="CX5" s="18">
        <v>1.0383389999999999</v>
      </c>
      <c r="CY5" s="18">
        <v>1.0146998714116864</v>
      </c>
      <c r="CZ5" s="17"/>
      <c r="DG5" s="17"/>
      <c r="DI5" s="11"/>
      <c r="DJ5" s="33"/>
    </row>
    <row r="6" spans="1:114" x14ac:dyDescent="0.3">
      <c r="A6" s="5">
        <v>1951</v>
      </c>
      <c r="B6" s="3">
        <v>154287</v>
      </c>
      <c r="C6" s="3">
        <v>346914</v>
      </c>
      <c r="D6" s="35">
        <v>1.2159080707424399</v>
      </c>
      <c r="E6" s="2">
        <v>1.1430064097650701</v>
      </c>
      <c r="F6" s="3">
        <v>208339</v>
      </c>
      <c r="G6" s="3">
        <v>62759</v>
      </c>
      <c r="H6" s="3">
        <v>53722</v>
      </c>
      <c r="I6" s="3">
        <v>19582</v>
      </c>
      <c r="J6" s="3">
        <v>2513</v>
      </c>
      <c r="K6" s="3">
        <f t="shared" si="4"/>
        <v>347301</v>
      </c>
      <c r="L6" s="3">
        <f t="shared" si="5"/>
        <v>148212.01</v>
      </c>
      <c r="M6" s="3">
        <f t="shared" si="6"/>
        <v>199088.99</v>
      </c>
      <c r="N6" s="23">
        <v>1.1674568653106689</v>
      </c>
      <c r="O6" s="23">
        <v>1.1688021421432495</v>
      </c>
      <c r="P6" s="23">
        <v>1.1660350561141968</v>
      </c>
      <c r="Q6" s="22">
        <v>48539.13</v>
      </c>
      <c r="R6" s="22">
        <v>99672.88</v>
      </c>
      <c r="S6" s="22">
        <v>23876.87</v>
      </c>
      <c r="T6" s="22">
        <v>175212.12</v>
      </c>
      <c r="U6" s="3">
        <v>174406.78125</v>
      </c>
      <c r="V6" s="3">
        <v>86367.09375</v>
      </c>
      <c r="W6" s="3">
        <v>88039.6875</v>
      </c>
      <c r="X6" s="2">
        <v>0.5186086893081665</v>
      </c>
      <c r="Y6" s="2">
        <v>1.1909449100494385</v>
      </c>
      <c r="Z6" s="2">
        <v>1.2452199459075928</v>
      </c>
      <c r="AA6" s="2">
        <v>1.1529229879379272</v>
      </c>
      <c r="AB6" s="2">
        <v>1.1515648365020752</v>
      </c>
      <c r="AC6" s="2">
        <v>1.1901323795318604</v>
      </c>
      <c r="AD6" s="2">
        <v>1.1305755376815796</v>
      </c>
      <c r="AE6" s="2">
        <v>1.0993361473083496</v>
      </c>
      <c r="AF6" s="2">
        <v>1.0784541368484497</v>
      </c>
      <c r="AG6" s="2">
        <v>1.1203416585922241</v>
      </c>
      <c r="AH6" s="2">
        <v>0.58693540096282959</v>
      </c>
      <c r="AI6" s="2">
        <v>0.46706151962280273</v>
      </c>
      <c r="AJ6" s="3">
        <f t="shared" si="7"/>
        <v>274485</v>
      </c>
      <c r="AK6" s="3">
        <v>137726</v>
      </c>
      <c r="AL6" s="3">
        <v>136759</v>
      </c>
      <c r="AM6" s="2">
        <v>1.1826698841065699</v>
      </c>
      <c r="AN6" s="2">
        <v>1.1252827061750901</v>
      </c>
      <c r="AO6" s="2">
        <v>1.0626643251722101</v>
      </c>
      <c r="AP6" s="2">
        <v>1.1890096154122201</v>
      </c>
      <c r="AQ6" s="2">
        <v>1.22762349837319</v>
      </c>
      <c r="AR6" s="2">
        <v>1.1455512173220701</v>
      </c>
      <c r="AS6" s="3">
        <v>72430</v>
      </c>
      <c r="AT6" s="23">
        <v>1.3697104677060099</v>
      </c>
      <c r="AU6" s="23">
        <v>1.2193554688561801</v>
      </c>
      <c r="AV6" s="17"/>
      <c r="AW6" s="18">
        <f t="shared" si="0"/>
        <v>0.6702818437914273</v>
      </c>
      <c r="AX6" s="18">
        <f t="shared" si="1"/>
        <v>0.3297181562085727</v>
      </c>
      <c r="AY6" s="18">
        <f t="shared" si="2"/>
        <v>0.36259846845044291</v>
      </c>
      <c r="AZ6" s="18">
        <f t="shared" si="3"/>
        <v>0.63740153154955703</v>
      </c>
      <c r="BA6" s="18">
        <v>1.730613</v>
      </c>
      <c r="BB6" s="18">
        <v>0.64778329999999995</v>
      </c>
      <c r="BC6" s="18">
        <v>0.35221669999999999</v>
      </c>
      <c r="BD6" s="18">
        <v>0.64724230000000005</v>
      </c>
      <c r="BE6" s="18">
        <v>0</v>
      </c>
      <c r="BF6" s="18">
        <v>1.1388180000000001</v>
      </c>
      <c r="BG6" s="18">
        <v>1.1388180000000001</v>
      </c>
      <c r="BH6" s="18">
        <v>1</v>
      </c>
      <c r="BI6" s="18">
        <v>0.83056479999999999</v>
      </c>
      <c r="BJ6" s="18">
        <v>0.29166429999999999</v>
      </c>
      <c r="BK6" s="18">
        <v>0.70833579999999996</v>
      </c>
      <c r="BL6" s="18">
        <v>0.29117480000000001</v>
      </c>
      <c r="BM6" s="18">
        <v>3.9300000000000004E-15</v>
      </c>
      <c r="BN6" s="18">
        <v>1.13978</v>
      </c>
      <c r="BO6" s="18">
        <v>1.13978</v>
      </c>
      <c r="BP6" s="18">
        <v>1</v>
      </c>
      <c r="BQ6" s="18">
        <v>0.44890160000000001</v>
      </c>
      <c r="BR6" s="18">
        <v>0.3564659</v>
      </c>
      <c r="BS6" s="18">
        <v>0.6435341</v>
      </c>
      <c r="BT6" s="18">
        <v>0.55497370000000001</v>
      </c>
      <c r="BU6" s="18">
        <v>0.69686530000000002</v>
      </c>
      <c r="BV6" s="18">
        <v>0.44306980000000001</v>
      </c>
      <c r="BW6" s="18">
        <v>1.1003430000000001</v>
      </c>
      <c r="BX6" s="18">
        <v>1.1625270000000001</v>
      </c>
      <c r="BY6" s="18">
        <v>1.056513</v>
      </c>
      <c r="BZ6" s="18">
        <v>0</v>
      </c>
      <c r="CA6" s="18">
        <v>0.65886319999999998</v>
      </c>
      <c r="CB6" s="18">
        <v>0.34113680000000002</v>
      </c>
      <c r="CC6" s="18">
        <v>0.3605756</v>
      </c>
      <c r="CD6" s="18">
        <v>0.63942429999999995</v>
      </c>
      <c r="CE6" s="18">
        <v>1.4980309999999999</v>
      </c>
      <c r="CF6" s="18">
        <v>1.30958</v>
      </c>
      <c r="CG6" s="18">
        <v>1.1532119999999999</v>
      </c>
      <c r="CH6" s="18">
        <v>1.131999</v>
      </c>
      <c r="CI6" s="18">
        <v>0.99763259999999998</v>
      </c>
      <c r="CJ6" s="18">
        <v>0.95629850000000005</v>
      </c>
      <c r="CK6" s="18">
        <v>0.95856790000000003</v>
      </c>
      <c r="CL6" s="18">
        <v>0.9230083</v>
      </c>
      <c r="CM6" s="18">
        <v>0.56350199999999995</v>
      </c>
      <c r="CN6" s="18">
        <v>0.60514999999999997</v>
      </c>
      <c r="CO6" s="18">
        <v>0.53786230000000002</v>
      </c>
      <c r="CP6" s="18">
        <v>6.8614000000000001E-3</v>
      </c>
      <c r="CQ6" s="18">
        <v>-2.7284000000000002E-3</v>
      </c>
      <c r="CR6" s="18">
        <v>1.29287E-2</v>
      </c>
      <c r="CS6" s="18">
        <v>1.0616030000000001</v>
      </c>
      <c r="CT6" s="18">
        <v>1.105953828457795</v>
      </c>
      <c r="CU6" s="18">
        <v>1.0249990167554468</v>
      </c>
      <c r="CV6" s="18">
        <v>0.95799089999999998</v>
      </c>
      <c r="CW6" s="18">
        <v>1.0308200000000001</v>
      </c>
      <c r="CX6" s="18">
        <v>1.047345</v>
      </c>
      <c r="CY6" s="18">
        <v>1.0157501259471713</v>
      </c>
      <c r="CZ6" s="17"/>
      <c r="DG6" s="17"/>
      <c r="DI6" s="11"/>
      <c r="DJ6" s="33"/>
    </row>
    <row r="7" spans="1:114" x14ac:dyDescent="0.3">
      <c r="A7" s="5">
        <v>1952</v>
      </c>
      <c r="B7" s="3">
        <v>156954</v>
      </c>
      <c r="C7" s="3">
        <v>367341</v>
      </c>
      <c r="D7" s="35">
        <v>1.2655534608133601</v>
      </c>
      <c r="E7" s="2">
        <v>1.1628306987172199</v>
      </c>
      <c r="F7" s="3">
        <v>219320</v>
      </c>
      <c r="G7" s="3">
        <v>57274</v>
      </c>
      <c r="H7" s="3">
        <v>64963</v>
      </c>
      <c r="I7" s="3">
        <v>24621</v>
      </c>
      <c r="J7" s="3">
        <v>1164</v>
      </c>
      <c r="K7" s="3">
        <f t="shared" si="4"/>
        <v>367759</v>
      </c>
      <c r="L7" s="3">
        <f t="shared" si="5"/>
        <v>153064</v>
      </c>
      <c r="M7" s="3">
        <f t="shared" si="6"/>
        <v>214695</v>
      </c>
      <c r="N7" s="23">
        <v>1.1915237903594971</v>
      </c>
      <c r="O7" s="23">
        <v>1.1543229818344116</v>
      </c>
      <c r="P7" s="23">
        <v>1.2197225093841553</v>
      </c>
      <c r="Q7" s="22">
        <v>52699.58</v>
      </c>
      <c r="R7" s="22">
        <v>100364.42</v>
      </c>
      <c r="S7" s="22">
        <v>25674.42</v>
      </c>
      <c r="T7" s="22">
        <v>189020.58</v>
      </c>
      <c r="U7" s="3">
        <v>184289.890625</v>
      </c>
      <c r="V7" s="3">
        <v>90294.359375</v>
      </c>
      <c r="W7" s="3">
        <v>93995.53125</v>
      </c>
      <c r="X7" s="2">
        <v>0.51317471265792847</v>
      </c>
      <c r="Y7" s="2">
        <v>1.236050009727478</v>
      </c>
      <c r="Z7" s="2">
        <v>1.3007050752639771</v>
      </c>
      <c r="AA7" s="2">
        <v>1.1908500194549561</v>
      </c>
      <c r="AB7" s="2">
        <v>1.1994779109954834</v>
      </c>
      <c r="AC7" s="2">
        <v>1.240800142288208</v>
      </c>
      <c r="AD7" s="2">
        <v>1.1770006418228149</v>
      </c>
      <c r="AE7" s="2">
        <v>1.1223959922790527</v>
      </c>
      <c r="AF7" s="2">
        <v>1.0965025424957275</v>
      </c>
      <c r="AG7" s="2">
        <v>1.1484733819961548</v>
      </c>
      <c r="AH7" s="2">
        <v>0.59046822786331177</v>
      </c>
      <c r="AI7" s="2">
        <v>0.45537200570106506</v>
      </c>
      <c r="AJ7" s="3">
        <f t="shared" si="7"/>
        <v>288961</v>
      </c>
      <c r="AK7" s="3">
        <v>134910</v>
      </c>
      <c r="AL7" s="3">
        <v>154051</v>
      </c>
      <c r="AM7" s="2">
        <v>1.2256986478757299</v>
      </c>
      <c r="AN7" s="2">
        <v>1.1430459074121</v>
      </c>
      <c r="AO7" s="2">
        <v>1.0780865741230501</v>
      </c>
      <c r="AP7" s="2">
        <v>1.14803740435431</v>
      </c>
      <c r="AQ7" s="2">
        <v>1.3408956442825299</v>
      </c>
      <c r="AR7" s="2">
        <v>1.18139010568804</v>
      </c>
      <c r="AS7" s="3">
        <v>78380</v>
      </c>
      <c r="AT7" s="23">
        <v>1.4486358574610201</v>
      </c>
      <c r="AU7" s="23">
        <v>1.24763241075875</v>
      </c>
      <c r="AV7" s="17"/>
      <c r="AW7" s="18">
        <f t="shared" si="0"/>
        <v>0.67241151402250754</v>
      </c>
      <c r="AX7" s="18">
        <f t="shared" si="1"/>
        <v>0.32758848597749252</v>
      </c>
      <c r="AY7" s="18">
        <f t="shared" si="2"/>
        <v>0.34681970385472638</v>
      </c>
      <c r="AZ7" s="18">
        <f t="shared" si="3"/>
        <v>0.65318029614527351</v>
      </c>
      <c r="BA7" s="18">
        <v>1.7914760000000001</v>
      </c>
      <c r="BB7" s="18">
        <v>0.63456000000000001</v>
      </c>
      <c r="BC7" s="18">
        <v>0.36543999999999999</v>
      </c>
      <c r="BD7" s="18">
        <v>0.64724230000000005</v>
      </c>
      <c r="BE7" s="18">
        <v>0</v>
      </c>
      <c r="BF7" s="18">
        <v>1.1895020000000001</v>
      </c>
      <c r="BG7" s="18">
        <v>1.1895020000000001</v>
      </c>
      <c r="BH7" s="18">
        <v>1</v>
      </c>
      <c r="BI7" s="18">
        <v>0.83056479999999999</v>
      </c>
      <c r="BJ7" s="18">
        <v>0.27993289999999998</v>
      </c>
      <c r="BK7" s="18">
        <v>0.72006709999999996</v>
      </c>
      <c r="BL7" s="18">
        <v>0.29117480000000001</v>
      </c>
      <c r="BM7" s="18">
        <v>3.9300000000000004E-15</v>
      </c>
      <c r="BN7" s="18">
        <v>1.1664319999999999</v>
      </c>
      <c r="BO7" s="18">
        <v>1.1664319999999999</v>
      </c>
      <c r="BP7" s="18">
        <v>1</v>
      </c>
      <c r="BQ7" s="18">
        <v>0.44890160000000001</v>
      </c>
      <c r="BR7" s="18">
        <v>0.34446149999999998</v>
      </c>
      <c r="BS7" s="18">
        <v>0.65553839999999997</v>
      </c>
      <c r="BT7" s="18">
        <v>0.55497370000000001</v>
      </c>
      <c r="BU7" s="18">
        <v>0.69686530000000002</v>
      </c>
      <c r="BV7" s="18">
        <v>0.44306980000000001</v>
      </c>
      <c r="BW7" s="18">
        <v>1.1337539999999999</v>
      </c>
      <c r="BX7" s="18">
        <v>1.1921600000000001</v>
      </c>
      <c r="BY7" s="18">
        <v>1.051515</v>
      </c>
      <c r="BZ7" s="18">
        <v>0</v>
      </c>
      <c r="CA7" s="18">
        <v>0.67135250000000002</v>
      </c>
      <c r="CB7" s="18">
        <v>0.32864749999999998</v>
      </c>
      <c r="CC7" s="18">
        <v>0.35471029999999998</v>
      </c>
      <c r="CD7" s="18">
        <v>0.64528969999999997</v>
      </c>
      <c r="CE7" s="18">
        <v>1.646636</v>
      </c>
      <c r="CF7" s="18">
        <v>1.3460380000000001</v>
      </c>
      <c r="CG7" s="18">
        <v>1.176132</v>
      </c>
      <c r="CH7" s="18">
        <v>1.1678040000000001</v>
      </c>
      <c r="CI7" s="18">
        <v>1.056656</v>
      </c>
      <c r="CJ7" s="18">
        <v>0.97759649999999998</v>
      </c>
      <c r="CK7" s="18">
        <v>0.92517939999999999</v>
      </c>
      <c r="CL7" s="18">
        <v>0.91624499999999998</v>
      </c>
      <c r="CM7" s="18">
        <v>0.56350199999999995</v>
      </c>
      <c r="CN7" s="18">
        <v>0.60514999999999997</v>
      </c>
      <c r="CO7" s="18">
        <v>0.53786230000000002</v>
      </c>
      <c r="CP7" s="18">
        <v>7.6823000000000004E-3</v>
      </c>
      <c r="CQ7" s="18">
        <v>1.6043499999999999E-2</v>
      </c>
      <c r="CR7" s="18">
        <v>8.2629999999999997E-4</v>
      </c>
      <c r="CS7" s="18">
        <v>1.06979</v>
      </c>
      <c r="CT7" s="18">
        <v>1.1238217488434394</v>
      </c>
      <c r="CU7" s="18">
        <v>1.0258359694239509</v>
      </c>
      <c r="CV7" s="18">
        <v>0.94225510000000001</v>
      </c>
      <c r="CW7" s="18">
        <v>1.0244679999999999</v>
      </c>
      <c r="CX7" s="18">
        <v>1.0525929999999999</v>
      </c>
      <c r="CY7" s="18">
        <v>1.020643644789526</v>
      </c>
      <c r="CZ7" s="17"/>
      <c r="DG7" s="17"/>
      <c r="DI7" s="11"/>
      <c r="DJ7" s="33"/>
    </row>
    <row r="8" spans="1:114" x14ac:dyDescent="0.3">
      <c r="A8" s="5">
        <v>1953</v>
      </c>
      <c r="B8" s="3">
        <v>159565</v>
      </c>
      <c r="C8" s="3">
        <v>389218</v>
      </c>
      <c r="D8" s="35">
        <v>1.3248945147679301</v>
      </c>
      <c r="E8" s="2">
        <v>1.17689900349357</v>
      </c>
      <c r="F8" s="3">
        <v>232740</v>
      </c>
      <c r="G8" s="3">
        <v>60414</v>
      </c>
      <c r="H8" s="3">
        <v>70099</v>
      </c>
      <c r="I8" s="3">
        <v>26666</v>
      </c>
      <c r="J8" s="3">
        <v>-701</v>
      </c>
      <c r="K8" s="3">
        <f t="shared" si="4"/>
        <v>389775</v>
      </c>
      <c r="L8" s="3">
        <f t="shared" si="5"/>
        <v>162213</v>
      </c>
      <c r="M8" s="3">
        <f t="shared" si="6"/>
        <v>227562</v>
      </c>
      <c r="N8" s="23">
        <v>1.2017487287521362</v>
      </c>
      <c r="O8" s="23">
        <v>1.1407756805419922</v>
      </c>
      <c r="P8" s="23">
        <v>1.2486197948455811</v>
      </c>
      <c r="Q8" s="22">
        <v>57332.42</v>
      </c>
      <c r="R8" s="22">
        <v>104880.58</v>
      </c>
      <c r="S8" s="22">
        <v>27784.58</v>
      </c>
      <c r="T8" s="22">
        <v>199777.42</v>
      </c>
      <c r="U8" s="3">
        <v>202171.125</v>
      </c>
      <c r="V8" s="3">
        <v>100464.3984375</v>
      </c>
      <c r="W8" s="3">
        <v>101706.7265625</v>
      </c>
      <c r="X8" s="2">
        <v>0.52168631553649902</v>
      </c>
      <c r="Y8" s="2">
        <v>1.2981324195861816</v>
      </c>
      <c r="Z8" s="2">
        <v>1.3923352956771851</v>
      </c>
      <c r="AA8" s="2">
        <v>1.2333548069000244</v>
      </c>
      <c r="AB8" s="2">
        <v>1.2526760101318359</v>
      </c>
      <c r="AC8" s="2">
        <v>1.2997132539749146</v>
      </c>
      <c r="AD8" s="2">
        <v>1.2272723913192749</v>
      </c>
      <c r="AE8" s="2">
        <v>1.1475481986999512</v>
      </c>
      <c r="AF8" s="2">
        <v>1.1255636215209961</v>
      </c>
      <c r="AG8" s="2">
        <v>1.1696478128433228</v>
      </c>
      <c r="AH8" s="2">
        <v>0.6097874641418457</v>
      </c>
      <c r="AI8" s="2">
        <v>0.45731297135353088</v>
      </c>
      <c r="AJ8" s="3">
        <f t="shared" si="7"/>
        <v>304086</v>
      </c>
      <c r="AK8" s="3">
        <v>138220</v>
      </c>
      <c r="AL8" s="3">
        <v>165866</v>
      </c>
      <c r="AM8" s="2">
        <v>1.27091689406245</v>
      </c>
      <c r="AN8" s="2">
        <v>1.16007861643316</v>
      </c>
      <c r="AO8" s="2">
        <v>1.12024688543236</v>
      </c>
      <c r="AP8" s="2">
        <v>1.1319380968697701</v>
      </c>
      <c r="AQ8" s="2">
        <v>1.3975040059889701</v>
      </c>
      <c r="AR8" s="2">
        <v>1.2204727786732099</v>
      </c>
      <c r="AS8" s="3">
        <v>85132</v>
      </c>
      <c r="AT8" s="23">
        <v>1.5702951002227099</v>
      </c>
      <c r="AU8" s="23">
        <v>1.2501213745767901</v>
      </c>
      <c r="AV8" s="17"/>
      <c r="AW8" s="18">
        <f t="shared" si="0"/>
        <v>0.67357190690461366</v>
      </c>
      <c r="AX8" s="18">
        <f t="shared" si="1"/>
        <v>0.3264280930953864</v>
      </c>
      <c r="AY8" s="18">
        <f t="shared" si="2"/>
        <v>0.3442567731686022</v>
      </c>
      <c r="AZ8" s="18">
        <f t="shared" si="3"/>
        <v>0.65574322683139785</v>
      </c>
      <c r="BA8" s="18">
        <v>1.853334</v>
      </c>
      <c r="BB8" s="18">
        <v>0.62635450000000004</v>
      </c>
      <c r="BC8" s="18">
        <v>0.37364550000000002</v>
      </c>
      <c r="BD8" s="18">
        <v>0.64724230000000005</v>
      </c>
      <c r="BE8" s="18">
        <v>0</v>
      </c>
      <c r="BF8" s="18">
        <v>1.249533</v>
      </c>
      <c r="BG8" s="18">
        <v>1.249533</v>
      </c>
      <c r="BH8" s="18">
        <v>1</v>
      </c>
      <c r="BI8" s="18">
        <v>0.83056479999999999</v>
      </c>
      <c r="BJ8" s="18">
        <v>0.27288869999999998</v>
      </c>
      <c r="BK8" s="18">
        <v>0.72711130000000002</v>
      </c>
      <c r="BL8" s="18">
        <v>0.29117480000000001</v>
      </c>
      <c r="BM8" s="18">
        <v>3.9300000000000004E-15</v>
      </c>
      <c r="BN8" s="18">
        <v>1.2101139999999999</v>
      </c>
      <c r="BO8" s="18">
        <v>1.2101139999999999</v>
      </c>
      <c r="BP8" s="18">
        <v>1</v>
      </c>
      <c r="BQ8" s="18">
        <v>0.44890160000000001</v>
      </c>
      <c r="BR8" s="18">
        <v>0.33415129999999998</v>
      </c>
      <c r="BS8" s="18">
        <v>0.66584869999999996</v>
      </c>
      <c r="BT8" s="18">
        <v>0.55497370000000001</v>
      </c>
      <c r="BU8" s="18">
        <v>0.69686530000000002</v>
      </c>
      <c r="BV8" s="18">
        <v>0.44306980000000001</v>
      </c>
      <c r="BW8" s="18">
        <v>1.1704589999999999</v>
      </c>
      <c r="BX8" s="18">
        <v>1.2440869999999999</v>
      </c>
      <c r="BY8" s="18">
        <v>1.062905</v>
      </c>
      <c r="BZ8" s="18">
        <v>0</v>
      </c>
      <c r="CA8" s="18">
        <v>0.67299690000000001</v>
      </c>
      <c r="CB8" s="18">
        <v>0.32700299999999999</v>
      </c>
      <c r="CC8" s="18">
        <v>0.34553889999999998</v>
      </c>
      <c r="CD8" s="18">
        <v>0.65446110000000002</v>
      </c>
      <c r="CE8" s="18">
        <v>1.8128489999999999</v>
      </c>
      <c r="CF8" s="18">
        <v>1.4230940000000001</v>
      </c>
      <c r="CG8" s="18">
        <v>1.2424170000000001</v>
      </c>
      <c r="CH8" s="18">
        <v>1.2045110000000001</v>
      </c>
      <c r="CI8" s="18">
        <v>1.094536</v>
      </c>
      <c r="CJ8" s="18">
        <v>0.99882400000000005</v>
      </c>
      <c r="CK8" s="18">
        <v>0.91255489999999995</v>
      </c>
      <c r="CL8" s="18">
        <v>0.9280661</v>
      </c>
      <c r="CM8" s="18">
        <v>0.56350199999999995</v>
      </c>
      <c r="CN8" s="18">
        <v>0.60514999999999997</v>
      </c>
      <c r="CO8" s="18">
        <v>0.53786230000000002</v>
      </c>
      <c r="CP8" s="18">
        <v>1.7575400000000001E-2</v>
      </c>
      <c r="CQ8" s="18">
        <v>3.3087699999999998E-2</v>
      </c>
      <c r="CR8" s="18">
        <v>6.5195000000000001E-3</v>
      </c>
      <c r="CS8" s="18">
        <v>1.0887579999999999</v>
      </c>
      <c r="CT8" s="18">
        <v>1.1616130762327979</v>
      </c>
      <c r="CU8" s="18">
        <v>1.0325297723107383</v>
      </c>
      <c r="CV8" s="18">
        <v>0.94016379999999999</v>
      </c>
      <c r="CW8" s="18">
        <v>1.046052</v>
      </c>
      <c r="CX8" s="18">
        <v>1.0671079999999999</v>
      </c>
      <c r="CY8" s="18">
        <v>1.0461721427672477</v>
      </c>
      <c r="CZ8" s="17"/>
      <c r="DG8" s="17"/>
      <c r="DI8" s="11"/>
      <c r="DJ8" s="33"/>
    </row>
    <row r="9" spans="1:114" x14ac:dyDescent="0.3">
      <c r="A9" s="5">
        <v>1954</v>
      </c>
      <c r="B9" s="3">
        <v>162391</v>
      </c>
      <c r="C9" s="3">
        <v>390549</v>
      </c>
      <c r="D9" s="35">
        <v>1.31726366819284</v>
      </c>
      <c r="E9" s="2">
        <v>1.1877646534920201</v>
      </c>
      <c r="F9" s="3">
        <v>239608</v>
      </c>
      <c r="G9" s="3">
        <v>58070</v>
      </c>
      <c r="H9" s="3">
        <v>67071</v>
      </c>
      <c r="I9" s="3">
        <v>25396</v>
      </c>
      <c r="J9" s="3">
        <v>404</v>
      </c>
      <c r="K9" s="3">
        <f t="shared" si="4"/>
        <v>391158</v>
      </c>
      <c r="L9" s="3">
        <f t="shared" si="5"/>
        <v>156961</v>
      </c>
      <c r="M9" s="3">
        <f t="shared" si="6"/>
        <v>234197</v>
      </c>
      <c r="N9" s="23">
        <v>1.209134578704834</v>
      </c>
      <c r="O9" s="23">
        <v>1.1348470449447632</v>
      </c>
      <c r="P9" s="23">
        <v>1.2664122581481934</v>
      </c>
      <c r="Q9" s="22">
        <v>56323.78</v>
      </c>
      <c r="R9" s="22">
        <v>100637.22</v>
      </c>
      <c r="S9" s="22">
        <v>29072.22</v>
      </c>
      <c r="T9" s="22">
        <v>205124.78</v>
      </c>
      <c r="U9" s="3">
        <v>197065.75</v>
      </c>
      <c r="V9" s="3">
        <v>94278.421875</v>
      </c>
      <c r="W9" s="3">
        <v>102787.3203125</v>
      </c>
      <c r="X9" s="2">
        <v>0.5230979323387146</v>
      </c>
      <c r="Y9" s="2">
        <v>1.2953529357910156</v>
      </c>
      <c r="Z9" s="2">
        <v>1.3550273180007935</v>
      </c>
      <c r="AA9" s="2">
        <v>1.2526968717575073</v>
      </c>
      <c r="AB9" s="2">
        <v>1.3126991987228394</v>
      </c>
      <c r="AC9" s="2">
        <v>1.3659058809280396</v>
      </c>
      <c r="AD9" s="2">
        <v>1.2842284440994263</v>
      </c>
      <c r="AE9" s="2">
        <v>1.1093044281005859</v>
      </c>
      <c r="AF9" s="2">
        <v>1.0536787509918213</v>
      </c>
      <c r="AG9" s="2">
        <v>1.1657497882843018</v>
      </c>
      <c r="AH9" s="2">
        <v>0.61557263135910034</v>
      </c>
      <c r="AI9" s="2">
        <v>0.45758900046348572</v>
      </c>
      <c r="AJ9" s="3">
        <f t="shared" si="7"/>
        <v>305146</v>
      </c>
      <c r="AK9" s="3">
        <v>136405</v>
      </c>
      <c r="AL9" s="3">
        <v>168741</v>
      </c>
      <c r="AM9" s="2">
        <v>1.2617433762319099</v>
      </c>
      <c r="AN9" s="2">
        <v>1.17258624756304</v>
      </c>
      <c r="AO9" s="2">
        <v>1.14494247271352</v>
      </c>
      <c r="AP9" s="2">
        <v>1.0929798542036799</v>
      </c>
      <c r="AQ9" s="2">
        <v>1.3831221664434299</v>
      </c>
      <c r="AR9" s="2">
        <v>1.25453812649104</v>
      </c>
      <c r="AS9" s="3">
        <v>85403</v>
      </c>
      <c r="AT9" s="23">
        <v>1.56945991091314</v>
      </c>
      <c r="AU9" s="23">
        <v>1.2547682464882099</v>
      </c>
      <c r="AV9" s="17"/>
      <c r="AW9" s="18">
        <f t="shared" si="0"/>
        <v>0.65955993254953393</v>
      </c>
      <c r="AX9" s="18">
        <f t="shared" si="1"/>
        <v>0.34044006745046607</v>
      </c>
      <c r="AY9" s="18">
        <f t="shared" si="2"/>
        <v>0.32913579843145979</v>
      </c>
      <c r="AZ9" s="18">
        <f t="shared" si="3"/>
        <v>0.67086420156854021</v>
      </c>
      <c r="BA9" s="18">
        <v>1.8287739999999999</v>
      </c>
      <c r="BB9" s="18">
        <v>0.62181260000000005</v>
      </c>
      <c r="BC9" s="18">
        <v>0.37818740000000001</v>
      </c>
      <c r="BD9" s="18">
        <v>0.64724230000000005</v>
      </c>
      <c r="BE9" s="18">
        <v>0</v>
      </c>
      <c r="BF9" s="18">
        <v>1.2522200000000001</v>
      </c>
      <c r="BG9" s="18">
        <v>1.252221</v>
      </c>
      <c r="BH9" s="18">
        <v>1</v>
      </c>
      <c r="BI9" s="18">
        <v>0.83056479999999999</v>
      </c>
      <c r="BJ9" s="18">
        <v>0.26906429999999998</v>
      </c>
      <c r="BK9" s="18">
        <v>0.73093569999999997</v>
      </c>
      <c r="BL9" s="18">
        <v>0.29117480000000001</v>
      </c>
      <c r="BM9" s="18">
        <v>3.9300000000000004E-15</v>
      </c>
      <c r="BN9" s="18">
        <v>1.2044539999999999</v>
      </c>
      <c r="BO9" s="18">
        <v>1.2044539999999999</v>
      </c>
      <c r="BP9" s="18">
        <v>1</v>
      </c>
      <c r="BQ9" s="18">
        <v>0.44890160000000001</v>
      </c>
      <c r="BR9" s="18">
        <v>0.33474150000000003</v>
      </c>
      <c r="BS9" s="18">
        <v>0.66525849999999997</v>
      </c>
      <c r="BT9" s="18">
        <v>0.55497370000000001</v>
      </c>
      <c r="BU9" s="18">
        <v>0.69686530000000002</v>
      </c>
      <c r="BV9" s="18">
        <v>0.44306980000000001</v>
      </c>
      <c r="BW9" s="18">
        <v>1.1836310000000001</v>
      </c>
      <c r="BX9" s="18">
        <v>1.2306980000000001</v>
      </c>
      <c r="BY9" s="18">
        <v>1.0397639999999999</v>
      </c>
      <c r="BZ9" s="18">
        <v>0</v>
      </c>
      <c r="CA9" s="18">
        <v>0.6665664</v>
      </c>
      <c r="CB9" s="18">
        <v>0.3334336</v>
      </c>
      <c r="CC9" s="18">
        <v>0.33669680000000002</v>
      </c>
      <c r="CD9" s="18">
        <v>0.66330319999999998</v>
      </c>
      <c r="CE9" s="18">
        <v>1.7900640000000001</v>
      </c>
      <c r="CF9" s="18">
        <v>1.468032</v>
      </c>
      <c r="CG9" s="18">
        <v>1.199101</v>
      </c>
      <c r="CH9" s="18">
        <v>1.2201029999999999</v>
      </c>
      <c r="CI9" s="18">
        <v>1.1159319999999999</v>
      </c>
      <c r="CJ9" s="18">
        <v>1.0093350000000001</v>
      </c>
      <c r="CK9" s="18">
        <v>0.90447730000000004</v>
      </c>
      <c r="CL9" s="18">
        <v>0.93466369999999999</v>
      </c>
      <c r="CM9" s="18">
        <v>0.56350199999999995</v>
      </c>
      <c r="CN9" s="18">
        <v>0.60514999999999997</v>
      </c>
      <c r="CO9" s="18">
        <v>0.53786230000000002</v>
      </c>
      <c r="CP9" s="18">
        <v>-3.4734000000000002E-3</v>
      </c>
      <c r="CQ9" s="18">
        <v>-1.1654400000000001E-2</v>
      </c>
      <c r="CR9" s="18">
        <v>-2.3594000000000002E-3</v>
      </c>
      <c r="CS9" s="18">
        <v>1.084983</v>
      </c>
      <c r="CT9" s="18">
        <v>1.1480665919279096</v>
      </c>
      <c r="CU9" s="18">
        <v>1.0300635729177305</v>
      </c>
      <c r="CV9" s="18">
        <v>0.93787500000000001</v>
      </c>
      <c r="CW9" s="18">
        <v>1.0350550000000001</v>
      </c>
      <c r="CX9" s="18">
        <v>1.061941</v>
      </c>
      <c r="CY9" s="18">
        <v>1.0445505297077573</v>
      </c>
      <c r="CZ9" s="17"/>
      <c r="DG9" s="17"/>
      <c r="DI9" s="11"/>
      <c r="DJ9" s="33"/>
    </row>
    <row r="10" spans="1:114" x14ac:dyDescent="0.3">
      <c r="A10" s="5">
        <v>1955</v>
      </c>
      <c r="B10" s="3">
        <v>165275</v>
      </c>
      <c r="C10" s="3">
        <v>425478</v>
      </c>
      <c r="D10" s="35">
        <v>1.41125774306491</v>
      </c>
      <c r="E10" s="2">
        <v>1.2078092514988501</v>
      </c>
      <c r="F10" s="3">
        <v>258288</v>
      </c>
      <c r="G10" s="3">
        <v>73754</v>
      </c>
      <c r="H10" s="3">
        <v>68600</v>
      </c>
      <c r="I10" s="3">
        <v>24358</v>
      </c>
      <c r="J10" s="3">
        <v>478</v>
      </c>
      <c r="K10" s="3">
        <f t="shared" si="4"/>
        <v>426183</v>
      </c>
      <c r="L10" s="3">
        <f t="shared" si="5"/>
        <v>172825.99</v>
      </c>
      <c r="M10" s="3">
        <f t="shared" si="6"/>
        <v>253357.01</v>
      </c>
      <c r="N10" s="23">
        <v>1.2268844842910767</v>
      </c>
      <c r="O10" s="23">
        <v>1.1406246423721313</v>
      </c>
      <c r="P10" s="23">
        <v>1.2934666872024536</v>
      </c>
      <c r="Q10" s="22">
        <v>60982.58</v>
      </c>
      <c r="R10" s="22">
        <v>111843.41</v>
      </c>
      <c r="S10" s="22">
        <v>32149.42</v>
      </c>
      <c r="T10" s="22">
        <v>221207.59</v>
      </c>
      <c r="U10" s="3">
        <v>222725.765625</v>
      </c>
      <c r="V10" s="3">
        <v>105471.140625</v>
      </c>
      <c r="W10" s="3">
        <v>117254.625</v>
      </c>
      <c r="X10" s="2">
        <v>0.52529972791671753</v>
      </c>
      <c r="Y10" s="2">
        <v>1.3892884254455566</v>
      </c>
      <c r="Z10" s="2">
        <v>1.4808347225189209</v>
      </c>
      <c r="AA10" s="2">
        <v>1.3262104988098145</v>
      </c>
      <c r="AB10" s="2">
        <v>1.3686519861221313</v>
      </c>
      <c r="AC10" s="2">
        <v>1.4175570011138916</v>
      </c>
      <c r="AD10" s="2">
        <v>1.3420835733413696</v>
      </c>
      <c r="AE10" s="2">
        <v>1.1472072601318359</v>
      </c>
      <c r="AF10" s="2">
        <v>1.1026390790939331</v>
      </c>
      <c r="AG10" s="2">
        <v>1.192705512046814</v>
      </c>
      <c r="AH10" s="2">
        <v>0.61157941818237305</v>
      </c>
      <c r="AI10" s="2">
        <v>0.46566823124885559</v>
      </c>
      <c r="AJ10" s="3">
        <f t="shared" si="7"/>
        <v>332353</v>
      </c>
      <c r="AK10" s="3">
        <v>155282</v>
      </c>
      <c r="AL10" s="3">
        <v>177071</v>
      </c>
      <c r="AM10" s="2">
        <v>1.35151057687253</v>
      </c>
      <c r="AN10" s="2">
        <v>1.1923075744659599</v>
      </c>
      <c r="AO10" s="2">
        <v>1.2497306327270401</v>
      </c>
      <c r="AP10" s="2">
        <v>1.13990913578524</v>
      </c>
      <c r="AQ10" s="2">
        <v>1.41020125400243</v>
      </c>
      <c r="AR10" s="2">
        <v>1.2911899316739099</v>
      </c>
      <c r="AS10" s="3">
        <v>93125</v>
      </c>
      <c r="AT10" s="23">
        <v>1.6826280623608001</v>
      </c>
      <c r="AU10" s="23">
        <v>1.2762001111074801</v>
      </c>
      <c r="AV10" s="17"/>
      <c r="AW10" s="18">
        <f t="shared" si="0"/>
        <v>0.65479727698320667</v>
      </c>
      <c r="AX10" s="18">
        <f t="shared" si="1"/>
        <v>0.34520272301679333</v>
      </c>
      <c r="AY10" s="18">
        <f t="shared" si="2"/>
        <v>0.33581466502127305</v>
      </c>
      <c r="AZ10" s="18">
        <f t="shared" si="3"/>
        <v>0.664185334978727</v>
      </c>
      <c r="BA10" s="18">
        <v>1.9543429999999999</v>
      </c>
      <c r="BB10" s="18">
        <v>0.61802869999999999</v>
      </c>
      <c r="BC10" s="18">
        <v>0.38197130000000001</v>
      </c>
      <c r="BD10" s="18">
        <v>0.64724230000000005</v>
      </c>
      <c r="BE10" s="18">
        <v>0</v>
      </c>
      <c r="BF10" s="18">
        <v>1.346822</v>
      </c>
      <c r="BG10" s="18">
        <v>1.346822</v>
      </c>
      <c r="BH10" s="18">
        <v>1</v>
      </c>
      <c r="BI10" s="18">
        <v>0.83056479999999999</v>
      </c>
      <c r="BJ10" s="18">
        <v>0.26591759999999998</v>
      </c>
      <c r="BK10" s="18">
        <v>0.73408249999999997</v>
      </c>
      <c r="BL10" s="18">
        <v>0.29117480000000001</v>
      </c>
      <c r="BM10" s="18">
        <v>3.9300000000000004E-15</v>
      </c>
      <c r="BN10" s="18">
        <v>1.2881359999999999</v>
      </c>
      <c r="BO10" s="18">
        <v>1.2881359999999999</v>
      </c>
      <c r="BP10" s="18">
        <v>1</v>
      </c>
      <c r="BQ10" s="18">
        <v>0.44890160000000001</v>
      </c>
      <c r="BR10" s="18">
        <v>0.32280340000000002</v>
      </c>
      <c r="BS10" s="18">
        <v>0.67719660000000004</v>
      </c>
      <c r="BT10" s="18">
        <v>0.55497370000000001</v>
      </c>
      <c r="BU10" s="18">
        <v>0.69686530000000002</v>
      </c>
      <c r="BV10" s="18">
        <v>0.44306980000000001</v>
      </c>
      <c r="BW10" s="18">
        <v>1.235166</v>
      </c>
      <c r="BX10" s="18">
        <v>1.3340780000000001</v>
      </c>
      <c r="BY10" s="18">
        <v>1.0800799999999999</v>
      </c>
      <c r="BZ10" s="18">
        <v>0</v>
      </c>
      <c r="CA10" s="18">
        <v>0.65717630000000005</v>
      </c>
      <c r="CB10" s="18">
        <v>0.34282370000000001</v>
      </c>
      <c r="CC10" s="18">
        <v>0.33247520000000003</v>
      </c>
      <c r="CD10" s="18">
        <v>0.66752480000000003</v>
      </c>
      <c r="CE10" s="18">
        <v>1.9280219999999999</v>
      </c>
      <c r="CF10" s="18">
        <v>1.589191</v>
      </c>
      <c r="CG10" s="18">
        <v>1.323906</v>
      </c>
      <c r="CH10" s="18">
        <v>1.286348</v>
      </c>
      <c r="CI10" s="18">
        <v>1.133999</v>
      </c>
      <c r="CJ10" s="18">
        <v>1.0135259999999999</v>
      </c>
      <c r="CK10" s="18">
        <v>0.89376299999999997</v>
      </c>
      <c r="CL10" s="18">
        <v>0.93437809999999999</v>
      </c>
      <c r="CM10" s="18">
        <v>0.56350199999999995</v>
      </c>
      <c r="CN10" s="18">
        <v>0.60514999999999997</v>
      </c>
      <c r="CO10" s="18">
        <v>0.53786230000000002</v>
      </c>
      <c r="CP10" s="18">
        <v>3.2856499999999997E-2</v>
      </c>
      <c r="CQ10" s="18">
        <v>4.6989200000000002E-2</v>
      </c>
      <c r="CR10" s="18">
        <v>2.4910999999999999E-2</v>
      </c>
      <c r="CS10" s="18">
        <v>1.121224</v>
      </c>
      <c r="CT10" s="18">
        <v>1.2033073664078522</v>
      </c>
      <c r="CU10" s="18">
        <v>1.0560310613517379</v>
      </c>
      <c r="CV10" s="18">
        <v>0.93188159999999998</v>
      </c>
      <c r="CW10" s="18">
        <v>1.0689010000000001</v>
      </c>
      <c r="CX10" s="18">
        <v>1.095167</v>
      </c>
      <c r="CY10" s="18">
        <v>1.0781542273510138</v>
      </c>
      <c r="CZ10" s="17"/>
      <c r="DG10" s="17"/>
      <c r="DI10" s="11"/>
      <c r="DJ10" s="33"/>
    </row>
    <row r="11" spans="1:114" x14ac:dyDescent="0.3">
      <c r="A11" s="5">
        <v>1956</v>
      </c>
      <c r="B11" s="3">
        <v>168221</v>
      </c>
      <c r="C11" s="3">
        <v>449353</v>
      </c>
      <c r="D11" s="35">
        <v>1.44133225603735</v>
      </c>
      <c r="E11" s="2">
        <v>1.24896744969254</v>
      </c>
      <c r="F11" s="3">
        <v>271128</v>
      </c>
      <c r="G11" s="3">
        <v>77685</v>
      </c>
      <c r="H11" s="3">
        <v>71034</v>
      </c>
      <c r="I11" s="3">
        <v>27146</v>
      </c>
      <c r="J11" s="3">
        <v>2361</v>
      </c>
      <c r="K11" s="3">
        <f t="shared" si="4"/>
        <v>450145</v>
      </c>
      <c r="L11" s="3">
        <f t="shared" si="5"/>
        <v>181049</v>
      </c>
      <c r="M11" s="3">
        <f t="shared" si="6"/>
        <v>269096</v>
      </c>
      <c r="N11" s="23">
        <v>1.2759667634963989</v>
      </c>
      <c r="O11" s="23">
        <v>1.1956124305725098</v>
      </c>
      <c r="P11" s="23">
        <v>1.3379197120666504</v>
      </c>
      <c r="Q11" s="22">
        <v>66146.36</v>
      </c>
      <c r="R11" s="22">
        <v>114902.64</v>
      </c>
      <c r="S11" s="22">
        <v>34725.64</v>
      </c>
      <c r="T11" s="22">
        <v>234370.36</v>
      </c>
      <c r="U11" s="3">
        <v>236725.03125</v>
      </c>
      <c r="V11" s="3">
        <v>110789.296875</v>
      </c>
      <c r="W11" s="3">
        <v>125935.7421875</v>
      </c>
      <c r="X11" s="2">
        <v>0.53673189878463745</v>
      </c>
      <c r="Y11" s="2">
        <v>1.4119004011154175</v>
      </c>
      <c r="Z11" s="2">
        <v>1.4807370901107788</v>
      </c>
      <c r="AA11" s="2">
        <v>1.3629989624023438</v>
      </c>
      <c r="AB11" s="2">
        <v>1.4350333213806152</v>
      </c>
      <c r="AC11" s="2">
        <v>1.492082953453064</v>
      </c>
      <c r="AD11" s="2">
        <v>1.4044022560119629</v>
      </c>
      <c r="AE11" s="2">
        <v>1.1731125116348267</v>
      </c>
      <c r="AF11" s="2">
        <v>1.1196023225784302</v>
      </c>
      <c r="AG11" s="2">
        <v>1.2273250818252563</v>
      </c>
      <c r="AH11" s="2">
        <v>0.61785441637039185</v>
      </c>
      <c r="AI11" s="2">
        <v>0.48059511184692383</v>
      </c>
      <c r="AJ11" s="3">
        <f t="shared" si="7"/>
        <v>348472</v>
      </c>
      <c r="AK11" s="3">
        <v>160857</v>
      </c>
      <c r="AL11" s="3">
        <v>187615</v>
      </c>
      <c r="AM11" s="2">
        <v>1.3812879929306601</v>
      </c>
      <c r="AN11" s="2">
        <v>1.22318402289744</v>
      </c>
      <c r="AO11" s="2">
        <v>1.2804528588797199</v>
      </c>
      <c r="AP11" s="2">
        <v>1.15250257423939</v>
      </c>
      <c r="AQ11" s="2">
        <v>1.44840152314366</v>
      </c>
      <c r="AR11" s="2">
        <v>1.33199431824198</v>
      </c>
      <c r="AS11" s="3">
        <v>100881</v>
      </c>
      <c r="AT11" s="23">
        <v>1.7142260579064501</v>
      </c>
      <c r="AU11" s="23">
        <v>1.3570064318342101</v>
      </c>
      <c r="AV11" s="17"/>
      <c r="AW11" s="18">
        <f t="shared" si="0"/>
        <v>0.65574549924656989</v>
      </c>
      <c r="AX11" s="18">
        <f t="shared" si="1"/>
        <v>0.34425450075343006</v>
      </c>
      <c r="AY11" s="18">
        <f t="shared" si="2"/>
        <v>0.32897658851385592</v>
      </c>
      <c r="AZ11" s="18">
        <f t="shared" si="3"/>
        <v>0.67102341148614408</v>
      </c>
      <c r="BA11" s="18">
        <v>2.0148450000000002</v>
      </c>
      <c r="BB11" s="18">
        <v>0.62116159999999998</v>
      </c>
      <c r="BC11" s="18">
        <v>0.37883840000000002</v>
      </c>
      <c r="BD11" s="18">
        <v>0.64724230000000005</v>
      </c>
      <c r="BE11" s="18">
        <v>0</v>
      </c>
      <c r="BF11" s="18">
        <v>1.3551040000000001</v>
      </c>
      <c r="BG11" s="18">
        <v>1.3551040000000001</v>
      </c>
      <c r="BH11" s="18">
        <v>1</v>
      </c>
      <c r="BI11" s="18">
        <v>0.83056479999999999</v>
      </c>
      <c r="BJ11" s="18">
        <v>0.26852039999999999</v>
      </c>
      <c r="BK11" s="18">
        <v>0.73147960000000001</v>
      </c>
      <c r="BL11" s="18">
        <v>0.29117480000000001</v>
      </c>
      <c r="BM11" s="18">
        <v>3.9300000000000004E-15</v>
      </c>
      <c r="BN11" s="18">
        <v>1.3021419999999999</v>
      </c>
      <c r="BO11" s="18">
        <v>1.3021419999999999</v>
      </c>
      <c r="BP11" s="18">
        <v>1</v>
      </c>
      <c r="BQ11" s="18">
        <v>0.44890160000000001</v>
      </c>
      <c r="BR11" s="18">
        <v>0.3264049</v>
      </c>
      <c r="BS11" s="18">
        <v>0.6735951</v>
      </c>
      <c r="BT11" s="18">
        <v>0.55497370000000001</v>
      </c>
      <c r="BU11" s="18">
        <v>0.69686530000000002</v>
      </c>
      <c r="BV11" s="18">
        <v>0.44306980000000001</v>
      </c>
      <c r="BW11" s="18">
        <v>1.2502880000000001</v>
      </c>
      <c r="BX11" s="18">
        <v>1.346185</v>
      </c>
      <c r="BY11" s="18">
        <v>1.0766990000000001</v>
      </c>
      <c r="BZ11" s="18">
        <v>0</v>
      </c>
      <c r="CA11" s="18">
        <v>0.65527009999999997</v>
      </c>
      <c r="CB11" s="18">
        <v>0.34472989999999998</v>
      </c>
      <c r="CC11" s="18">
        <v>0.33239469999999999</v>
      </c>
      <c r="CD11" s="18">
        <v>0.66760520000000001</v>
      </c>
      <c r="CE11" s="18">
        <v>1.9954190000000001</v>
      </c>
      <c r="CF11" s="18">
        <v>1.6597900000000001</v>
      </c>
      <c r="CG11" s="18">
        <v>1.2983450000000001</v>
      </c>
      <c r="CH11" s="18">
        <v>1.318395</v>
      </c>
      <c r="CI11" s="18">
        <v>1.1190249999999999</v>
      </c>
      <c r="CJ11" s="18">
        <v>0.98589499999999997</v>
      </c>
      <c r="CK11" s="18">
        <v>0.88103070000000006</v>
      </c>
      <c r="CL11" s="18">
        <v>0.90149710000000005</v>
      </c>
      <c r="CM11" s="18">
        <v>0.56350199999999995</v>
      </c>
      <c r="CN11" s="18">
        <v>0.60514999999999997</v>
      </c>
      <c r="CO11" s="18">
        <v>0.53786230000000002</v>
      </c>
      <c r="CP11" s="18">
        <v>-1.7111399999999999E-2</v>
      </c>
      <c r="CQ11" s="18">
        <v>-3.1034300000000001E-2</v>
      </c>
      <c r="CR11" s="18">
        <v>-8.5736000000000007E-3</v>
      </c>
      <c r="CS11" s="18">
        <v>1.1022019999999999</v>
      </c>
      <c r="CT11" s="18">
        <v>1.1665095490682402</v>
      </c>
      <c r="CU11" s="18">
        <v>1.0470042735392213</v>
      </c>
      <c r="CV11" s="18">
        <v>0.91440650000000001</v>
      </c>
      <c r="CW11" s="18">
        <v>1.025533</v>
      </c>
      <c r="CX11" s="18">
        <v>1.079321</v>
      </c>
      <c r="CY11" s="18">
        <v>1.0359145020775968</v>
      </c>
      <c r="CZ11" s="17"/>
      <c r="DG11" s="17"/>
      <c r="DI11" s="11"/>
      <c r="DJ11" s="33"/>
    </row>
    <row r="12" spans="1:114" x14ac:dyDescent="0.3">
      <c r="A12" s="5">
        <v>1957</v>
      </c>
      <c r="B12" s="3">
        <v>171274</v>
      </c>
      <c r="C12" s="3">
        <v>474039</v>
      </c>
      <c r="D12" s="35">
        <v>1.47167609300655</v>
      </c>
      <c r="E12" s="2">
        <v>1.29041504792782</v>
      </c>
      <c r="F12" s="3">
        <v>286296</v>
      </c>
      <c r="G12" s="3">
        <v>76505</v>
      </c>
      <c r="H12" s="3">
        <v>76933</v>
      </c>
      <c r="I12" s="3">
        <v>30230</v>
      </c>
      <c r="J12" s="3">
        <v>4075</v>
      </c>
      <c r="K12" s="3">
        <f t="shared" si="4"/>
        <v>474861</v>
      </c>
      <c r="L12" s="3">
        <f t="shared" si="5"/>
        <v>187694</v>
      </c>
      <c r="M12" s="3">
        <f t="shared" si="6"/>
        <v>287167</v>
      </c>
      <c r="N12" s="23">
        <v>1.3188638687133789</v>
      </c>
      <c r="O12" s="23">
        <v>1.2357113361358643</v>
      </c>
      <c r="P12" s="23">
        <v>1.3829727172851563</v>
      </c>
      <c r="Q12" s="22">
        <v>69278.16</v>
      </c>
      <c r="R12" s="22">
        <v>118415.84</v>
      </c>
      <c r="S12" s="22">
        <v>36678.839999999997</v>
      </c>
      <c r="T12" s="22">
        <v>250488.16</v>
      </c>
      <c r="U12" s="3">
        <v>253734.328125</v>
      </c>
      <c r="V12" s="3">
        <v>117129.3359375</v>
      </c>
      <c r="W12" s="3">
        <v>136605</v>
      </c>
      <c r="X12" s="2">
        <v>0.54276019334793091</v>
      </c>
      <c r="Y12" s="2">
        <v>1.4398941993713379</v>
      </c>
      <c r="Z12" s="2">
        <v>1.4855481386184692</v>
      </c>
      <c r="AA12" s="2">
        <v>1.4055469036102295</v>
      </c>
      <c r="AB12" s="2">
        <v>1.4991930723190308</v>
      </c>
      <c r="AC12" s="2">
        <v>1.5631506443023682</v>
      </c>
      <c r="AD12" s="2">
        <v>1.4651618003845215</v>
      </c>
      <c r="AE12" s="2">
        <v>1.1725307703018188</v>
      </c>
      <c r="AF12" s="2">
        <v>1.1003443002700806</v>
      </c>
      <c r="AG12" s="2">
        <v>1.2448054552078247</v>
      </c>
      <c r="AH12" s="2">
        <v>0.62459021806716919</v>
      </c>
      <c r="AI12" s="2">
        <v>0.48731845617294312</v>
      </c>
      <c r="AJ12" s="3">
        <f t="shared" si="7"/>
        <v>368080</v>
      </c>
      <c r="AK12" s="3">
        <v>166650</v>
      </c>
      <c r="AL12" s="3">
        <v>201430</v>
      </c>
      <c r="AM12" s="2">
        <v>1.41336934788445</v>
      </c>
      <c r="AN12" s="2">
        <v>1.26269092754362</v>
      </c>
      <c r="AO12" s="2">
        <v>1.31012121739712</v>
      </c>
      <c r="AP12" s="2">
        <v>1.1669691396394799</v>
      </c>
      <c r="AQ12" s="2">
        <v>1.50096204149912</v>
      </c>
      <c r="AR12" s="2">
        <v>1.37999728154622</v>
      </c>
      <c r="AS12" s="3">
        <v>105957</v>
      </c>
      <c r="AT12" s="23">
        <v>1.7374721603563399</v>
      </c>
      <c r="AU12" s="23">
        <v>1.4062172428197399</v>
      </c>
      <c r="AV12" s="17"/>
      <c r="AW12" s="18">
        <f t="shared" si="0"/>
        <v>0.65383278122257149</v>
      </c>
      <c r="AX12" s="18">
        <f t="shared" si="1"/>
        <v>0.34616721877742856</v>
      </c>
      <c r="AY12" s="18">
        <f t="shared" si="2"/>
        <v>0.32099364604341507</v>
      </c>
      <c r="AZ12" s="18">
        <f t="shared" si="3"/>
        <v>0.67900635395658493</v>
      </c>
      <c r="BA12" s="18">
        <v>2.0882520000000002</v>
      </c>
      <c r="BB12" s="18">
        <v>0.62113079999999998</v>
      </c>
      <c r="BC12" s="18">
        <v>0.37886920000000002</v>
      </c>
      <c r="BD12" s="18">
        <v>0.64724230000000005</v>
      </c>
      <c r="BE12" s="18">
        <v>0</v>
      </c>
      <c r="BF12" s="18">
        <v>1.3834919999999999</v>
      </c>
      <c r="BG12" s="18">
        <v>1.3834919999999999</v>
      </c>
      <c r="BH12" s="18">
        <v>1</v>
      </c>
      <c r="BI12" s="18">
        <v>0.83056479999999999</v>
      </c>
      <c r="BJ12" s="18">
        <v>0.26849460000000003</v>
      </c>
      <c r="BK12" s="18">
        <v>0.73150539999999997</v>
      </c>
      <c r="BL12" s="18">
        <v>0.29117480000000001</v>
      </c>
      <c r="BM12" s="18">
        <v>3.9300000000000004E-15</v>
      </c>
      <c r="BN12" s="18">
        <v>1.329359</v>
      </c>
      <c r="BO12" s="18">
        <v>1.329359</v>
      </c>
      <c r="BP12" s="18">
        <v>1</v>
      </c>
      <c r="BQ12" s="18">
        <v>0.44890160000000001</v>
      </c>
      <c r="BR12" s="18">
        <v>0.32589269999999998</v>
      </c>
      <c r="BS12" s="18">
        <v>0.67410729999999996</v>
      </c>
      <c r="BT12" s="18">
        <v>0.55497370000000001</v>
      </c>
      <c r="BU12" s="18">
        <v>0.69686530000000002</v>
      </c>
      <c r="BV12" s="18">
        <v>0.44306980000000001</v>
      </c>
      <c r="BW12" s="18">
        <v>1.2745409999999999</v>
      </c>
      <c r="BX12" s="18">
        <v>1.3753200000000001</v>
      </c>
      <c r="BY12" s="18">
        <v>1.07907</v>
      </c>
      <c r="BZ12" s="18">
        <v>0</v>
      </c>
      <c r="CA12" s="18">
        <v>0.65478709999999996</v>
      </c>
      <c r="CB12" s="18">
        <v>0.34521289999999999</v>
      </c>
      <c r="CC12" s="18">
        <v>0.32498549999999998</v>
      </c>
      <c r="CD12" s="18">
        <v>0.67501449999999996</v>
      </c>
      <c r="CE12" s="18">
        <v>2.0219</v>
      </c>
      <c r="CF12" s="18">
        <v>1.6958789999999999</v>
      </c>
      <c r="CG12" s="18">
        <v>1.2934490000000001</v>
      </c>
      <c r="CH12" s="18">
        <v>1.3619140000000001</v>
      </c>
      <c r="CI12" s="18">
        <v>1.1191709999999999</v>
      </c>
      <c r="CJ12" s="18">
        <v>0.98346920000000004</v>
      </c>
      <c r="CK12" s="18">
        <v>0.87874759999999996</v>
      </c>
      <c r="CL12" s="18">
        <v>0.89803390000000005</v>
      </c>
      <c r="CM12" s="18">
        <v>0.56350199999999995</v>
      </c>
      <c r="CN12" s="18">
        <v>0.60514999999999997</v>
      </c>
      <c r="CO12" s="18">
        <v>0.53786230000000002</v>
      </c>
      <c r="CP12" s="18">
        <v>8.206E-4</v>
      </c>
      <c r="CQ12" s="18">
        <v>-7.2896000000000002E-3</v>
      </c>
      <c r="CR12" s="18">
        <v>4.2824999999999998E-3</v>
      </c>
      <c r="CS12" s="18">
        <v>1.1031059999999999</v>
      </c>
      <c r="CT12" s="18">
        <v>1.1579885768460338</v>
      </c>
      <c r="CU12" s="18">
        <v>1.0514782693094447</v>
      </c>
      <c r="CV12" s="18">
        <v>0.91207830000000001</v>
      </c>
      <c r="CW12" s="18">
        <v>1.0199260000000001</v>
      </c>
      <c r="CX12" s="18">
        <v>1.0805659999999999</v>
      </c>
      <c r="CY12" s="18">
        <v>1.0348674429339175</v>
      </c>
      <c r="CZ12" s="17"/>
      <c r="DG12" s="17"/>
      <c r="DI12" s="11"/>
      <c r="DJ12" s="33"/>
    </row>
    <row r="13" spans="1:114" x14ac:dyDescent="0.3">
      <c r="A13" s="5">
        <v>1958</v>
      </c>
      <c r="B13" s="3">
        <v>174141</v>
      </c>
      <c r="C13" s="3">
        <v>481229</v>
      </c>
      <c r="D13" s="35">
        <v>1.4608133584702401</v>
      </c>
      <c r="E13" s="2">
        <v>1.31972863489411</v>
      </c>
      <c r="F13" s="3">
        <v>295606</v>
      </c>
      <c r="G13" s="3">
        <v>70947</v>
      </c>
      <c r="H13" s="3">
        <v>81516</v>
      </c>
      <c r="I13" s="3">
        <v>32622</v>
      </c>
      <c r="J13" s="3">
        <v>538</v>
      </c>
      <c r="K13" s="3">
        <f t="shared" si="4"/>
        <v>482033</v>
      </c>
      <c r="L13" s="3">
        <f t="shared" si="5"/>
        <v>182753</v>
      </c>
      <c r="M13" s="3">
        <f t="shared" si="6"/>
        <v>299280</v>
      </c>
      <c r="N13" s="23">
        <v>1.3479708433151245</v>
      </c>
      <c r="O13" s="23">
        <v>1.2577725648880005</v>
      </c>
      <c r="P13" s="23">
        <v>1.4172757863998413</v>
      </c>
      <c r="Q13" s="22">
        <v>66354.100000000006</v>
      </c>
      <c r="R13" s="22">
        <v>116398.9</v>
      </c>
      <c r="S13" s="22">
        <v>37572.89</v>
      </c>
      <c r="T13" s="22">
        <v>261707.11</v>
      </c>
      <c r="U13" s="3">
        <v>259092.78125</v>
      </c>
      <c r="V13" s="3">
        <v>114589.171875</v>
      </c>
      <c r="W13" s="3">
        <v>144503.609375</v>
      </c>
      <c r="X13" s="2">
        <v>0.54902392625808716</v>
      </c>
      <c r="Y13" s="2">
        <v>1.4294916391372681</v>
      </c>
      <c r="Z13" s="2">
        <v>1.4226467609405518</v>
      </c>
      <c r="AA13" s="2">
        <v>1.4282722473144531</v>
      </c>
      <c r="AB13" s="2">
        <v>1.5537630319595337</v>
      </c>
      <c r="AC13" s="2">
        <v>1.6031262874603271</v>
      </c>
      <c r="AD13" s="2">
        <v>1.5260367393493652</v>
      </c>
      <c r="AE13" s="2">
        <v>1.1318778991699219</v>
      </c>
      <c r="AF13" s="2">
        <v>1.0229679346084595</v>
      </c>
      <c r="AG13" s="2">
        <v>1.2395186424255371</v>
      </c>
      <c r="AH13" s="2">
        <v>0.63180476427078247</v>
      </c>
      <c r="AI13" s="2">
        <v>0.49545541405677795</v>
      </c>
      <c r="AJ13" s="3">
        <f t="shared" si="7"/>
        <v>377294</v>
      </c>
      <c r="AK13" s="3">
        <v>164665</v>
      </c>
      <c r="AL13" s="3">
        <v>212629</v>
      </c>
      <c r="AM13" s="2">
        <v>1.40908420336218</v>
      </c>
      <c r="AN13" s="2">
        <v>1.29822838653379</v>
      </c>
      <c r="AO13" s="2">
        <v>1.2713855480125</v>
      </c>
      <c r="AP13" s="2">
        <v>1.1882000367374099</v>
      </c>
      <c r="AQ13" s="2">
        <v>1.5350515171312999</v>
      </c>
      <c r="AR13" s="2">
        <v>1.4243716757487701</v>
      </c>
      <c r="AS13" s="3">
        <v>103935</v>
      </c>
      <c r="AT13" s="23">
        <v>1.69807906458797</v>
      </c>
      <c r="AU13" s="23">
        <v>1.41138186472778</v>
      </c>
      <c r="AV13" s="17"/>
      <c r="AW13" s="18">
        <f t="shared" si="0"/>
        <v>0.63846840940933636</v>
      </c>
      <c r="AX13" s="18">
        <f t="shared" si="1"/>
        <v>0.3615315905906637</v>
      </c>
      <c r="AY13" s="18">
        <f t="shared" si="2"/>
        <v>0.30784726220035485</v>
      </c>
      <c r="AZ13" s="18">
        <f t="shared" si="3"/>
        <v>0.69215273779964503</v>
      </c>
      <c r="BA13" s="18">
        <v>2.104581</v>
      </c>
      <c r="BB13" s="18">
        <v>0.61952790000000002</v>
      </c>
      <c r="BC13" s="18">
        <v>0.38047209999999998</v>
      </c>
      <c r="BD13" s="18">
        <v>0.64724230000000005</v>
      </c>
      <c r="BE13" s="18">
        <v>0</v>
      </c>
      <c r="BF13" s="18">
        <v>1.3891910000000001</v>
      </c>
      <c r="BG13" s="18">
        <v>1.3891910000000001</v>
      </c>
      <c r="BH13" s="18">
        <v>1</v>
      </c>
      <c r="BI13" s="18">
        <v>0.83056479999999999</v>
      </c>
      <c r="BJ13" s="18">
        <v>0.26716010000000001</v>
      </c>
      <c r="BK13" s="18">
        <v>0.73283989999999999</v>
      </c>
      <c r="BL13" s="18">
        <v>0.29117480000000001</v>
      </c>
      <c r="BM13" s="18">
        <v>3.9300000000000004E-15</v>
      </c>
      <c r="BN13" s="18">
        <v>1.331636</v>
      </c>
      <c r="BO13" s="18">
        <v>1.331636</v>
      </c>
      <c r="BP13" s="18">
        <v>1</v>
      </c>
      <c r="BQ13" s="18">
        <v>0.44890160000000001</v>
      </c>
      <c r="BR13" s="18">
        <v>0.32737300000000003</v>
      </c>
      <c r="BS13" s="18">
        <v>0.67262699999999997</v>
      </c>
      <c r="BT13" s="18">
        <v>0.55497370000000001</v>
      </c>
      <c r="BU13" s="18">
        <v>0.69686530000000002</v>
      </c>
      <c r="BV13" s="18">
        <v>0.44306980000000001</v>
      </c>
      <c r="BW13" s="18">
        <v>1.288931</v>
      </c>
      <c r="BX13" s="18">
        <v>1.372147</v>
      </c>
      <c r="BY13" s="18">
        <v>1.064562</v>
      </c>
      <c r="BZ13" s="18">
        <v>0</v>
      </c>
      <c r="CA13" s="18">
        <v>0.64614879999999997</v>
      </c>
      <c r="CB13" s="18">
        <v>0.35385119999999998</v>
      </c>
      <c r="CC13" s="18">
        <v>0.3144208</v>
      </c>
      <c r="CD13" s="18">
        <v>0.68557920000000006</v>
      </c>
      <c r="CE13" s="18">
        <v>1.902739</v>
      </c>
      <c r="CF13" s="18">
        <v>1.6953020000000001</v>
      </c>
      <c r="CG13" s="18">
        <v>1.248802</v>
      </c>
      <c r="CH13" s="18">
        <v>1.3881300000000001</v>
      </c>
      <c r="CI13" s="18">
        <v>1.126814</v>
      </c>
      <c r="CJ13" s="18">
        <v>1.0042260000000001</v>
      </c>
      <c r="CK13" s="18">
        <v>0.89120869999999996</v>
      </c>
      <c r="CL13" s="18">
        <v>0.92005029999999999</v>
      </c>
      <c r="CM13" s="18">
        <v>0.56350199999999995</v>
      </c>
      <c r="CN13" s="18">
        <v>0.60514999999999997</v>
      </c>
      <c r="CO13" s="18">
        <v>0.53786230000000002</v>
      </c>
      <c r="CP13" s="18">
        <v>-2.9727999999999998E-3</v>
      </c>
      <c r="CQ13" s="18">
        <v>-1.3199600000000001E-2</v>
      </c>
      <c r="CR13" s="18">
        <v>6.6830000000000004E-4</v>
      </c>
      <c r="CS13" s="18">
        <v>1.0998319999999999</v>
      </c>
      <c r="CT13" s="18">
        <v>1.1427304612643614</v>
      </c>
      <c r="CU13" s="18">
        <v>1.0521501216592453</v>
      </c>
      <c r="CV13" s="18">
        <v>0.92724070000000003</v>
      </c>
      <c r="CW13" s="18">
        <v>1.0285979999999999</v>
      </c>
      <c r="CX13" s="18">
        <v>1.077202</v>
      </c>
      <c r="CY13" s="18">
        <v>1.0510914904543185</v>
      </c>
      <c r="CZ13" s="17"/>
      <c r="DG13" s="17"/>
      <c r="DI13" s="11"/>
      <c r="DJ13" s="33"/>
    </row>
    <row r="14" spans="1:114" x14ac:dyDescent="0.3">
      <c r="A14" s="5">
        <v>1959</v>
      </c>
      <c r="B14" s="3">
        <v>177130</v>
      </c>
      <c r="C14" s="3">
        <v>521654</v>
      </c>
      <c r="D14" s="35">
        <v>1.5620791812550501</v>
      </c>
      <c r="E14" s="2">
        <v>1.3378489373470801</v>
      </c>
      <c r="F14" s="3">
        <v>317130</v>
      </c>
      <c r="G14" s="3">
        <v>85669</v>
      </c>
      <c r="H14" s="3">
        <v>82594</v>
      </c>
      <c r="I14" s="3">
        <v>35863</v>
      </c>
      <c r="J14" s="3">
        <v>397</v>
      </c>
      <c r="K14" s="3">
        <f t="shared" si="4"/>
        <v>522486.99</v>
      </c>
      <c r="L14" s="3">
        <f t="shared" si="5"/>
        <v>198820</v>
      </c>
      <c r="M14" s="3">
        <f t="shared" si="6"/>
        <v>323666.99</v>
      </c>
      <c r="N14" s="23">
        <v>1.3710520267486572</v>
      </c>
      <c r="O14" s="23">
        <v>1.2748055458068848</v>
      </c>
      <c r="P14" s="23">
        <v>1.4447383880615234</v>
      </c>
      <c r="Q14" s="22">
        <v>74929.73</v>
      </c>
      <c r="R14" s="22">
        <v>123890.27</v>
      </c>
      <c r="S14" s="22">
        <v>42681.27</v>
      </c>
      <c r="T14" s="22">
        <v>280985.71999999997</v>
      </c>
      <c r="U14" s="3">
        <v>275964.78125</v>
      </c>
      <c r="V14" s="3">
        <v>124572.484375</v>
      </c>
      <c r="W14" s="3">
        <v>151392.3125</v>
      </c>
      <c r="X14" s="2">
        <v>0.54643571376800537</v>
      </c>
      <c r="Y14" s="2">
        <v>1.5208214521408081</v>
      </c>
      <c r="Z14" s="2">
        <v>1.5250990390777588</v>
      </c>
      <c r="AA14" s="2">
        <v>1.512284517288208</v>
      </c>
      <c r="AB14" s="2">
        <v>1.6125383377075195</v>
      </c>
      <c r="AC14" s="2">
        <v>1.6388061046600342</v>
      </c>
      <c r="AD14" s="2">
        <v>1.5946551561355591</v>
      </c>
      <c r="AE14" s="2">
        <v>1.1710551977157593</v>
      </c>
      <c r="AF14" s="2">
        <v>1.0798392295837402</v>
      </c>
      <c r="AG14" s="2">
        <v>1.2617909908294678</v>
      </c>
      <c r="AH14" s="2">
        <v>0.63312768936157227</v>
      </c>
      <c r="AI14" s="2">
        <v>0.49201247096061707</v>
      </c>
      <c r="AJ14" s="3">
        <f t="shared" si="7"/>
        <v>404038</v>
      </c>
      <c r="AK14" s="3">
        <v>177672</v>
      </c>
      <c r="AL14" s="3">
        <v>226366</v>
      </c>
      <c r="AM14" s="2">
        <v>1.48682189082714</v>
      </c>
      <c r="AN14" s="2">
        <v>1.3175663338689201</v>
      </c>
      <c r="AO14" s="2">
        <v>1.33123435282764</v>
      </c>
      <c r="AP14" s="2">
        <v>1.22441885391317</v>
      </c>
      <c r="AQ14" s="2">
        <v>1.60023047367912</v>
      </c>
      <c r="AR14" s="2">
        <v>1.4546296901718001</v>
      </c>
      <c r="AS14" s="3">
        <v>117615</v>
      </c>
      <c r="AT14" s="23">
        <v>1.9032572383073401</v>
      </c>
      <c r="AU14" s="23">
        <v>1.4249703989070599</v>
      </c>
      <c r="AV14" s="17"/>
      <c r="AW14" s="18">
        <f t="shared" si="0"/>
        <v>0.63709797552949976</v>
      </c>
      <c r="AX14" s="18">
        <f t="shared" si="1"/>
        <v>0.36290202447050018</v>
      </c>
      <c r="AY14" s="18">
        <f t="shared" si="2"/>
        <v>0.30599559633061968</v>
      </c>
      <c r="AZ14" s="18">
        <f t="shared" si="3"/>
        <v>0.69400440366938032</v>
      </c>
      <c r="BA14" s="18">
        <v>2.2098979999999999</v>
      </c>
      <c r="BB14" s="18">
        <v>0.61817390000000005</v>
      </c>
      <c r="BC14" s="18">
        <v>0.3818261</v>
      </c>
      <c r="BD14" s="18">
        <v>0.64724230000000005</v>
      </c>
      <c r="BE14" s="18">
        <v>0</v>
      </c>
      <c r="BF14" s="18">
        <v>1.4607209999999999</v>
      </c>
      <c r="BG14" s="18">
        <v>1.4607220000000001</v>
      </c>
      <c r="BH14" s="18">
        <v>1</v>
      </c>
      <c r="BI14" s="18">
        <v>0.83056479999999999</v>
      </c>
      <c r="BJ14" s="18">
        <v>0.26603769999999999</v>
      </c>
      <c r="BK14" s="18">
        <v>0.73396229999999996</v>
      </c>
      <c r="BL14" s="18">
        <v>0.29117480000000001</v>
      </c>
      <c r="BM14" s="18">
        <v>3.9300000000000004E-15</v>
      </c>
      <c r="BN14" s="18">
        <v>1.397375</v>
      </c>
      <c r="BO14" s="18">
        <v>1.397375</v>
      </c>
      <c r="BP14" s="18">
        <v>0.99999990000000005</v>
      </c>
      <c r="BQ14" s="18">
        <v>0.44890160000000001</v>
      </c>
      <c r="BR14" s="18">
        <v>0.3207467</v>
      </c>
      <c r="BS14" s="18">
        <v>0.67925329999999995</v>
      </c>
      <c r="BT14" s="18">
        <v>0.55497370000000001</v>
      </c>
      <c r="BU14" s="18">
        <v>0.69686530000000002</v>
      </c>
      <c r="BV14" s="18">
        <v>0.44306980000000001</v>
      </c>
      <c r="BW14" s="18">
        <v>1.330775</v>
      </c>
      <c r="BX14" s="18">
        <v>1.4518470000000001</v>
      </c>
      <c r="BY14" s="18">
        <v>1.0909789999999999</v>
      </c>
      <c r="BZ14" s="18">
        <v>0</v>
      </c>
      <c r="CA14" s="18">
        <v>0.63778100000000004</v>
      </c>
      <c r="CB14" s="18">
        <v>0.36221900000000001</v>
      </c>
      <c r="CC14" s="18">
        <v>0.30692170000000002</v>
      </c>
      <c r="CD14" s="18">
        <v>0.69307830000000004</v>
      </c>
      <c r="CE14" s="18">
        <v>2.1198480000000002</v>
      </c>
      <c r="CF14" s="18">
        <v>1.889108</v>
      </c>
      <c r="CG14" s="18">
        <v>1.3080700000000001</v>
      </c>
      <c r="CH14" s="18">
        <v>1.4583189999999999</v>
      </c>
      <c r="CI14" s="18">
        <v>1.1333009999999999</v>
      </c>
      <c r="CJ14" s="18">
        <v>1.0139309999999999</v>
      </c>
      <c r="CK14" s="18">
        <v>0.89467079999999999</v>
      </c>
      <c r="CL14" s="18">
        <v>0.92482200000000003</v>
      </c>
      <c r="CM14" s="18">
        <v>0.56350199999999995</v>
      </c>
      <c r="CN14" s="18">
        <v>0.60514999999999997</v>
      </c>
      <c r="CO14" s="18">
        <v>0.53786230000000002</v>
      </c>
      <c r="CP14" s="18">
        <v>2.6550299999999999E-2</v>
      </c>
      <c r="CQ14" s="18">
        <v>2.94442E-2</v>
      </c>
      <c r="CR14" s="18">
        <v>2.79218E-2</v>
      </c>
      <c r="CS14" s="18">
        <v>1.129424</v>
      </c>
      <c r="CT14" s="18">
        <v>1.1769023074522671</v>
      </c>
      <c r="CU14" s="18">
        <v>1.0819234638407291</v>
      </c>
      <c r="CV14" s="18">
        <v>0.93278030000000001</v>
      </c>
      <c r="CW14" s="18">
        <v>1.0650599999999999</v>
      </c>
      <c r="CX14" s="18">
        <v>1.108166</v>
      </c>
      <c r="CY14" s="18">
        <v>1.0892086414937645</v>
      </c>
      <c r="CZ14" s="17"/>
      <c r="DG14" s="17"/>
      <c r="DI14" s="11"/>
      <c r="DJ14" s="33"/>
    </row>
    <row r="15" spans="1:114" x14ac:dyDescent="0.3">
      <c r="A15" s="5">
        <v>1960</v>
      </c>
      <c r="B15" s="3">
        <v>180760</v>
      </c>
      <c r="C15" s="3">
        <v>542382</v>
      </c>
      <c r="D15" s="35">
        <v>1.6022982314390899</v>
      </c>
      <c r="E15" s="2">
        <v>1.3560930660763399</v>
      </c>
      <c r="F15" s="3">
        <v>331180</v>
      </c>
      <c r="G15" s="3">
        <v>86477</v>
      </c>
      <c r="H15" s="3">
        <v>84517</v>
      </c>
      <c r="I15" s="3">
        <v>36003</v>
      </c>
      <c r="J15" s="3">
        <v>4204</v>
      </c>
      <c r="K15" s="3">
        <f t="shared" si="4"/>
        <v>543259.99</v>
      </c>
      <c r="L15" s="3">
        <f t="shared" si="5"/>
        <v>203122</v>
      </c>
      <c r="M15" s="3">
        <f t="shared" si="6"/>
        <v>340137.99</v>
      </c>
      <c r="N15" s="23">
        <v>1.3881043195724487</v>
      </c>
      <c r="O15" s="23">
        <v>1.2752461433410645</v>
      </c>
      <c r="P15" s="23">
        <v>1.4736592769622803</v>
      </c>
      <c r="Q15" s="22">
        <v>75846.98</v>
      </c>
      <c r="R15" s="22">
        <v>127275.02</v>
      </c>
      <c r="S15" s="22">
        <v>43395.02</v>
      </c>
      <c r="T15" s="22">
        <v>296742.96999999997</v>
      </c>
      <c r="U15" s="3">
        <v>297053.84375</v>
      </c>
      <c r="V15" s="3">
        <v>130059.296875</v>
      </c>
      <c r="W15" s="3">
        <v>166994.53125</v>
      </c>
      <c r="X15" s="2">
        <v>0.55174487829208374</v>
      </c>
      <c r="Y15" s="2">
        <v>1.5614447593688965</v>
      </c>
      <c r="Z15" s="2">
        <v>1.5572274923324585</v>
      </c>
      <c r="AA15" s="2">
        <v>1.5580041408538818</v>
      </c>
      <c r="AB15" s="2">
        <v>1.6789461374282837</v>
      </c>
      <c r="AC15" s="2">
        <v>1.6794880628585815</v>
      </c>
      <c r="AD15" s="2">
        <v>1.6720356941223145</v>
      </c>
      <c r="AE15" s="2">
        <v>1.1867908239364624</v>
      </c>
      <c r="AF15" s="2">
        <v>1.0785924196243286</v>
      </c>
      <c r="AG15" s="2">
        <v>1.2936792373657227</v>
      </c>
      <c r="AH15" s="2">
        <v>0.64031374454498291</v>
      </c>
      <c r="AI15" s="2">
        <v>0.49672633409500122</v>
      </c>
      <c r="AJ15" s="3">
        <f t="shared" si="7"/>
        <v>423133</v>
      </c>
      <c r="AK15" s="3">
        <v>185480</v>
      </c>
      <c r="AL15" s="3">
        <v>237653</v>
      </c>
      <c r="AM15" s="2">
        <v>1.5317090387612899</v>
      </c>
      <c r="AN15" s="2">
        <v>1.33939846469655</v>
      </c>
      <c r="AO15" s="2">
        <v>1.38593090238516</v>
      </c>
      <c r="AP15" s="2">
        <v>1.2277813784440399</v>
      </c>
      <c r="AQ15" s="2">
        <v>1.6407971581421501</v>
      </c>
      <c r="AR15" s="2">
        <v>1.48940289363761</v>
      </c>
      <c r="AS15" s="3">
        <v>119248</v>
      </c>
      <c r="AT15" s="23">
        <v>1.92302338530066</v>
      </c>
      <c r="AU15" s="23">
        <v>1.4299049128464201</v>
      </c>
      <c r="AV15" s="17"/>
      <c r="AW15" s="18">
        <f t="shared" si="0"/>
        <v>0.63607604703040876</v>
      </c>
      <c r="AX15" s="18">
        <f t="shared" si="1"/>
        <v>0.36392395296959124</v>
      </c>
      <c r="AY15" s="18">
        <f t="shared" si="2"/>
        <v>0.30016419822187262</v>
      </c>
      <c r="AZ15" s="18">
        <f t="shared" si="3"/>
        <v>0.69983580177812732</v>
      </c>
      <c r="BA15" s="18">
        <v>2.267671</v>
      </c>
      <c r="BB15" s="18">
        <v>0.61356679999999997</v>
      </c>
      <c r="BC15" s="18">
        <v>0.38643319999999998</v>
      </c>
      <c r="BD15" s="18">
        <v>0.64724230000000005</v>
      </c>
      <c r="BE15" s="18">
        <v>0</v>
      </c>
      <c r="BF15" s="18">
        <v>1.5177020000000001</v>
      </c>
      <c r="BG15" s="18">
        <v>1.5177020000000001</v>
      </c>
      <c r="BH15" s="18">
        <v>1</v>
      </c>
      <c r="BI15" s="18">
        <v>0.83056479999999999</v>
      </c>
      <c r="BJ15" s="18">
        <v>0.2622524</v>
      </c>
      <c r="BK15" s="18">
        <v>0.73774759999999995</v>
      </c>
      <c r="BL15" s="18">
        <v>0.29117480000000001</v>
      </c>
      <c r="BM15" s="18">
        <v>3.9300000000000004E-15</v>
      </c>
      <c r="BN15" s="18">
        <v>1.4419729999999999</v>
      </c>
      <c r="BO15" s="18">
        <v>1.4419729999999999</v>
      </c>
      <c r="BP15" s="18">
        <v>1</v>
      </c>
      <c r="BQ15" s="18">
        <v>0.44890160000000001</v>
      </c>
      <c r="BR15" s="18">
        <v>0.31537359999999998</v>
      </c>
      <c r="BS15" s="18">
        <v>0.68462650000000003</v>
      </c>
      <c r="BT15" s="18">
        <v>0.55497370000000001</v>
      </c>
      <c r="BU15" s="18">
        <v>0.69686530000000002</v>
      </c>
      <c r="BV15" s="18">
        <v>0.44306980000000001</v>
      </c>
      <c r="BW15" s="18">
        <v>1.3697319999999999</v>
      </c>
      <c r="BX15" s="18">
        <v>1.5022869999999999</v>
      </c>
      <c r="BY15" s="18">
        <v>1.0967739999999999</v>
      </c>
      <c r="BZ15" s="18">
        <v>0</v>
      </c>
      <c r="CA15" s="18">
        <v>0.63658669999999995</v>
      </c>
      <c r="CB15" s="18">
        <v>0.36341329999999999</v>
      </c>
      <c r="CC15" s="18">
        <v>0.30308089999999999</v>
      </c>
      <c r="CD15" s="18">
        <v>0.69691910000000001</v>
      </c>
      <c r="CE15" s="18">
        <v>2.1451060000000002</v>
      </c>
      <c r="CF15" s="18">
        <v>1.883014</v>
      </c>
      <c r="CG15" s="18">
        <v>1.343207</v>
      </c>
      <c r="CH15" s="18">
        <v>1.50972</v>
      </c>
      <c r="CI15" s="18">
        <v>1.1555880000000001</v>
      </c>
      <c r="CJ15" s="18">
        <v>1.0305679999999999</v>
      </c>
      <c r="CK15" s="18">
        <v>0.89181239999999995</v>
      </c>
      <c r="CL15" s="18">
        <v>0.93684120000000004</v>
      </c>
      <c r="CM15" s="18">
        <v>0.56350199999999995</v>
      </c>
      <c r="CN15" s="18">
        <v>0.60514999999999997</v>
      </c>
      <c r="CO15" s="18">
        <v>0.53786230000000002</v>
      </c>
      <c r="CP15" s="18">
        <v>1.2237999999999999E-3</v>
      </c>
      <c r="CQ15" s="18">
        <v>1.0795300000000001E-2</v>
      </c>
      <c r="CR15" s="18">
        <v>-4.9630000000000004E-3</v>
      </c>
      <c r="CS15" s="18">
        <v>1.1308069999999999</v>
      </c>
      <c r="CT15" s="18">
        <v>1.1896560684720932</v>
      </c>
      <c r="CU15" s="18">
        <v>1.076551374420831</v>
      </c>
      <c r="CV15" s="18">
        <v>0.93640400000000001</v>
      </c>
      <c r="CW15" s="18">
        <v>1.074451</v>
      </c>
      <c r="CX15" s="18">
        <v>1.1074250000000001</v>
      </c>
      <c r="CY15" s="18">
        <v>1.1005693540559423</v>
      </c>
      <c r="CZ15" s="17"/>
      <c r="DG15" s="17"/>
      <c r="DI15" s="11"/>
      <c r="DJ15" s="33"/>
    </row>
    <row r="16" spans="1:114" x14ac:dyDescent="0.3">
      <c r="A16" s="5">
        <v>1961</v>
      </c>
      <c r="B16" s="3">
        <v>183742</v>
      </c>
      <c r="C16" s="3">
        <v>562209</v>
      </c>
      <c r="D16" s="35">
        <v>1.64332525361343</v>
      </c>
      <c r="E16" s="2">
        <v>1.3705719674029</v>
      </c>
      <c r="F16" s="3">
        <v>341475</v>
      </c>
      <c r="G16" s="3">
        <v>86584</v>
      </c>
      <c r="H16" s="3">
        <v>89340</v>
      </c>
      <c r="I16" s="3">
        <v>39897</v>
      </c>
      <c r="J16" s="3">
        <v>4913</v>
      </c>
      <c r="K16" s="3">
        <f t="shared" si="4"/>
        <v>563304.01</v>
      </c>
      <c r="L16" s="3">
        <f t="shared" si="5"/>
        <v>205797</v>
      </c>
      <c r="M16" s="3">
        <f t="shared" si="6"/>
        <v>357507.00999999995</v>
      </c>
      <c r="N16" s="23">
        <v>1.4050625562667847</v>
      </c>
      <c r="O16" s="23">
        <v>1.280590295791626</v>
      </c>
      <c r="P16" s="23">
        <v>1.4988176822662354</v>
      </c>
      <c r="Q16" s="22">
        <v>77700.960000000006</v>
      </c>
      <c r="R16" s="22">
        <v>128096.04</v>
      </c>
      <c r="S16" s="22">
        <v>45805.04</v>
      </c>
      <c r="T16" s="22">
        <v>311701.96999999997</v>
      </c>
      <c r="U16" s="3">
        <v>301880.84375</v>
      </c>
      <c r="V16" s="3">
        <v>129954.7421875</v>
      </c>
      <c r="W16" s="3">
        <v>171926.109375</v>
      </c>
      <c r="X16" s="2">
        <v>0.55566984415054321</v>
      </c>
      <c r="Y16" s="2">
        <v>1.6002019643783569</v>
      </c>
      <c r="Z16" s="2">
        <v>1.5725324153900146</v>
      </c>
      <c r="AA16" s="2">
        <v>1.6108839511871338</v>
      </c>
      <c r="AB16" s="2">
        <v>1.7455264329910278</v>
      </c>
      <c r="AC16" s="2">
        <v>1.7218136787414551</v>
      </c>
      <c r="AD16" s="2">
        <v>1.7489039897918701</v>
      </c>
      <c r="AE16" s="2">
        <v>1.1874819993972778</v>
      </c>
      <c r="AF16" s="2">
        <v>1.0630162954330444</v>
      </c>
      <c r="AG16" s="2">
        <v>1.3095459938049316</v>
      </c>
      <c r="AH16" s="2">
        <v>0.64258366823196411</v>
      </c>
      <c r="AI16" s="2">
        <v>0.50342851877212524</v>
      </c>
      <c r="AJ16" s="3">
        <f t="shared" si="7"/>
        <v>438703</v>
      </c>
      <c r="AK16" s="3">
        <v>187676</v>
      </c>
      <c r="AL16" s="3">
        <v>251027</v>
      </c>
      <c r="AM16" s="2">
        <v>1.5667297836184</v>
      </c>
      <c r="AN16" s="2">
        <v>1.3576369934442201</v>
      </c>
      <c r="AO16" s="2">
        <v>1.3954520312313801</v>
      </c>
      <c r="AP16" s="2">
        <v>1.23384146108631</v>
      </c>
      <c r="AQ16" s="2">
        <v>1.7008740900938999</v>
      </c>
      <c r="AR16" s="2">
        <v>1.5176515084762801</v>
      </c>
      <c r="AS16" s="3">
        <v>123507</v>
      </c>
      <c r="AT16" s="23">
        <v>1.9910913140311799</v>
      </c>
      <c r="AU16" s="23">
        <v>1.43034570095747</v>
      </c>
      <c r="AV16" s="17"/>
      <c r="AW16" s="18">
        <f t="shared" si="0"/>
        <v>0.62912700597541826</v>
      </c>
      <c r="AX16" s="18">
        <f t="shared" si="1"/>
        <v>0.37087299402458179</v>
      </c>
      <c r="AY16" s="18">
        <f t="shared" si="2"/>
        <v>0.29126107232727133</v>
      </c>
      <c r="AZ16" s="18">
        <f t="shared" si="3"/>
        <v>0.70873892767272872</v>
      </c>
      <c r="BA16" s="18">
        <v>2.3152270000000001</v>
      </c>
      <c r="BB16" s="18">
        <v>0.61054030000000004</v>
      </c>
      <c r="BC16" s="18">
        <v>0.38945970000000002</v>
      </c>
      <c r="BD16" s="18">
        <v>0.64724230000000005</v>
      </c>
      <c r="BE16" s="18">
        <v>0</v>
      </c>
      <c r="BF16" s="18">
        <v>1.560783</v>
      </c>
      <c r="BG16" s="18">
        <v>1.560783</v>
      </c>
      <c r="BH16" s="18">
        <v>1</v>
      </c>
      <c r="BI16" s="18">
        <v>0.83056479999999999</v>
      </c>
      <c r="BJ16" s="18">
        <v>0.25979380000000002</v>
      </c>
      <c r="BK16" s="18">
        <v>0.74020620000000004</v>
      </c>
      <c r="BL16" s="18">
        <v>0.29117480000000001</v>
      </c>
      <c r="BM16" s="18">
        <v>3.9300000000000004E-15</v>
      </c>
      <c r="BN16" s="18">
        <v>1.4762850000000001</v>
      </c>
      <c r="BO16" s="18">
        <v>1.4762850000000001</v>
      </c>
      <c r="BP16" s="18">
        <v>1</v>
      </c>
      <c r="BQ16" s="18">
        <v>0.44890160000000001</v>
      </c>
      <c r="BR16" s="18">
        <v>0.31192160000000002</v>
      </c>
      <c r="BS16" s="18">
        <v>0.68807839999999998</v>
      </c>
      <c r="BT16" s="18">
        <v>0.55497370000000001</v>
      </c>
      <c r="BU16" s="18">
        <v>0.69686530000000002</v>
      </c>
      <c r="BV16" s="18">
        <v>0.44306980000000001</v>
      </c>
      <c r="BW16" s="18">
        <v>1.400101</v>
      </c>
      <c r="BX16" s="18">
        <v>1.540654</v>
      </c>
      <c r="BY16" s="18">
        <v>1.1003879999999999</v>
      </c>
      <c r="BZ16" s="18">
        <v>0</v>
      </c>
      <c r="CA16" s="18">
        <v>0.6326041</v>
      </c>
      <c r="CB16" s="18">
        <v>0.367396</v>
      </c>
      <c r="CC16" s="18">
        <v>0.29571340000000002</v>
      </c>
      <c r="CD16" s="18">
        <v>0.70428659999999998</v>
      </c>
      <c r="CE16" s="18">
        <v>2.1882830000000002</v>
      </c>
      <c r="CF16" s="18">
        <v>1.954137</v>
      </c>
      <c r="CG16" s="18">
        <v>1.347005</v>
      </c>
      <c r="CH16" s="18">
        <v>1.560109</v>
      </c>
      <c r="CI16" s="18">
        <v>1.170412</v>
      </c>
      <c r="CJ16" s="18">
        <v>1.0478769999999999</v>
      </c>
      <c r="CK16" s="18">
        <v>0.89530639999999995</v>
      </c>
      <c r="CL16" s="18">
        <v>0.94928310000000005</v>
      </c>
      <c r="CM16" s="18">
        <v>0.56350199999999995</v>
      </c>
      <c r="CN16" s="18">
        <v>0.60514999999999997</v>
      </c>
      <c r="CO16" s="18">
        <v>0.53786230000000002</v>
      </c>
      <c r="CP16" s="18">
        <v>7.2148999999999998E-3</v>
      </c>
      <c r="CQ16" s="18">
        <v>7.1132000000000001E-3</v>
      </c>
      <c r="CR16" s="18">
        <v>6.8887999999999996E-3</v>
      </c>
      <c r="CS16" s="18">
        <v>1.138995</v>
      </c>
      <c r="CT16" s="18">
        <v>1.1981175095513132</v>
      </c>
      <c r="CU16" s="18">
        <v>1.0839698045541242</v>
      </c>
      <c r="CV16" s="18">
        <v>0.94448520000000002</v>
      </c>
      <c r="CW16" s="18">
        <v>1.091367</v>
      </c>
      <c r="CX16" s="18">
        <v>1.115148</v>
      </c>
      <c r="CY16" s="18">
        <v>1.1212255242581564</v>
      </c>
      <c r="CZ16" s="17"/>
      <c r="DG16" s="17"/>
      <c r="DI16" s="11"/>
      <c r="DJ16" s="33"/>
    </row>
    <row r="17" spans="1:114" x14ac:dyDescent="0.3">
      <c r="A17" s="5">
        <v>1962</v>
      </c>
      <c r="B17" s="3">
        <v>186590</v>
      </c>
      <c r="C17" s="3">
        <v>603922</v>
      </c>
      <c r="D17" s="35">
        <v>1.7440524284047001</v>
      </c>
      <c r="E17" s="2">
        <v>1.3872313500757001</v>
      </c>
      <c r="F17" s="3">
        <v>362557</v>
      </c>
      <c r="G17" s="3">
        <v>96977</v>
      </c>
      <c r="H17" s="3">
        <v>97690</v>
      </c>
      <c r="I17" s="3">
        <v>42597</v>
      </c>
      <c r="J17" s="3">
        <v>4101</v>
      </c>
      <c r="K17" s="3">
        <f t="shared" si="4"/>
        <v>605146</v>
      </c>
      <c r="L17" s="3">
        <f t="shared" si="5"/>
        <v>222592.01</v>
      </c>
      <c r="M17" s="3">
        <f t="shared" si="6"/>
        <v>382553.99000000005</v>
      </c>
      <c r="N17" s="23">
        <v>1.420696496963501</v>
      </c>
      <c r="O17" s="23">
        <v>1.2846792936325073</v>
      </c>
      <c r="P17" s="23">
        <v>1.5225958824157715</v>
      </c>
      <c r="Q17" s="22">
        <v>84657.1</v>
      </c>
      <c r="R17" s="22">
        <v>137934.91</v>
      </c>
      <c r="S17" s="22">
        <v>48821.9</v>
      </c>
      <c r="T17" s="22">
        <v>333732.09000000003</v>
      </c>
      <c r="U17" s="3">
        <v>314614.1875</v>
      </c>
      <c r="V17" s="3">
        <v>138979.09375</v>
      </c>
      <c r="W17" s="3">
        <v>175635.109375</v>
      </c>
      <c r="X17" s="2">
        <v>0.54147577285766602</v>
      </c>
      <c r="Y17" s="2">
        <v>1.7018723487854004</v>
      </c>
      <c r="Z17" s="2">
        <v>1.697056770324707</v>
      </c>
      <c r="AA17" s="2">
        <v>1.6984442472457886</v>
      </c>
      <c r="AB17" s="2">
        <v>1.8218457698822021</v>
      </c>
      <c r="AC17" s="2">
        <v>1.7723236083984375</v>
      </c>
      <c r="AD17" s="2">
        <v>1.8361247777938843</v>
      </c>
      <c r="AE17" s="2">
        <v>1.2212929725646973</v>
      </c>
      <c r="AF17" s="2">
        <v>1.1039234399795532</v>
      </c>
      <c r="AG17" s="2">
        <v>1.33678138256073</v>
      </c>
      <c r="AH17" s="2">
        <v>0.63395369052886963</v>
      </c>
      <c r="AI17" s="2">
        <v>0.48658019304275513</v>
      </c>
      <c r="AJ17" s="3">
        <f t="shared" si="7"/>
        <v>470449</v>
      </c>
      <c r="AK17" s="3">
        <v>199910</v>
      </c>
      <c r="AL17" s="3">
        <v>270539</v>
      </c>
      <c r="AM17" s="2">
        <v>1.6566457238447401</v>
      </c>
      <c r="AN17" s="2">
        <v>1.3768640300886299</v>
      </c>
      <c r="AO17" s="2">
        <v>1.4552616911310501</v>
      </c>
      <c r="AP17" s="2">
        <v>1.2602565277384901</v>
      </c>
      <c r="AQ17" s="2">
        <v>1.7967030139697699</v>
      </c>
      <c r="AR17" s="2">
        <v>1.54837935295145</v>
      </c>
      <c r="AS17" s="3">
        <v>133473</v>
      </c>
      <c r="AT17" s="23">
        <v>2.1408685968819601</v>
      </c>
      <c r="AU17" s="23">
        <v>1.4376197490418201</v>
      </c>
      <c r="AV17" s="17"/>
      <c r="AW17" s="18">
        <f t="shared" si="0"/>
        <v>0.63423534788243852</v>
      </c>
      <c r="AX17" s="18">
        <f t="shared" si="1"/>
        <v>0.3657646521175616</v>
      </c>
      <c r="AY17" s="18">
        <f t="shared" si="2"/>
        <v>0.29244129862805751</v>
      </c>
      <c r="AZ17" s="18">
        <f t="shared" si="3"/>
        <v>0.70755870137194254</v>
      </c>
      <c r="BA17" s="18">
        <v>2.4482010000000001</v>
      </c>
      <c r="BB17" s="18">
        <v>0.60755150000000002</v>
      </c>
      <c r="BC17" s="18">
        <v>0.39244849999999998</v>
      </c>
      <c r="BD17" s="18">
        <v>0.64724230000000005</v>
      </c>
      <c r="BE17" s="18">
        <v>0</v>
      </c>
      <c r="BF17" s="18">
        <v>1.6624950000000001</v>
      </c>
      <c r="BG17" s="18">
        <v>1.6624950000000001</v>
      </c>
      <c r="BH17" s="18">
        <v>1</v>
      </c>
      <c r="BI17" s="18">
        <v>0.83056479999999999</v>
      </c>
      <c r="BJ17" s="18">
        <v>0.25738729999999999</v>
      </c>
      <c r="BK17" s="18">
        <v>0.74261270000000001</v>
      </c>
      <c r="BL17" s="18">
        <v>0.29117480000000001</v>
      </c>
      <c r="BM17" s="18">
        <v>3.9300000000000004E-15</v>
      </c>
      <c r="BN17" s="18">
        <v>1.5655870000000001</v>
      </c>
      <c r="BO17" s="18">
        <v>1.565588</v>
      </c>
      <c r="BP17" s="18">
        <v>1</v>
      </c>
      <c r="BQ17" s="18">
        <v>0.44890160000000001</v>
      </c>
      <c r="BR17" s="18">
        <v>0.30239899999999997</v>
      </c>
      <c r="BS17" s="18">
        <v>0.69760100000000003</v>
      </c>
      <c r="BT17" s="18">
        <v>0.55497370000000001</v>
      </c>
      <c r="BU17" s="18">
        <v>0.69686530000000002</v>
      </c>
      <c r="BV17" s="18">
        <v>0.44306980000000001</v>
      </c>
      <c r="BW17" s="18">
        <v>1.4529240000000001</v>
      </c>
      <c r="BX17" s="18">
        <v>1.6510940000000001</v>
      </c>
      <c r="BY17" s="18">
        <v>1.1363939999999999</v>
      </c>
      <c r="BZ17" s="18">
        <v>0</v>
      </c>
      <c r="CA17" s="18">
        <v>0.63168170000000001</v>
      </c>
      <c r="CB17" s="18">
        <v>0.36831829999999999</v>
      </c>
      <c r="CC17" s="18">
        <v>0.29185139999999998</v>
      </c>
      <c r="CD17" s="18">
        <v>0.70814860000000002</v>
      </c>
      <c r="CE17" s="18">
        <v>2.376452</v>
      </c>
      <c r="CF17" s="18">
        <v>2.0502370000000001</v>
      </c>
      <c r="CG17" s="18">
        <v>1.4476830000000001</v>
      </c>
      <c r="CH17" s="18">
        <v>1.6463760000000001</v>
      </c>
      <c r="CI17" s="18">
        <v>1.185195</v>
      </c>
      <c r="CJ17" s="18">
        <v>1.059177</v>
      </c>
      <c r="CK17" s="18">
        <v>0.89367319999999995</v>
      </c>
      <c r="CL17" s="18">
        <v>0.95796689999999995</v>
      </c>
      <c r="CM17" s="18">
        <v>0.56350199999999995</v>
      </c>
      <c r="CN17" s="18">
        <v>0.60514999999999997</v>
      </c>
      <c r="CO17" s="18">
        <v>0.53786230000000002</v>
      </c>
      <c r="CP17" s="18">
        <v>2.7099399999999999E-2</v>
      </c>
      <c r="CQ17" s="18">
        <v>4.2309600000000003E-2</v>
      </c>
      <c r="CR17" s="18">
        <v>2.0086900000000001E-2</v>
      </c>
      <c r="CS17" s="18">
        <v>1.170283</v>
      </c>
      <c r="CT17" s="18">
        <v>1.2499043050525778</v>
      </c>
      <c r="CU17" s="18">
        <v>1.1059431522454937</v>
      </c>
      <c r="CV17" s="18">
        <v>0.94713099999999995</v>
      </c>
      <c r="CW17" s="18">
        <v>1.1321570000000001</v>
      </c>
      <c r="CX17" s="18">
        <v>1.14459</v>
      </c>
      <c r="CY17" s="18">
        <v>1.1577639361922438</v>
      </c>
      <c r="CZ17" s="17"/>
      <c r="DG17" s="17"/>
      <c r="DI17" s="11"/>
      <c r="DJ17" s="33"/>
    </row>
    <row r="18" spans="1:114" x14ac:dyDescent="0.3">
      <c r="A18" s="5">
        <v>1963</v>
      </c>
      <c r="B18" s="3">
        <v>189300</v>
      </c>
      <c r="C18" s="3">
        <v>637450</v>
      </c>
      <c r="D18" s="35">
        <v>1.8200915701589</v>
      </c>
      <c r="E18" s="2">
        <v>1.40307364731345</v>
      </c>
      <c r="F18" s="3">
        <v>382035</v>
      </c>
      <c r="G18" s="3">
        <v>103284</v>
      </c>
      <c r="H18" s="3">
        <v>102755</v>
      </c>
      <c r="I18" s="3">
        <v>44438</v>
      </c>
      <c r="J18" s="3">
        <v>4939</v>
      </c>
      <c r="K18" s="3">
        <f t="shared" si="4"/>
        <v>638613</v>
      </c>
      <c r="L18" s="3">
        <f t="shared" si="5"/>
        <v>234027</v>
      </c>
      <c r="M18" s="3">
        <f t="shared" si="6"/>
        <v>404586</v>
      </c>
      <c r="N18" s="23">
        <v>1.4325720071792603</v>
      </c>
      <c r="O18" s="23">
        <v>1.2826747894287109</v>
      </c>
      <c r="P18" s="23">
        <v>1.5443727970123291</v>
      </c>
      <c r="Q18" s="22">
        <v>89937.38</v>
      </c>
      <c r="R18" s="22">
        <v>144089.62</v>
      </c>
      <c r="S18" s="22">
        <v>52163.62</v>
      </c>
      <c r="T18" s="22">
        <v>352422.38</v>
      </c>
      <c r="U18" s="3">
        <v>337196.3125</v>
      </c>
      <c r="V18" s="3">
        <v>147642.203125</v>
      </c>
      <c r="W18" s="3">
        <v>189554.125</v>
      </c>
      <c r="X18" s="2">
        <v>0.53733557462692261</v>
      </c>
      <c r="Y18" s="2">
        <v>1.779876708984375</v>
      </c>
      <c r="Z18" s="2">
        <v>1.7844487428665161</v>
      </c>
      <c r="AA18" s="2">
        <v>1.7705991268157959</v>
      </c>
      <c r="AB18" s="2">
        <v>1.9064685106277466</v>
      </c>
      <c r="AC18" s="2">
        <v>1.8388214111328125</v>
      </c>
      <c r="AD18" s="2">
        <v>1.9283158779144287</v>
      </c>
      <c r="AE18" s="2">
        <v>1.23627769947052</v>
      </c>
      <c r="AF18" s="2">
        <v>1.1186676025390625</v>
      </c>
      <c r="AG18" s="2">
        <v>1.3520439863204956</v>
      </c>
      <c r="AH18" s="2">
        <v>0.63381242752075195</v>
      </c>
      <c r="AI18" s="2">
        <v>0.4799782931804657</v>
      </c>
      <c r="AJ18" s="3">
        <f t="shared" si="7"/>
        <v>495349</v>
      </c>
      <c r="AK18" s="3">
        <v>209407</v>
      </c>
      <c r="AL18" s="3">
        <v>285942</v>
      </c>
      <c r="AM18" s="2">
        <v>1.7197204755797399</v>
      </c>
      <c r="AN18" s="2">
        <v>1.39656636060391</v>
      </c>
      <c r="AO18" s="2">
        <v>1.51966074600245</v>
      </c>
      <c r="AP18" s="2">
        <v>1.2641833992084299</v>
      </c>
      <c r="AQ18" s="2">
        <v>1.8615279171225501</v>
      </c>
      <c r="AR18" s="2">
        <v>1.5795456588996899</v>
      </c>
      <c r="AS18" s="3">
        <v>142101</v>
      </c>
      <c r="AT18" s="23">
        <v>2.2761692650334</v>
      </c>
      <c r="AU18" s="23">
        <v>1.43957136508018</v>
      </c>
      <c r="AV18" s="17"/>
      <c r="AW18" s="18">
        <f t="shared" si="0"/>
        <v>0.63291166142391686</v>
      </c>
      <c r="AX18" s="18">
        <f t="shared" si="1"/>
        <v>0.36708833857608325</v>
      </c>
      <c r="AY18" s="18">
        <f t="shared" si="2"/>
        <v>0.29020370101830367</v>
      </c>
      <c r="AZ18" s="18">
        <f t="shared" si="3"/>
        <v>0.70979629898169627</v>
      </c>
      <c r="BA18" s="18">
        <v>2.537757</v>
      </c>
      <c r="BB18" s="18">
        <v>0.60378690000000002</v>
      </c>
      <c r="BC18" s="18">
        <v>0.39621309999999998</v>
      </c>
      <c r="BD18" s="18">
        <v>0.64724230000000005</v>
      </c>
      <c r="BE18" s="18">
        <v>0</v>
      </c>
      <c r="BF18" s="18">
        <v>1.7402200000000001</v>
      </c>
      <c r="BG18" s="18">
        <v>1.7402200000000001</v>
      </c>
      <c r="BH18" s="18">
        <v>1</v>
      </c>
      <c r="BI18" s="18">
        <v>0.83056479999999999</v>
      </c>
      <c r="BJ18" s="18">
        <v>0.254386</v>
      </c>
      <c r="BK18" s="18">
        <v>0.74561409999999995</v>
      </c>
      <c r="BL18" s="18">
        <v>0.29117480000000001</v>
      </c>
      <c r="BM18" s="18">
        <v>3.9300000000000004E-15</v>
      </c>
      <c r="BN18" s="18">
        <v>1.6297710000000001</v>
      </c>
      <c r="BO18" s="18">
        <v>1.629772</v>
      </c>
      <c r="BP18" s="18">
        <v>1</v>
      </c>
      <c r="BQ18" s="18">
        <v>0.44890160000000001</v>
      </c>
      <c r="BR18" s="18">
        <v>0.29551080000000002</v>
      </c>
      <c r="BS18" s="18">
        <v>0.70448920000000004</v>
      </c>
      <c r="BT18" s="18">
        <v>0.55497370000000001</v>
      </c>
      <c r="BU18" s="18">
        <v>0.69686530000000002</v>
      </c>
      <c r="BV18" s="18">
        <v>0.44306980000000001</v>
      </c>
      <c r="BW18" s="18">
        <v>1.495476</v>
      </c>
      <c r="BX18" s="18">
        <v>1.7287680000000001</v>
      </c>
      <c r="BY18" s="18">
        <v>1.1559980000000001</v>
      </c>
      <c r="BZ18" s="18">
        <v>0</v>
      </c>
      <c r="CA18" s="18">
        <v>0.63357110000000005</v>
      </c>
      <c r="CB18" s="18">
        <v>0.3664289</v>
      </c>
      <c r="CC18" s="18">
        <v>0.29132239999999998</v>
      </c>
      <c r="CD18" s="18">
        <v>0.70867760000000002</v>
      </c>
      <c r="CE18" s="18">
        <v>2.5287350000000002</v>
      </c>
      <c r="CF18" s="18">
        <v>2.1597810000000002</v>
      </c>
      <c r="CG18" s="18">
        <v>1.5131460000000001</v>
      </c>
      <c r="CH18" s="18">
        <v>1.7123710000000001</v>
      </c>
      <c r="CI18" s="18">
        <v>1.2040249999999999</v>
      </c>
      <c r="CJ18" s="18">
        <v>1.0727949999999999</v>
      </c>
      <c r="CK18" s="18">
        <v>0.89100690000000005</v>
      </c>
      <c r="CL18" s="18">
        <v>0.9703484</v>
      </c>
      <c r="CM18" s="18">
        <v>0.56350199999999995</v>
      </c>
      <c r="CN18" s="18">
        <v>0.60514999999999997</v>
      </c>
      <c r="CO18" s="18">
        <v>0.53786230000000002</v>
      </c>
      <c r="CP18" s="18">
        <v>1.8125100000000002E-2</v>
      </c>
      <c r="CQ18" s="18">
        <v>2.666E-2</v>
      </c>
      <c r="CR18" s="18">
        <v>1.3824100000000001E-2</v>
      </c>
      <c r="CS18" s="18">
        <v>1.1916880000000001</v>
      </c>
      <c r="CT18" s="18">
        <v>1.2836550842511147</v>
      </c>
      <c r="CU18" s="18">
        <v>1.1213102622276263</v>
      </c>
      <c r="CV18" s="18">
        <v>0.94977509999999998</v>
      </c>
      <c r="CW18" s="18">
        <v>1.1602790000000001</v>
      </c>
      <c r="CX18" s="18">
        <v>1.1644810000000001</v>
      </c>
      <c r="CY18" s="18">
        <v>1.1879760592956032</v>
      </c>
      <c r="CZ18" s="17"/>
      <c r="DG18" s="17"/>
      <c r="DI18" s="11"/>
      <c r="DJ18" s="33"/>
    </row>
    <row r="19" spans="1:114" x14ac:dyDescent="0.3">
      <c r="A19" s="5">
        <v>1964</v>
      </c>
      <c r="B19" s="3">
        <v>191927</v>
      </c>
      <c r="C19" s="3">
        <v>684460</v>
      </c>
      <c r="D19" s="35">
        <v>1.9249483795672899</v>
      </c>
      <c r="E19" s="2">
        <v>1.4244806877201599</v>
      </c>
      <c r="F19" s="3">
        <v>410632</v>
      </c>
      <c r="G19" s="3">
        <v>112150</v>
      </c>
      <c r="H19" s="3">
        <v>108372</v>
      </c>
      <c r="I19" s="3">
        <v>46392</v>
      </c>
      <c r="J19" s="3">
        <v>6914</v>
      </c>
      <c r="K19" s="3">
        <f t="shared" si="4"/>
        <v>685847.02</v>
      </c>
      <c r="L19" s="3">
        <f t="shared" si="5"/>
        <v>249174.01</v>
      </c>
      <c r="M19" s="3">
        <f t="shared" si="6"/>
        <v>436673.01</v>
      </c>
      <c r="N19" s="23">
        <v>1.4539347887039185</v>
      </c>
      <c r="O19" s="23">
        <v>1.287683367729187</v>
      </c>
      <c r="P19" s="23">
        <v>1.5774999856948853</v>
      </c>
      <c r="Q19" s="22">
        <v>97439.49</v>
      </c>
      <c r="R19" s="22">
        <v>151734.51999999999</v>
      </c>
      <c r="S19" s="22">
        <v>56281.51</v>
      </c>
      <c r="T19" s="22">
        <v>380391.5</v>
      </c>
      <c r="U19" s="3">
        <v>365229.28125</v>
      </c>
      <c r="V19" s="3">
        <v>157930.578125</v>
      </c>
      <c r="W19" s="3">
        <v>207298.703125</v>
      </c>
      <c r="X19" s="2">
        <v>0.54406833648681641</v>
      </c>
      <c r="Y19" s="2">
        <v>1.8829330205917358</v>
      </c>
      <c r="Z19" s="2">
        <v>1.8940409421920776</v>
      </c>
      <c r="AA19" s="2">
        <v>1.8694639205932617</v>
      </c>
      <c r="AB19" s="2">
        <v>1.9979027509689331</v>
      </c>
      <c r="AC19" s="2">
        <v>1.91441810131073</v>
      </c>
      <c r="AD19" s="2">
        <v>2.0263125896453857</v>
      </c>
      <c r="AE19" s="2">
        <v>1.2631669044494629</v>
      </c>
      <c r="AF19" s="2">
        <v>1.1389110088348389</v>
      </c>
      <c r="AG19" s="2">
        <v>1.3852690458297729</v>
      </c>
      <c r="AH19" s="2">
        <v>0.63879084587097168</v>
      </c>
      <c r="AI19" s="2">
        <v>0.48828881978988647</v>
      </c>
      <c r="AJ19" s="3">
        <f t="shared" si="7"/>
        <v>530739</v>
      </c>
      <c r="AK19" s="3">
        <v>224448</v>
      </c>
      <c r="AL19" s="3">
        <v>306291</v>
      </c>
      <c r="AM19" s="2">
        <v>1.8109896939689101</v>
      </c>
      <c r="AN19" s="2">
        <v>1.42093159620915</v>
      </c>
      <c r="AO19" s="2">
        <v>1.6231350631079799</v>
      </c>
      <c r="AP19" s="2">
        <v>1.2686055696283001</v>
      </c>
      <c r="AQ19" s="2">
        <v>1.94751068890254</v>
      </c>
      <c r="AR19" s="2">
        <v>1.61725377392318</v>
      </c>
      <c r="AS19" s="3">
        <v>153721</v>
      </c>
      <c r="AT19" s="23">
        <v>2.4434855233852999</v>
      </c>
      <c r="AU19" s="23">
        <v>1.45065470413917</v>
      </c>
      <c r="AV19" s="17"/>
      <c r="AW19" s="18">
        <f t="shared" si="0"/>
        <v>0.63387234014871097</v>
      </c>
      <c r="AX19" s="18">
        <f t="shared" si="1"/>
        <v>0.36612765985128903</v>
      </c>
      <c r="AY19" s="18">
        <f t="shared" si="2"/>
        <v>0.2851477174523433</v>
      </c>
      <c r="AZ19" s="18">
        <f t="shared" si="3"/>
        <v>0.71485228254765665</v>
      </c>
      <c r="BA19" s="18">
        <v>2.681441</v>
      </c>
      <c r="BB19" s="18">
        <v>0.59963460000000002</v>
      </c>
      <c r="BC19" s="18">
        <v>0.40036539999999998</v>
      </c>
      <c r="BD19" s="18">
        <v>0.64724230000000005</v>
      </c>
      <c r="BE19" s="18">
        <v>0</v>
      </c>
      <c r="BF19" s="18">
        <v>1.844244</v>
      </c>
      <c r="BG19" s="18">
        <v>1.844244</v>
      </c>
      <c r="BH19" s="18">
        <v>1</v>
      </c>
      <c r="BI19" s="18">
        <v>0.83056479999999999</v>
      </c>
      <c r="BJ19" s="18">
        <v>0.2511137</v>
      </c>
      <c r="BK19" s="18">
        <v>0.7488863</v>
      </c>
      <c r="BL19" s="18">
        <v>0.29117480000000001</v>
      </c>
      <c r="BM19" s="18">
        <v>3.9300000000000004E-15</v>
      </c>
      <c r="BN19" s="18">
        <v>1.7167809999999999</v>
      </c>
      <c r="BO19" s="18">
        <v>1.7167809999999999</v>
      </c>
      <c r="BP19" s="18">
        <v>1</v>
      </c>
      <c r="BQ19" s="18">
        <v>0.44890160000000001</v>
      </c>
      <c r="BR19" s="18">
        <v>0.28653060000000002</v>
      </c>
      <c r="BS19" s="18">
        <v>0.71346940000000003</v>
      </c>
      <c r="BT19" s="18">
        <v>0.55497370000000001</v>
      </c>
      <c r="BU19" s="18">
        <v>0.69686530000000002</v>
      </c>
      <c r="BV19" s="18">
        <v>0.44306980000000001</v>
      </c>
      <c r="BW19" s="18">
        <v>1.5473490000000001</v>
      </c>
      <c r="BX19" s="18">
        <v>1.8362179999999999</v>
      </c>
      <c r="BY19" s="18">
        <v>1.1866859999999999</v>
      </c>
      <c r="BZ19" s="18">
        <v>0</v>
      </c>
      <c r="CA19" s="18">
        <v>0.63338910000000004</v>
      </c>
      <c r="CB19" s="18">
        <v>0.36661090000000002</v>
      </c>
      <c r="CC19" s="18">
        <v>0.28767589999999998</v>
      </c>
      <c r="CD19" s="18">
        <v>0.71232410000000002</v>
      </c>
      <c r="CE19" s="18">
        <v>2.7290100000000002</v>
      </c>
      <c r="CF19" s="18">
        <v>2.2813460000000001</v>
      </c>
      <c r="CG19" s="18">
        <v>1.586573</v>
      </c>
      <c r="CH19" s="18">
        <v>1.8087</v>
      </c>
      <c r="CI19" s="18">
        <v>1.225068</v>
      </c>
      <c r="CJ19" s="18">
        <v>1.0874550000000001</v>
      </c>
      <c r="CK19" s="18">
        <v>0.88766869999999998</v>
      </c>
      <c r="CL19" s="18">
        <v>0.97972119999999996</v>
      </c>
      <c r="CM19" s="18">
        <v>0.56350199999999995</v>
      </c>
      <c r="CN19" s="18">
        <v>0.60514999999999997</v>
      </c>
      <c r="CO19" s="18">
        <v>0.53786230000000002</v>
      </c>
      <c r="CP19" s="18">
        <v>2.37138E-2</v>
      </c>
      <c r="CQ19" s="18">
        <v>3.1911099999999998E-2</v>
      </c>
      <c r="CR19" s="18">
        <v>1.90162E-2</v>
      </c>
      <c r="CS19" s="18">
        <v>1.220286</v>
      </c>
      <c r="CT19" s="18">
        <v>1.3252590714562826</v>
      </c>
      <c r="CU19" s="18">
        <v>1.1428183674997712</v>
      </c>
      <c r="CV19" s="18">
        <v>0.95224620000000004</v>
      </c>
      <c r="CW19" s="18">
        <v>1.1950590000000001</v>
      </c>
      <c r="CX19" s="18">
        <v>1.190866</v>
      </c>
      <c r="CY19" s="18">
        <v>1.2254989350043595</v>
      </c>
      <c r="CZ19" s="17"/>
      <c r="DG19" s="17"/>
      <c r="DI19" s="11"/>
      <c r="DJ19" s="33"/>
    </row>
    <row r="20" spans="1:114" x14ac:dyDescent="0.3">
      <c r="A20" s="5">
        <v>1965</v>
      </c>
      <c r="B20" s="3">
        <v>194347</v>
      </c>
      <c r="C20" s="3">
        <v>742289</v>
      </c>
      <c r="D20" s="35">
        <v>2.0500942633988699</v>
      </c>
      <c r="E20" s="2">
        <v>1.45053019883102</v>
      </c>
      <c r="F20" s="3">
        <v>442973</v>
      </c>
      <c r="G20" s="3">
        <v>129645</v>
      </c>
      <c r="H20" s="3">
        <v>116190</v>
      </c>
      <c r="I20" s="3">
        <v>47863</v>
      </c>
      <c r="J20" s="3">
        <v>5618</v>
      </c>
      <c r="K20" s="3">
        <f t="shared" si="4"/>
        <v>743759.01</v>
      </c>
      <c r="L20" s="3">
        <f t="shared" si="5"/>
        <v>273967</v>
      </c>
      <c r="M20" s="3">
        <f t="shared" si="6"/>
        <v>469792.01</v>
      </c>
      <c r="N20" s="23">
        <v>1.4852465391159058</v>
      </c>
      <c r="O20" s="23">
        <v>1.3117865324020386</v>
      </c>
      <c r="P20" s="23">
        <v>1.614109992980957</v>
      </c>
      <c r="Q20" s="22">
        <v>107032.27</v>
      </c>
      <c r="R20" s="22">
        <v>166934.73000000001</v>
      </c>
      <c r="S20" s="22">
        <v>61227.73</v>
      </c>
      <c r="T20" s="22">
        <v>408564.28</v>
      </c>
      <c r="U20" s="3">
        <v>390363.71875</v>
      </c>
      <c r="V20" s="3">
        <v>170224.203125</v>
      </c>
      <c r="W20" s="3">
        <v>220139.53125</v>
      </c>
      <c r="X20" s="2">
        <v>0.54204124212265015</v>
      </c>
      <c r="Y20" s="2">
        <v>2.0024290084838867</v>
      </c>
      <c r="Z20" s="2">
        <v>2.0490539073944092</v>
      </c>
      <c r="AA20" s="2">
        <v>1.96803879737854</v>
      </c>
      <c r="AB20" s="2">
        <v>2.1085155010223389</v>
      </c>
      <c r="AC20" s="2">
        <v>2.0143558979034424</v>
      </c>
      <c r="AD20" s="2">
        <v>2.1412239074707031</v>
      </c>
      <c r="AE20" s="2">
        <v>1.3098386526107788</v>
      </c>
      <c r="AF20" s="2">
        <v>1.1945916414260864</v>
      </c>
      <c r="AG20" s="2">
        <v>1.4238836765289307</v>
      </c>
      <c r="AH20" s="2">
        <v>0.63298320770263672</v>
      </c>
      <c r="AI20" s="2">
        <v>0.48821648955345154</v>
      </c>
      <c r="AJ20" s="3">
        <f t="shared" si="7"/>
        <v>574028</v>
      </c>
      <c r="AK20" s="3">
        <v>244649</v>
      </c>
      <c r="AL20" s="3">
        <v>329379</v>
      </c>
      <c r="AM20" s="2">
        <v>1.92178540026203</v>
      </c>
      <c r="AN20" s="2">
        <v>1.4482259852897601</v>
      </c>
      <c r="AO20" s="2">
        <v>1.7158431730904899</v>
      </c>
      <c r="AP20" s="2">
        <v>1.3080712102676699</v>
      </c>
      <c r="AQ20" s="2">
        <v>2.04631883421139</v>
      </c>
      <c r="AR20" s="2">
        <v>1.65518443118735</v>
      </c>
      <c r="AS20" s="3">
        <v>168261</v>
      </c>
      <c r="AT20" s="23">
        <v>2.63474387527839</v>
      </c>
      <c r="AU20" s="23">
        <v>1.47260300393576</v>
      </c>
      <c r="AV20" s="17"/>
      <c r="AW20" s="18">
        <f t="shared" si="0"/>
        <v>0.63611238559372407</v>
      </c>
      <c r="AX20" s="18">
        <f t="shared" si="1"/>
        <v>0.36388761440627604</v>
      </c>
      <c r="AY20" s="18">
        <f t="shared" si="2"/>
        <v>0.29006953461136276</v>
      </c>
      <c r="AZ20" s="18">
        <f t="shared" si="3"/>
        <v>0.70993046538863724</v>
      </c>
      <c r="BA20" s="18">
        <v>2.8702480000000001</v>
      </c>
      <c r="BB20" s="18">
        <v>0.59857850000000001</v>
      </c>
      <c r="BC20" s="18">
        <v>0.40142149999999999</v>
      </c>
      <c r="BD20" s="18">
        <v>0.64724230000000005</v>
      </c>
      <c r="BE20" s="18">
        <v>0</v>
      </c>
      <c r="BF20" s="18">
        <v>1.958807</v>
      </c>
      <c r="BG20" s="18">
        <v>1.958807</v>
      </c>
      <c r="BH20" s="18">
        <v>1</v>
      </c>
      <c r="BI20" s="18">
        <v>0.83056479999999999</v>
      </c>
      <c r="BJ20" s="18">
        <v>0.2502877</v>
      </c>
      <c r="BK20" s="18">
        <v>0.7497123</v>
      </c>
      <c r="BL20" s="18">
        <v>0.29117480000000001</v>
      </c>
      <c r="BM20" s="18">
        <v>3.9300000000000004E-15</v>
      </c>
      <c r="BN20" s="18">
        <v>1.8206359999999999</v>
      </c>
      <c r="BO20" s="18">
        <v>1.8206359999999999</v>
      </c>
      <c r="BP20" s="18">
        <v>1</v>
      </c>
      <c r="BQ20" s="18">
        <v>0.44890160000000001</v>
      </c>
      <c r="BR20" s="18">
        <v>0.27859270000000003</v>
      </c>
      <c r="BS20" s="18">
        <v>0.72140729999999997</v>
      </c>
      <c r="BT20" s="18">
        <v>0.55497370000000001</v>
      </c>
      <c r="BU20" s="18">
        <v>0.69686530000000002</v>
      </c>
      <c r="BV20" s="18">
        <v>0.44306980000000001</v>
      </c>
      <c r="BW20" s="18">
        <v>1.600759</v>
      </c>
      <c r="BX20" s="18">
        <v>1.966793</v>
      </c>
      <c r="BY20" s="18">
        <v>1.2286630000000001</v>
      </c>
      <c r="BZ20" s="18">
        <v>0</v>
      </c>
      <c r="CA20" s="18">
        <v>0.63499099999999997</v>
      </c>
      <c r="CB20" s="18">
        <v>0.36500899999999997</v>
      </c>
      <c r="CC20" s="18">
        <v>0.28760910000000001</v>
      </c>
      <c r="CD20" s="18">
        <v>0.71239079999999999</v>
      </c>
      <c r="CE20" s="18">
        <v>2.9426320000000001</v>
      </c>
      <c r="CF20" s="18">
        <v>2.4255369999999998</v>
      </c>
      <c r="CG20" s="18">
        <v>1.7172400000000001</v>
      </c>
      <c r="CH20" s="18">
        <v>1.9028099999999999</v>
      </c>
      <c r="CI20" s="18">
        <v>1.230467</v>
      </c>
      <c r="CJ20" s="18">
        <v>1.096098</v>
      </c>
      <c r="CK20" s="18">
        <v>0.8907986</v>
      </c>
      <c r="CL20" s="18">
        <v>0.98371850000000005</v>
      </c>
      <c r="CM20" s="18">
        <v>0.56350199999999995</v>
      </c>
      <c r="CN20" s="18">
        <v>0.60514999999999997</v>
      </c>
      <c r="CO20" s="18">
        <v>0.53786230000000002</v>
      </c>
      <c r="CP20" s="18">
        <v>1.7564099999999999E-2</v>
      </c>
      <c r="CQ20" s="18">
        <v>2.9557E-2</v>
      </c>
      <c r="CR20" s="18">
        <v>1.18158E-2</v>
      </c>
      <c r="CS20" s="18">
        <v>1.241908</v>
      </c>
      <c r="CT20" s="18">
        <v>1.3650116019389198</v>
      </c>
      <c r="CU20" s="18">
        <v>1.1563808172411412</v>
      </c>
      <c r="CV20" s="18">
        <v>0.95713879999999996</v>
      </c>
      <c r="CW20" s="18">
        <v>1.228715</v>
      </c>
      <c r="CX20" s="18">
        <v>1.210588</v>
      </c>
      <c r="CY20" s="18">
        <v>1.2528440477023484</v>
      </c>
      <c r="CZ20" s="17"/>
      <c r="DG20" s="17"/>
      <c r="DI20" s="11"/>
      <c r="DJ20" s="33"/>
    </row>
    <row r="21" spans="1:114" x14ac:dyDescent="0.3">
      <c r="A21" s="5">
        <v>1966</v>
      </c>
      <c r="B21" s="3">
        <v>196599</v>
      </c>
      <c r="C21" s="3">
        <v>813414</v>
      </c>
      <c r="D21" s="35">
        <v>2.1852949097764598</v>
      </c>
      <c r="E21" s="2">
        <v>1.4911769066884999</v>
      </c>
      <c r="F21" s="3">
        <v>479919</v>
      </c>
      <c r="G21" s="3">
        <v>144188</v>
      </c>
      <c r="H21" s="3">
        <v>131877</v>
      </c>
      <c r="I21" s="3">
        <v>53567</v>
      </c>
      <c r="J21" s="3">
        <v>3863</v>
      </c>
      <c r="K21" s="3">
        <f t="shared" si="4"/>
        <v>815033</v>
      </c>
      <c r="L21" s="3">
        <f t="shared" si="5"/>
        <v>301066</v>
      </c>
      <c r="M21" s="3">
        <f t="shared" si="6"/>
        <v>513967</v>
      </c>
      <c r="N21" s="23">
        <v>1.5323675870895386</v>
      </c>
      <c r="O21" s="23">
        <v>1.3521623611450195</v>
      </c>
      <c r="P21" s="23">
        <v>1.6662367582321167</v>
      </c>
      <c r="Q21" s="22">
        <v>117730</v>
      </c>
      <c r="R21" s="22">
        <v>183336</v>
      </c>
      <c r="S21" s="22">
        <v>66383</v>
      </c>
      <c r="T21" s="22">
        <v>447584</v>
      </c>
      <c r="U21" s="3">
        <v>436812.8125</v>
      </c>
      <c r="V21" s="3">
        <v>189492.3125</v>
      </c>
      <c r="W21" s="3">
        <v>247320.5</v>
      </c>
      <c r="X21" s="2">
        <v>0.54315745830535889</v>
      </c>
      <c r="Y21" s="2">
        <v>2.1280214786529541</v>
      </c>
      <c r="Z21" s="2">
        <v>2.1841678619384766</v>
      </c>
      <c r="AA21" s="2">
        <v>2.0876827239990234</v>
      </c>
      <c r="AB21" s="2">
        <v>2.235722541809082</v>
      </c>
      <c r="AC21" s="2">
        <v>2.1584830284118652</v>
      </c>
      <c r="AD21" s="2">
        <v>2.2600083351135254</v>
      </c>
      <c r="AE21" s="2">
        <v>1.3658438920974731</v>
      </c>
      <c r="AF21" s="2">
        <v>1.2513864040374756</v>
      </c>
      <c r="AG21" s="2">
        <v>1.4795413017272949</v>
      </c>
      <c r="AH21" s="2">
        <v>0.63005584478378296</v>
      </c>
      <c r="AI21" s="2">
        <v>0.49103391170501709</v>
      </c>
      <c r="AJ21" s="3">
        <f t="shared" si="7"/>
        <v>629295</v>
      </c>
      <c r="AK21" s="3">
        <v>268010</v>
      </c>
      <c r="AL21" s="3">
        <v>361285</v>
      </c>
      <c r="AM21" s="2">
        <v>2.04586398576089</v>
      </c>
      <c r="AN21" s="2">
        <v>1.49137092562317</v>
      </c>
      <c r="AO21" s="2">
        <v>1.81168678910457</v>
      </c>
      <c r="AP21" s="2">
        <v>1.3571673864010301</v>
      </c>
      <c r="AQ21" s="2">
        <v>2.1689678223455</v>
      </c>
      <c r="AR21" s="2">
        <v>1.7128550366999999</v>
      </c>
      <c r="AS21" s="3">
        <v>184119</v>
      </c>
      <c r="AT21" s="23">
        <v>2.8209910913140299</v>
      </c>
      <c r="AU21" s="23">
        <v>1.5050035100415999</v>
      </c>
      <c r="AV21" s="17"/>
      <c r="AW21" s="18">
        <f t="shared" si="0"/>
        <v>0.6394442543437997</v>
      </c>
      <c r="AX21" s="18">
        <f t="shared" si="1"/>
        <v>0.36055574565620024</v>
      </c>
      <c r="AY21" s="18">
        <f t="shared" si="2"/>
        <v>0.29058517720154697</v>
      </c>
      <c r="AZ21" s="18">
        <f t="shared" si="3"/>
        <v>0.70941482279845303</v>
      </c>
      <c r="BA21" s="18">
        <v>3.1128689999999999</v>
      </c>
      <c r="BB21" s="18">
        <v>0.59822549999999997</v>
      </c>
      <c r="BC21" s="18">
        <v>0.40177449999999998</v>
      </c>
      <c r="BD21" s="18">
        <v>0.64724230000000005</v>
      </c>
      <c r="BE21" s="18">
        <v>0</v>
      </c>
      <c r="BF21" s="18">
        <v>2.0836009999999998</v>
      </c>
      <c r="BG21" s="18">
        <v>2.0836009999999998</v>
      </c>
      <c r="BH21" s="18">
        <v>1</v>
      </c>
      <c r="BI21" s="18">
        <v>0.83056479999999999</v>
      </c>
      <c r="BJ21" s="18">
        <v>0.25001210000000001</v>
      </c>
      <c r="BK21" s="18">
        <v>0.74998779999999998</v>
      </c>
      <c r="BL21" s="18">
        <v>0.29117480000000001</v>
      </c>
      <c r="BM21" s="18">
        <v>3.9300000000000004E-15</v>
      </c>
      <c r="BN21" s="18">
        <v>1.9356370000000001</v>
      </c>
      <c r="BO21" s="18">
        <v>1.9356370000000001</v>
      </c>
      <c r="BP21" s="18">
        <v>0.99999990000000005</v>
      </c>
      <c r="BQ21" s="18">
        <v>0.44890160000000001</v>
      </c>
      <c r="BR21" s="18">
        <v>0.270787</v>
      </c>
      <c r="BS21" s="18">
        <v>0.729213</v>
      </c>
      <c r="BT21" s="18">
        <v>0.55497370000000001</v>
      </c>
      <c r="BU21" s="18">
        <v>0.69686530000000002</v>
      </c>
      <c r="BV21" s="18">
        <v>0.44306980000000001</v>
      </c>
      <c r="BW21" s="18">
        <v>1.65601</v>
      </c>
      <c r="BX21" s="18">
        <v>2.1128749999999998</v>
      </c>
      <c r="BY21" s="18">
        <v>1.275882</v>
      </c>
      <c r="BZ21" s="18">
        <v>0</v>
      </c>
      <c r="CA21" s="18">
        <v>0.63777910000000004</v>
      </c>
      <c r="CB21" s="18">
        <v>0.36222090000000001</v>
      </c>
      <c r="CC21" s="18">
        <v>0.29032730000000001</v>
      </c>
      <c r="CD21" s="18">
        <v>0.70967270000000005</v>
      </c>
      <c r="CE21" s="18">
        <v>3.14018</v>
      </c>
      <c r="CF21" s="18">
        <v>2.5475590000000001</v>
      </c>
      <c r="CG21" s="18">
        <v>1.830965</v>
      </c>
      <c r="CH21" s="18">
        <v>2.0207920000000001</v>
      </c>
      <c r="CI21" s="18">
        <v>1.2322759999999999</v>
      </c>
      <c r="CJ21" s="18">
        <v>1.1071500000000001</v>
      </c>
      <c r="CK21" s="18">
        <v>0.89845980000000003</v>
      </c>
      <c r="CL21" s="18">
        <v>0.99119869999999999</v>
      </c>
      <c r="CM21" s="18">
        <v>0.56350199999999995</v>
      </c>
      <c r="CN21" s="18">
        <v>0.60514999999999997</v>
      </c>
      <c r="CO21" s="18">
        <v>0.53786230000000002</v>
      </c>
      <c r="CP21" s="18">
        <v>1.16685E-2</v>
      </c>
      <c r="CQ21" s="18">
        <v>7.5186999999999997E-3</v>
      </c>
      <c r="CR21" s="18">
        <v>1.38434E-2</v>
      </c>
      <c r="CS21" s="18">
        <v>1.2564839999999999</v>
      </c>
      <c r="CT21" s="18">
        <v>1.3752929216759</v>
      </c>
      <c r="CU21" s="18">
        <v>1.1724882864347852</v>
      </c>
      <c r="CV21" s="18">
        <v>0.96588430000000003</v>
      </c>
      <c r="CW21" s="18">
        <v>1.252391</v>
      </c>
      <c r="CX21" s="18">
        <v>1.2254560000000001</v>
      </c>
      <c r="CY21" s="18">
        <v>1.2788867198532681</v>
      </c>
      <c r="CZ21" s="17"/>
      <c r="DG21" s="17"/>
      <c r="DI21" s="11"/>
      <c r="DJ21" s="33"/>
    </row>
    <row r="22" spans="1:114" x14ac:dyDescent="0.3">
      <c r="A22" s="5">
        <v>1967</v>
      </c>
      <c r="B22" s="3">
        <v>198752</v>
      </c>
      <c r="C22" s="3">
        <v>859959</v>
      </c>
      <c r="D22" s="35">
        <v>2.2451746117245701</v>
      </c>
      <c r="E22" s="2">
        <v>1.5344587000855801</v>
      </c>
      <c r="F22" s="3">
        <v>506685</v>
      </c>
      <c r="G22" s="3">
        <v>142700</v>
      </c>
      <c r="H22" s="3">
        <v>149349</v>
      </c>
      <c r="I22" s="3">
        <v>57668</v>
      </c>
      <c r="J22" s="3">
        <v>3555</v>
      </c>
      <c r="K22" s="3">
        <f t="shared" si="4"/>
        <v>861781.98</v>
      </c>
      <c r="L22" s="3">
        <f t="shared" si="5"/>
        <v>308524.99</v>
      </c>
      <c r="M22" s="3">
        <f t="shared" si="6"/>
        <v>553256.99</v>
      </c>
      <c r="N22" s="23">
        <v>1.5741991996765137</v>
      </c>
      <c r="O22" s="23">
        <v>1.3709656000137329</v>
      </c>
      <c r="P22" s="23">
        <v>1.7249650955200195</v>
      </c>
      <c r="Q22" s="22">
        <v>121056.57</v>
      </c>
      <c r="R22" s="22">
        <v>187468.42</v>
      </c>
      <c r="S22" s="22">
        <v>69434.429999999993</v>
      </c>
      <c r="T22" s="22">
        <v>483822.56</v>
      </c>
      <c r="U22" s="3">
        <v>470879.125</v>
      </c>
      <c r="V22" s="3">
        <v>198423.53125</v>
      </c>
      <c r="W22" s="3">
        <v>272455.59375</v>
      </c>
      <c r="X22" s="2">
        <v>0.55420136451721191</v>
      </c>
      <c r="Y22" s="2">
        <v>2.1890227794647217</v>
      </c>
      <c r="Z22" s="2">
        <v>2.2119667530059814</v>
      </c>
      <c r="AA22" s="2">
        <v>2.1673145294189453</v>
      </c>
      <c r="AB22" s="2">
        <v>2.3752973079681396</v>
      </c>
      <c r="AC22" s="2">
        <v>2.3094916343688965</v>
      </c>
      <c r="AD22" s="2">
        <v>2.3938956260681152</v>
      </c>
      <c r="AE22" s="2">
        <v>1.3805618286132813</v>
      </c>
      <c r="AF22" s="2">
        <v>1.2463043928146362</v>
      </c>
      <c r="AG22" s="2">
        <v>1.5120961666107178</v>
      </c>
      <c r="AH22" s="2">
        <v>0.64044564962387085</v>
      </c>
      <c r="AI22" s="2">
        <v>0.50354713201522827</v>
      </c>
      <c r="AJ22" s="3">
        <f t="shared" si="7"/>
        <v>669456</v>
      </c>
      <c r="AK22" s="3">
        <v>273643</v>
      </c>
      <c r="AL22" s="3">
        <v>395813</v>
      </c>
      <c r="AM22" s="2">
        <v>2.1128650080503202</v>
      </c>
      <c r="AN22" s="2">
        <v>1.53624005622035</v>
      </c>
      <c r="AO22" s="2">
        <v>1.8377635309278</v>
      </c>
      <c r="AP22" s="2">
        <v>1.36603003224371</v>
      </c>
      <c r="AQ22" s="2">
        <v>2.2936251972765498</v>
      </c>
      <c r="AR22" s="2">
        <v>1.77456287035038</v>
      </c>
      <c r="AS22" s="3">
        <v>190502</v>
      </c>
      <c r="AT22" s="23">
        <v>2.84660356347438</v>
      </c>
      <c r="AU22" s="23">
        <v>1.54316786456052</v>
      </c>
      <c r="AV22" s="17"/>
      <c r="AW22" s="18">
        <f t="shared" si="0"/>
        <v>0.63549758256295574</v>
      </c>
      <c r="AX22" s="18">
        <f t="shared" si="1"/>
        <v>0.36450241743704426</v>
      </c>
      <c r="AY22" s="18">
        <f t="shared" si="2"/>
        <v>0.27926551314602799</v>
      </c>
      <c r="AZ22" s="18">
        <f t="shared" si="3"/>
        <v>0.72073448685397201</v>
      </c>
      <c r="BA22" s="18">
        <v>3.2743340000000001</v>
      </c>
      <c r="BB22" s="18">
        <v>0.59320910000000004</v>
      </c>
      <c r="BC22" s="18">
        <v>0.40679090000000001</v>
      </c>
      <c r="BD22" s="18">
        <v>0.64724230000000005</v>
      </c>
      <c r="BE22" s="18">
        <v>0</v>
      </c>
      <c r="BF22" s="18">
        <v>2.1669659999999999</v>
      </c>
      <c r="BG22" s="18">
        <v>2.1669659999999999</v>
      </c>
      <c r="BH22" s="18">
        <v>1</v>
      </c>
      <c r="BI22" s="18">
        <v>0.83056479999999999</v>
      </c>
      <c r="BJ22" s="18">
        <v>0.24612690000000001</v>
      </c>
      <c r="BK22" s="18">
        <v>0.75387309999999996</v>
      </c>
      <c r="BL22" s="18">
        <v>0.29117480000000001</v>
      </c>
      <c r="BM22" s="18">
        <v>3.9300000000000004E-15</v>
      </c>
      <c r="BN22" s="18">
        <v>1.9985569999999999</v>
      </c>
      <c r="BO22" s="18">
        <v>1.9985569999999999</v>
      </c>
      <c r="BP22" s="18">
        <v>1</v>
      </c>
      <c r="BQ22" s="18">
        <v>0.44890160000000001</v>
      </c>
      <c r="BR22" s="18">
        <v>0.26453579999999999</v>
      </c>
      <c r="BS22" s="18">
        <v>0.73546420000000001</v>
      </c>
      <c r="BT22" s="18">
        <v>0.55497370000000001</v>
      </c>
      <c r="BU22" s="18">
        <v>0.69686530000000002</v>
      </c>
      <c r="BV22" s="18">
        <v>0.44306980000000001</v>
      </c>
      <c r="BW22" s="18">
        <v>1.696736</v>
      </c>
      <c r="BX22" s="18">
        <v>2.1889189999999998</v>
      </c>
      <c r="BY22" s="18">
        <v>1.290076</v>
      </c>
      <c r="BZ22" s="18">
        <v>0</v>
      </c>
      <c r="CA22" s="18">
        <v>0.6374725</v>
      </c>
      <c r="CB22" s="18">
        <v>0.3625275</v>
      </c>
      <c r="CC22" s="18">
        <v>0.2849255</v>
      </c>
      <c r="CD22" s="18">
        <v>0.71507449999999995</v>
      </c>
      <c r="CE22" s="18">
        <v>3.1847099999999999</v>
      </c>
      <c r="CF22" s="18">
        <v>2.5739960000000002</v>
      </c>
      <c r="CG22" s="18">
        <v>1.8455269999999999</v>
      </c>
      <c r="CH22" s="18">
        <v>2.1088450000000001</v>
      </c>
      <c r="CI22" s="18">
        <v>1.2582120000000001</v>
      </c>
      <c r="CJ22" s="18">
        <v>1.1178079999999999</v>
      </c>
      <c r="CK22" s="18">
        <v>0.88841029999999999</v>
      </c>
      <c r="CL22" s="18">
        <v>0.99570069999999999</v>
      </c>
      <c r="CM22" s="18">
        <v>0.56350199999999995</v>
      </c>
      <c r="CN22" s="18">
        <v>0.60514999999999997</v>
      </c>
      <c r="CO22" s="18">
        <v>0.53786230000000002</v>
      </c>
      <c r="CP22" s="18">
        <v>-4.2106000000000001E-3</v>
      </c>
      <c r="CQ22" s="18">
        <v>-1.4576499999999999E-2</v>
      </c>
      <c r="CR22" s="18">
        <v>4.7700000000000001E-5</v>
      </c>
      <c r="CS22" s="18">
        <v>1.2512049999999999</v>
      </c>
      <c r="CT22" s="18">
        <v>1.3553275868776431</v>
      </c>
      <c r="CU22" s="18">
        <v>1.1725166488870302</v>
      </c>
      <c r="CV22" s="18">
        <v>0.96231979999999995</v>
      </c>
      <c r="CW22" s="18">
        <v>1.2367159999999999</v>
      </c>
      <c r="CX22" s="18">
        <v>1.22085</v>
      </c>
      <c r="CY22" s="18">
        <v>1.2766196326960562</v>
      </c>
      <c r="CZ22" s="17"/>
      <c r="DG22" s="17"/>
      <c r="DI22" s="11"/>
      <c r="DJ22" s="33"/>
    </row>
    <row r="23" spans="1:114" x14ac:dyDescent="0.3">
      <c r="A23" s="5">
        <v>1968</v>
      </c>
      <c r="B23" s="3">
        <v>200745</v>
      </c>
      <c r="C23" s="3">
        <v>940651</v>
      </c>
      <c r="D23" s="35">
        <v>2.35550767573391</v>
      </c>
      <c r="E23" s="2">
        <v>1.59982168146518</v>
      </c>
      <c r="F23" s="3">
        <v>556852</v>
      </c>
      <c r="G23" s="3">
        <v>156923</v>
      </c>
      <c r="H23" s="3">
        <v>166280</v>
      </c>
      <c r="I23" s="3">
        <v>59246</v>
      </c>
      <c r="J23" s="3">
        <v>1350</v>
      </c>
      <c r="K23" s="3">
        <f t="shared" si="4"/>
        <v>942541.02</v>
      </c>
      <c r="L23" s="3">
        <f t="shared" si="5"/>
        <v>334486</v>
      </c>
      <c r="M23" s="3">
        <f t="shared" si="6"/>
        <v>608055.02</v>
      </c>
      <c r="N23" s="23">
        <v>1.634034276008606</v>
      </c>
      <c r="O23" s="23">
        <v>1.4053806066513062</v>
      </c>
      <c r="P23" s="23">
        <v>1.8033572435379028</v>
      </c>
      <c r="Q23" s="22">
        <v>131250.53</v>
      </c>
      <c r="R23" s="22">
        <v>203235.47</v>
      </c>
      <c r="S23" s="22">
        <v>75848.460000000006</v>
      </c>
      <c r="T23" s="22">
        <v>532206.56000000006</v>
      </c>
      <c r="U23" s="3">
        <v>511077.375</v>
      </c>
      <c r="V23" s="3">
        <v>212542.46875</v>
      </c>
      <c r="W23" s="3">
        <v>298534.875</v>
      </c>
      <c r="X23" s="2">
        <v>0.55819690227508545</v>
      </c>
      <c r="Y23" s="2">
        <v>2.301386833190918</v>
      </c>
      <c r="Z23" s="2">
        <v>2.336033821105957</v>
      </c>
      <c r="AA23" s="2">
        <v>2.2727017402648926</v>
      </c>
      <c r="AB23" s="2">
        <v>2.5099687576293945</v>
      </c>
      <c r="AC23" s="2">
        <v>2.4442868232727051</v>
      </c>
      <c r="AD23" s="2">
        <v>2.5279653072357178</v>
      </c>
      <c r="AE23" s="2">
        <v>1.405327320098877</v>
      </c>
      <c r="AF23" s="2">
        <v>1.2494852542877197</v>
      </c>
      <c r="AG23" s="2">
        <v>1.5561950206756592</v>
      </c>
      <c r="AH23" s="2">
        <v>0.64330285787582397</v>
      </c>
      <c r="AI23" s="2">
        <v>0.50963932275772095</v>
      </c>
      <c r="AJ23" s="3">
        <f t="shared" si="7"/>
        <v>733536</v>
      </c>
      <c r="AK23" s="3">
        <v>295445</v>
      </c>
      <c r="AL23" s="3">
        <v>438091</v>
      </c>
      <c r="AM23" s="2">
        <v>2.21830830370026</v>
      </c>
      <c r="AN23" s="2">
        <v>1.6032715431314899</v>
      </c>
      <c r="AO23" s="2">
        <v>1.92805868796957</v>
      </c>
      <c r="AP23" s="2">
        <v>1.4057947877581101</v>
      </c>
      <c r="AQ23" s="2">
        <v>2.4166628320795298</v>
      </c>
      <c r="AR23" s="2">
        <v>1.8641122309512801</v>
      </c>
      <c r="AS23" s="3">
        <v>207116</v>
      </c>
      <c r="AT23" s="23">
        <v>2.9788418708240498</v>
      </c>
      <c r="AU23" s="23">
        <v>1.6032705690122699</v>
      </c>
      <c r="AV23" s="17"/>
      <c r="AW23" s="18">
        <f t="shared" si="0"/>
        <v>0.6337574606230576</v>
      </c>
      <c r="AX23" s="18">
        <f t="shared" si="1"/>
        <v>0.36624253937694246</v>
      </c>
      <c r="AY23" s="18">
        <f t="shared" si="2"/>
        <v>0.27634464948923304</v>
      </c>
      <c r="AZ23" s="18">
        <f t="shared" si="3"/>
        <v>0.72365535051076701</v>
      </c>
      <c r="BA23" s="18">
        <v>3.5416500000000002</v>
      </c>
      <c r="BB23" s="18">
        <v>0.5884587</v>
      </c>
      <c r="BC23" s="18">
        <v>0.4115413</v>
      </c>
      <c r="BD23" s="18">
        <v>0.64724230000000005</v>
      </c>
      <c r="BE23" s="18">
        <v>0</v>
      </c>
      <c r="BF23" s="18">
        <v>2.2909139999999999</v>
      </c>
      <c r="BG23" s="18">
        <v>2.2909139999999999</v>
      </c>
      <c r="BH23" s="18">
        <v>1</v>
      </c>
      <c r="BI23" s="18">
        <v>0.83056479999999999</v>
      </c>
      <c r="BJ23" s="18">
        <v>0.2424991</v>
      </c>
      <c r="BK23" s="18">
        <v>0.75750090000000003</v>
      </c>
      <c r="BL23" s="18">
        <v>0.29117480000000001</v>
      </c>
      <c r="BM23" s="18">
        <v>3.9300000000000004E-15</v>
      </c>
      <c r="BN23" s="18">
        <v>2.0985330000000002</v>
      </c>
      <c r="BO23" s="18">
        <v>2.0985339999999999</v>
      </c>
      <c r="BP23" s="18">
        <v>1</v>
      </c>
      <c r="BQ23" s="18">
        <v>0.44890160000000001</v>
      </c>
      <c r="BR23" s="18">
        <v>0.25605549999999999</v>
      </c>
      <c r="BS23" s="18">
        <v>0.74394450000000001</v>
      </c>
      <c r="BT23" s="18">
        <v>0.55497370000000001</v>
      </c>
      <c r="BU23" s="18">
        <v>0.69686530000000002</v>
      </c>
      <c r="BV23" s="18">
        <v>0.44306980000000001</v>
      </c>
      <c r="BW23" s="18">
        <v>1.7503</v>
      </c>
      <c r="BX23" s="18">
        <v>2.3137850000000002</v>
      </c>
      <c r="BY23" s="18">
        <v>1.321936</v>
      </c>
      <c r="BZ23" s="18">
        <v>0</v>
      </c>
      <c r="CA23" s="18">
        <v>0.63462790000000002</v>
      </c>
      <c r="CB23" s="18">
        <v>0.36537209999999998</v>
      </c>
      <c r="CC23" s="18">
        <v>0.27780519999999997</v>
      </c>
      <c r="CD23" s="18">
        <v>0.72219480000000003</v>
      </c>
      <c r="CE23" s="18">
        <v>3.3683969999999999</v>
      </c>
      <c r="CF23" s="18">
        <v>2.6896360000000001</v>
      </c>
      <c r="CG23" s="18">
        <v>1.9462600000000001</v>
      </c>
      <c r="CH23" s="18">
        <v>2.2126679999999999</v>
      </c>
      <c r="CI23" s="18">
        <v>1.2831809999999999</v>
      </c>
      <c r="CJ23" s="18">
        <v>1.1248359999999999</v>
      </c>
      <c r="CK23" s="18">
        <v>0.87659980000000004</v>
      </c>
      <c r="CL23" s="18">
        <v>1.00023</v>
      </c>
      <c r="CM23" s="18">
        <v>0.56350199999999995</v>
      </c>
      <c r="CN23" s="18">
        <v>0.60514999999999997</v>
      </c>
      <c r="CO23" s="18">
        <v>0.53786230000000002</v>
      </c>
      <c r="CP23" s="18">
        <v>1.5965900000000002E-2</v>
      </c>
      <c r="CQ23" s="18">
        <v>2.8375399999999999E-2</v>
      </c>
      <c r="CR23" s="18">
        <v>7.4955999999999998E-3</v>
      </c>
      <c r="CS23" s="18">
        <v>1.271342</v>
      </c>
      <c r="CT23" s="18">
        <v>1.3942867669369485</v>
      </c>
      <c r="CU23" s="18">
        <v>1.181318390935552</v>
      </c>
      <c r="CV23" s="18">
        <v>0.95636860000000001</v>
      </c>
      <c r="CW23" s="18">
        <v>1.2542139999999999</v>
      </c>
      <c r="CX23" s="18">
        <v>1.2367360000000001</v>
      </c>
      <c r="CY23" s="18">
        <v>1.2988369825774004</v>
      </c>
      <c r="CZ23" s="17"/>
      <c r="DG23" s="17"/>
      <c r="DI23" s="11"/>
      <c r="DJ23" s="33"/>
    </row>
    <row r="24" spans="1:114" x14ac:dyDescent="0.3">
      <c r="A24" s="5">
        <v>1969</v>
      </c>
      <c r="B24" s="3">
        <v>202736</v>
      </c>
      <c r="C24" s="3">
        <v>1017615</v>
      </c>
      <c r="D24" s="35">
        <v>2.4291229015171898</v>
      </c>
      <c r="E24" s="2">
        <v>1.6782690749024201</v>
      </c>
      <c r="F24" s="3">
        <v>603639</v>
      </c>
      <c r="G24" s="3">
        <v>173562</v>
      </c>
      <c r="H24" s="3">
        <v>179437</v>
      </c>
      <c r="I24" s="3">
        <v>59547</v>
      </c>
      <c r="J24" s="3">
        <v>1431</v>
      </c>
      <c r="K24" s="3">
        <f t="shared" si="4"/>
        <v>1019888.99</v>
      </c>
      <c r="L24" s="3">
        <f t="shared" si="5"/>
        <v>356136</v>
      </c>
      <c r="M24" s="3">
        <f t="shared" si="6"/>
        <v>663752.99</v>
      </c>
      <c r="N24" s="23">
        <v>1.7121062278747559</v>
      </c>
      <c r="O24" s="23">
        <v>1.4517577886581421</v>
      </c>
      <c r="P24" s="23">
        <v>1.9045863151550293</v>
      </c>
      <c r="Q24" s="22">
        <v>140900.57999999999</v>
      </c>
      <c r="R24" s="22">
        <v>215235.42</v>
      </c>
      <c r="S24" s="22">
        <v>83024.429999999993</v>
      </c>
      <c r="T24" s="22">
        <v>580728.56000000006</v>
      </c>
      <c r="U24" s="3">
        <v>563248.6875</v>
      </c>
      <c r="V24" s="3">
        <v>234578.59375</v>
      </c>
      <c r="W24" s="3">
        <v>328670.09375</v>
      </c>
      <c r="X24" s="2">
        <v>0.56205970048904419</v>
      </c>
      <c r="Y24" s="2">
        <v>2.3747429847717285</v>
      </c>
      <c r="Z24" s="2">
        <v>2.401982307434082</v>
      </c>
      <c r="AA24" s="2">
        <v>2.3497867584228516</v>
      </c>
      <c r="AB24" s="2">
        <v>2.6488194465637207</v>
      </c>
      <c r="AC24" s="2">
        <v>2.5789237022399902</v>
      </c>
      <c r="AD24" s="2">
        <v>2.6680502891540527</v>
      </c>
      <c r="AE24" s="2">
        <v>1.437849760055542</v>
      </c>
      <c r="AF24" s="2">
        <v>1.2720767259597778</v>
      </c>
      <c r="AG24" s="2">
        <v>1.597847580909729</v>
      </c>
      <c r="AH24" s="2">
        <v>0.65239012241363525</v>
      </c>
      <c r="AI24" s="2">
        <v>0.51160567998886108</v>
      </c>
      <c r="AJ24" s="3">
        <f t="shared" si="7"/>
        <v>793679</v>
      </c>
      <c r="AK24" s="3">
        <v>315782</v>
      </c>
      <c r="AL24" s="3">
        <v>477897</v>
      </c>
      <c r="AM24" s="2">
        <v>2.2895646119404902</v>
      </c>
      <c r="AN24" s="2">
        <v>1.6807405618701301</v>
      </c>
      <c r="AO24" s="2">
        <v>1.98659638623752</v>
      </c>
      <c r="AP24" s="2">
        <v>1.4582878698330499</v>
      </c>
      <c r="AQ24" s="2">
        <v>2.4985053227345499</v>
      </c>
      <c r="AR24" s="2">
        <v>1.96687976652747</v>
      </c>
      <c r="AS24" s="3">
        <v>223935</v>
      </c>
      <c r="AT24" s="23">
        <v>3.0627783964365198</v>
      </c>
      <c r="AU24" s="23">
        <v>1.6859590503897799</v>
      </c>
      <c r="AV24" s="17"/>
      <c r="AW24" s="18">
        <f t="shared" si="0"/>
        <v>0.62923109839316294</v>
      </c>
      <c r="AX24" s="18">
        <f t="shared" si="1"/>
        <v>0.37076890160683706</v>
      </c>
      <c r="AY24" s="18">
        <f t="shared" si="2"/>
        <v>0.27040849260540656</v>
      </c>
      <c r="AZ24" s="18">
        <f t="shared" si="3"/>
        <v>0.72959150739459344</v>
      </c>
      <c r="BA24" s="18">
        <v>3.7915130000000001</v>
      </c>
      <c r="BB24" s="18">
        <v>0.58308470000000001</v>
      </c>
      <c r="BC24" s="18">
        <v>0.41691529999999999</v>
      </c>
      <c r="BD24" s="18">
        <v>0.64724230000000005</v>
      </c>
      <c r="BE24" s="18">
        <v>0</v>
      </c>
      <c r="BF24" s="18">
        <v>2.3758409999999999</v>
      </c>
      <c r="BG24" s="18">
        <v>2.3758409999999999</v>
      </c>
      <c r="BH24" s="18">
        <v>1</v>
      </c>
      <c r="BI24" s="18">
        <v>0.83056479999999999</v>
      </c>
      <c r="BJ24" s="18">
        <v>0.2384539</v>
      </c>
      <c r="BK24" s="18">
        <v>0.7615461</v>
      </c>
      <c r="BL24" s="18">
        <v>0.29117480000000001</v>
      </c>
      <c r="BM24" s="18">
        <v>3.9300000000000004E-15</v>
      </c>
      <c r="BN24" s="18">
        <v>2.159748</v>
      </c>
      <c r="BO24" s="18">
        <v>2.159748</v>
      </c>
      <c r="BP24" s="18">
        <v>1</v>
      </c>
      <c r="BQ24" s="18">
        <v>0.44890160000000001</v>
      </c>
      <c r="BR24" s="18">
        <v>0.25024390000000002</v>
      </c>
      <c r="BS24" s="18">
        <v>0.74975610000000004</v>
      </c>
      <c r="BT24" s="18">
        <v>0.55497370000000001</v>
      </c>
      <c r="BU24" s="18">
        <v>0.69686530000000002</v>
      </c>
      <c r="BV24" s="18">
        <v>0.44306980000000001</v>
      </c>
      <c r="BW24" s="18">
        <v>1.7903370000000001</v>
      </c>
      <c r="BX24" s="18">
        <v>2.3871329999999999</v>
      </c>
      <c r="BY24" s="18">
        <v>1.3333429999999999</v>
      </c>
      <c r="BZ24" s="18">
        <v>0</v>
      </c>
      <c r="CA24" s="18">
        <v>0.63149379999999999</v>
      </c>
      <c r="CB24" s="18">
        <v>0.36850620000000001</v>
      </c>
      <c r="CC24" s="18">
        <v>0.27337660000000003</v>
      </c>
      <c r="CD24" s="18">
        <v>0.72662340000000003</v>
      </c>
      <c r="CE24" s="18">
        <v>3.5004179999999998</v>
      </c>
      <c r="CF24" s="18">
        <v>2.7875000000000001</v>
      </c>
      <c r="CG24" s="18">
        <v>1.993263</v>
      </c>
      <c r="CH24" s="18">
        <v>2.2836940000000001</v>
      </c>
      <c r="CI24" s="18">
        <v>1.311917</v>
      </c>
      <c r="CJ24" s="18">
        <v>1.1296999999999999</v>
      </c>
      <c r="CK24" s="18">
        <v>0.86110589999999998</v>
      </c>
      <c r="CL24" s="18">
        <v>0.99712100000000004</v>
      </c>
      <c r="CM24" s="18">
        <v>0.56350199999999995</v>
      </c>
      <c r="CN24" s="18">
        <v>0.60514999999999997</v>
      </c>
      <c r="CO24" s="18">
        <v>0.53786230000000002</v>
      </c>
      <c r="CP24" s="18">
        <v>-5.0175000000000003E-3</v>
      </c>
      <c r="CQ24" s="18">
        <v>-5.6620999999999998E-3</v>
      </c>
      <c r="CR24" s="18">
        <v>-5.0707E-3</v>
      </c>
      <c r="CS24" s="18">
        <v>1.2649790000000001</v>
      </c>
      <c r="CT24" s="18">
        <v>1.386381988264245</v>
      </c>
      <c r="CU24" s="18">
        <v>1.1753222717133358</v>
      </c>
      <c r="CV24" s="18">
        <v>0.9471638</v>
      </c>
      <c r="CW24" s="18">
        <v>1.2354149999999999</v>
      </c>
      <c r="CX24" s="18">
        <v>1.2302930000000001</v>
      </c>
      <c r="CY24" s="18">
        <v>1.2887011352748188</v>
      </c>
      <c r="CZ24" s="17"/>
      <c r="DG24" s="17"/>
      <c r="DI24" s="11"/>
      <c r="DJ24" s="33"/>
    </row>
    <row r="25" spans="1:114" x14ac:dyDescent="0.3">
      <c r="A25" s="5">
        <v>1970</v>
      </c>
      <c r="B25" s="3">
        <v>205089</v>
      </c>
      <c r="C25" s="3">
        <v>1073303</v>
      </c>
      <c r="D25" s="35">
        <v>2.4336116347966601</v>
      </c>
      <c r="E25" s="2">
        <v>1.76684580920455</v>
      </c>
      <c r="F25" s="3">
        <v>646724</v>
      </c>
      <c r="G25" s="3">
        <v>170049</v>
      </c>
      <c r="H25" s="3">
        <v>192785</v>
      </c>
      <c r="I25" s="3">
        <v>59796</v>
      </c>
      <c r="J25" s="3">
        <v>3948</v>
      </c>
      <c r="K25" s="3">
        <f t="shared" si="4"/>
        <v>1075904.02</v>
      </c>
      <c r="L25" s="3">
        <f t="shared" si="5"/>
        <v>359398</v>
      </c>
      <c r="M25" s="3">
        <f t="shared" si="6"/>
        <v>716506.02</v>
      </c>
      <c r="N25" s="23">
        <v>1.7982279062271118</v>
      </c>
      <c r="O25" s="23">
        <v>1.5029885768890381</v>
      </c>
      <c r="P25" s="23">
        <v>2.0158114433288574</v>
      </c>
      <c r="Q25" s="22">
        <v>141615.79999999999</v>
      </c>
      <c r="R25" s="22">
        <v>217782.2</v>
      </c>
      <c r="S25" s="22">
        <v>86224.21</v>
      </c>
      <c r="T25" s="22">
        <v>630281.81000000006</v>
      </c>
      <c r="U25" s="3">
        <v>610929.8125</v>
      </c>
      <c r="V25" s="3">
        <v>237534.921875</v>
      </c>
      <c r="W25" s="3">
        <v>373394.90625</v>
      </c>
      <c r="X25" s="2">
        <v>0.57573258876800537</v>
      </c>
      <c r="Y25" s="2">
        <v>2.3827815055847168</v>
      </c>
      <c r="Z25" s="2">
        <v>2.3420348167419434</v>
      </c>
      <c r="AA25" s="2">
        <v>2.3940672874450684</v>
      </c>
      <c r="AB25" s="2">
        <v>2.7715959548950195</v>
      </c>
      <c r="AC25" s="2">
        <v>2.6910402774810791</v>
      </c>
      <c r="AD25" s="2">
        <v>2.7946202754974365</v>
      </c>
      <c r="AE25" s="2">
        <v>1.404610276222229</v>
      </c>
      <c r="AF25" s="2">
        <v>1.2056573629379272</v>
      </c>
      <c r="AG25" s="2">
        <v>1.5930484533309937</v>
      </c>
      <c r="AH25" s="2">
        <v>0.66593372821807861</v>
      </c>
      <c r="AI25" s="2">
        <v>0.52745449542999268</v>
      </c>
      <c r="AJ25" s="3">
        <f t="shared" si="7"/>
        <v>845459</v>
      </c>
      <c r="AK25" s="3">
        <v>324977</v>
      </c>
      <c r="AL25" s="3">
        <v>520482</v>
      </c>
      <c r="AM25" s="2">
        <v>2.3159056393561399</v>
      </c>
      <c r="AN25" s="2">
        <v>1.77002679074469</v>
      </c>
      <c r="AO25" s="2">
        <v>2.0209791687513698</v>
      </c>
      <c r="AP25" s="2">
        <v>1.4752184034090701</v>
      </c>
      <c r="AQ25" s="2">
        <v>2.55576526010675</v>
      </c>
      <c r="AR25" s="2">
        <v>2.0941536333140101</v>
      </c>
      <c r="AS25" s="3">
        <v>227844</v>
      </c>
      <c r="AT25" s="23">
        <v>2.9635300668151401</v>
      </c>
      <c r="AU25" s="23">
        <v>1.7728372922278</v>
      </c>
      <c r="AV25" s="17"/>
      <c r="AW25" s="18">
        <f t="shared" si="0"/>
        <v>0.62155808367459242</v>
      </c>
      <c r="AX25" s="18">
        <f t="shared" si="1"/>
        <v>0.37844191632540747</v>
      </c>
      <c r="AY25" s="18">
        <f t="shared" si="2"/>
        <v>0.25679924797186005</v>
      </c>
      <c r="AZ25" s="18">
        <f t="shared" si="3"/>
        <v>0.74320075202813995</v>
      </c>
      <c r="BA25" s="18">
        <v>3.9896150000000001</v>
      </c>
      <c r="BB25" s="18">
        <v>0.57770840000000001</v>
      </c>
      <c r="BC25" s="18">
        <v>0.42229159999999999</v>
      </c>
      <c r="BD25" s="18">
        <v>0.64724230000000005</v>
      </c>
      <c r="BE25" s="18">
        <v>0</v>
      </c>
      <c r="BF25" s="18">
        <v>2.420264</v>
      </c>
      <c r="BG25" s="18">
        <v>2.420264</v>
      </c>
      <c r="BH25" s="18">
        <v>1</v>
      </c>
      <c r="BI25" s="18">
        <v>0.83056479999999999</v>
      </c>
      <c r="BJ25" s="18">
        <v>0.23446810000000001</v>
      </c>
      <c r="BK25" s="18">
        <v>0.76553190000000004</v>
      </c>
      <c r="BL25" s="18">
        <v>0.29117480000000001</v>
      </c>
      <c r="BM25" s="18">
        <v>3.9300000000000004E-15</v>
      </c>
      <c r="BN25" s="18">
        <v>2.1834889999999998</v>
      </c>
      <c r="BO25" s="18">
        <v>2.1834880000000001</v>
      </c>
      <c r="BP25" s="18">
        <v>0.99999990000000005</v>
      </c>
      <c r="BQ25" s="18">
        <v>0.44890160000000001</v>
      </c>
      <c r="BR25" s="18">
        <v>0.24722169999999999</v>
      </c>
      <c r="BS25" s="18">
        <v>0.75277830000000001</v>
      </c>
      <c r="BT25" s="18">
        <v>0.55497370000000001</v>
      </c>
      <c r="BU25" s="18">
        <v>0.69686530000000002</v>
      </c>
      <c r="BV25" s="18">
        <v>0.44306980000000001</v>
      </c>
      <c r="BW25" s="18">
        <v>1.8185549999999999</v>
      </c>
      <c r="BX25" s="18">
        <v>2.410485</v>
      </c>
      <c r="BY25" s="18">
        <v>1.3254950000000001</v>
      </c>
      <c r="BZ25" s="18">
        <v>0</v>
      </c>
      <c r="CA25" s="18">
        <v>0.62539429999999996</v>
      </c>
      <c r="CB25" s="18">
        <v>0.37460569999999999</v>
      </c>
      <c r="CC25" s="18">
        <v>0.26360430000000001</v>
      </c>
      <c r="CD25" s="18">
        <v>0.73639580000000004</v>
      </c>
      <c r="CE25" s="18">
        <v>3.3981629999999998</v>
      </c>
      <c r="CF25" s="18">
        <v>2.7351390000000002</v>
      </c>
      <c r="CG25" s="18">
        <v>1.9462820000000001</v>
      </c>
      <c r="CH25" s="18">
        <v>2.3396189999999999</v>
      </c>
      <c r="CI25" s="18">
        <v>1.341202</v>
      </c>
      <c r="CJ25" s="18">
        <v>1.137089</v>
      </c>
      <c r="CK25" s="18">
        <v>0.84781340000000005</v>
      </c>
      <c r="CL25" s="18">
        <v>0.99865250000000005</v>
      </c>
      <c r="CM25" s="18">
        <v>0.56350199999999995</v>
      </c>
      <c r="CN25" s="18">
        <v>0.60514999999999997</v>
      </c>
      <c r="CO25" s="18">
        <v>0.53786230000000002</v>
      </c>
      <c r="CP25" s="18">
        <v>-3.2184000000000002E-3</v>
      </c>
      <c r="CQ25" s="18">
        <v>-1.36314E-2</v>
      </c>
      <c r="CR25" s="18">
        <v>1.3320000000000001E-4</v>
      </c>
      <c r="CS25" s="18">
        <v>1.2609140000000001</v>
      </c>
      <c r="CT25" s="18">
        <v>1.3675255367757002</v>
      </c>
      <c r="CU25" s="18">
        <v>1.1754408074838429</v>
      </c>
      <c r="CV25" s="18">
        <v>0.94028679999999998</v>
      </c>
      <c r="CW25" s="18">
        <v>1.2163470000000001</v>
      </c>
      <c r="CX25" s="18">
        <v>1.2260679999999999</v>
      </c>
      <c r="CY25" s="18">
        <v>1.2842987417028178</v>
      </c>
      <c r="CZ25" s="17"/>
      <c r="DG25" s="17"/>
      <c r="DI25" s="11"/>
      <c r="DJ25" s="33"/>
    </row>
    <row r="26" spans="1:114" x14ac:dyDescent="0.3">
      <c r="A26" s="5">
        <v>1971</v>
      </c>
      <c r="B26" s="3">
        <v>207692</v>
      </c>
      <c r="C26" s="3">
        <v>1164850</v>
      </c>
      <c r="D26" s="35">
        <v>2.5136906365023801</v>
      </c>
      <c r="E26" s="2">
        <v>1.85646068790233</v>
      </c>
      <c r="F26" s="3">
        <v>699937</v>
      </c>
      <c r="G26" s="3">
        <v>196824</v>
      </c>
      <c r="H26" s="3">
        <v>208960</v>
      </c>
      <c r="I26" s="3">
        <v>58509</v>
      </c>
      <c r="J26" s="3">
        <v>621</v>
      </c>
      <c r="K26" s="3">
        <f t="shared" si="4"/>
        <v>1167804</v>
      </c>
      <c r="L26" s="3">
        <f t="shared" si="5"/>
        <v>383162.02</v>
      </c>
      <c r="M26" s="3">
        <f t="shared" si="6"/>
        <v>784641.98</v>
      </c>
      <c r="N26" s="23">
        <v>1.8910868167877197</v>
      </c>
      <c r="O26" s="23">
        <v>1.5550181865692139</v>
      </c>
      <c r="P26" s="23">
        <v>2.1375854015350342</v>
      </c>
      <c r="Q26" s="22">
        <v>150699.97</v>
      </c>
      <c r="R26" s="22">
        <v>232462.05</v>
      </c>
      <c r="S26" s="22">
        <v>96379.04</v>
      </c>
      <c r="T26" s="22">
        <v>688262.94</v>
      </c>
      <c r="U26" s="3">
        <v>642072.125</v>
      </c>
      <c r="V26" s="3">
        <v>247685.984375</v>
      </c>
      <c r="W26" s="3">
        <v>394386.15625</v>
      </c>
      <c r="X26" s="2">
        <v>0.57478636503219604</v>
      </c>
      <c r="Y26" s="2">
        <v>2.45906662940979</v>
      </c>
      <c r="Z26" s="2">
        <v>2.4110782146453857</v>
      </c>
      <c r="AA26" s="2">
        <v>2.4738080501556396</v>
      </c>
      <c r="AB26" s="2">
        <v>2.9007253646850586</v>
      </c>
      <c r="AC26" s="2">
        <v>2.8003273010253906</v>
      </c>
      <c r="AD26" s="2">
        <v>2.9310183525085449</v>
      </c>
      <c r="AE26" s="2">
        <v>1.4000799655914307</v>
      </c>
      <c r="AF26" s="2">
        <v>1.1783778667449951</v>
      </c>
      <c r="AG26" s="2">
        <v>1.6077616214752197</v>
      </c>
      <c r="AH26" s="2">
        <v>0.65996372699737549</v>
      </c>
      <c r="AI26" s="2">
        <v>0.53144842386245728</v>
      </c>
      <c r="AJ26" s="3">
        <f t="shared" si="7"/>
        <v>917774</v>
      </c>
      <c r="AK26" s="3">
        <v>350018</v>
      </c>
      <c r="AL26" s="3">
        <v>567756</v>
      </c>
      <c r="AM26" s="2">
        <v>2.3947128294381299</v>
      </c>
      <c r="AN26" s="2">
        <v>1.85818942675734</v>
      </c>
      <c r="AO26" s="2">
        <v>2.0826501010238201</v>
      </c>
      <c r="AP26" s="2">
        <v>1.5418410374356899</v>
      </c>
      <c r="AQ26" s="2">
        <v>2.6195010572237099</v>
      </c>
      <c r="AR26" s="2">
        <v>2.2287786654955002</v>
      </c>
      <c r="AS26" s="3">
        <v>247077</v>
      </c>
      <c r="AT26" s="23">
        <v>3.04871937639198</v>
      </c>
      <c r="AU26" s="23">
        <v>1.86876842916358</v>
      </c>
      <c r="AV26" s="17"/>
      <c r="AW26" s="18">
        <f t="shared" si="0"/>
        <v>0.60992623371770838</v>
      </c>
      <c r="AX26" s="18">
        <f t="shared" si="1"/>
        <v>0.39007376628229162</v>
      </c>
      <c r="AY26" s="18">
        <f t="shared" si="2"/>
        <v>0.25247718105272671</v>
      </c>
      <c r="AZ26" s="18">
        <f t="shared" si="3"/>
        <v>0.74752281894727324</v>
      </c>
      <c r="BA26" s="18">
        <v>4.2766729999999997</v>
      </c>
      <c r="BB26" s="18">
        <v>0.57169000000000003</v>
      </c>
      <c r="BC26" s="18">
        <v>0.42831000000000002</v>
      </c>
      <c r="BD26" s="18">
        <v>0.64724230000000005</v>
      </c>
      <c r="BE26" s="18">
        <v>0</v>
      </c>
      <c r="BF26" s="18">
        <v>2.5129700000000001</v>
      </c>
      <c r="BG26" s="18">
        <v>2.5129700000000001</v>
      </c>
      <c r="BH26" s="18">
        <v>1</v>
      </c>
      <c r="BI26" s="18">
        <v>0.83056479999999999</v>
      </c>
      <c r="BJ26" s="18">
        <v>0.23007730000000001</v>
      </c>
      <c r="BK26" s="18">
        <v>0.76992269999999996</v>
      </c>
      <c r="BL26" s="18">
        <v>0.29117480000000001</v>
      </c>
      <c r="BM26" s="18">
        <v>3.9300000000000004E-15</v>
      </c>
      <c r="BN26" s="18">
        <v>2.2480899999999999</v>
      </c>
      <c r="BO26" s="18">
        <v>2.2480899999999999</v>
      </c>
      <c r="BP26" s="18">
        <v>1</v>
      </c>
      <c r="BQ26" s="18">
        <v>0.44890160000000001</v>
      </c>
      <c r="BR26" s="18">
        <v>0.2415602</v>
      </c>
      <c r="BS26" s="18">
        <v>0.7584398</v>
      </c>
      <c r="BT26" s="18">
        <v>0.55497370000000001</v>
      </c>
      <c r="BU26" s="18">
        <v>0.69686530000000002</v>
      </c>
      <c r="BV26" s="18">
        <v>0.44306980000000001</v>
      </c>
      <c r="BW26" s="18">
        <v>1.8643940000000001</v>
      </c>
      <c r="BX26" s="18">
        <v>2.4862069999999998</v>
      </c>
      <c r="BY26" s="18">
        <v>1.33352</v>
      </c>
      <c r="BZ26" s="18">
        <v>0</v>
      </c>
      <c r="CA26" s="18">
        <v>0.61574209999999996</v>
      </c>
      <c r="CB26" s="18">
        <v>0.38425789999999999</v>
      </c>
      <c r="CC26" s="18">
        <v>0.25463829999999998</v>
      </c>
      <c r="CD26" s="18">
        <v>0.74536170000000002</v>
      </c>
      <c r="CE26" s="18">
        <v>3.4950739999999998</v>
      </c>
      <c r="CF26" s="18">
        <v>2.8830049999999998</v>
      </c>
      <c r="CG26" s="18">
        <v>2.007736</v>
      </c>
      <c r="CH26" s="18">
        <v>2.4090310000000001</v>
      </c>
      <c r="CI26" s="18">
        <v>1.3746370000000001</v>
      </c>
      <c r="CJ26" s="18">
        <v>1.143907</v>
      </c>
      <c r="CK26" s="18">
        <v>0.83215229999999996</v>
      </c>
      <c r="CL26" s="18">
        <v>0.99456250000000002</v>
      </c>
      <c r="CM26" s="18">
        <v>0.56350199999999995</v>
      </c>
      <c r="CN26" s="18">
        <v>0.60514999999999997</v>
      </c>
      <c r="CO26" s="18">
        <v>0.53786230000000002</v>
      </c>
      <c r="CP26" s="18">
        <v>1.34567E-2</v>
      </c>
      <c r="CQ26" s="18">
        <v>2.4573999999999999E-2</v>
      </c>
      <c r="CR26" s="18">
        <v>6.7837000000000001E-3</v>
      </c>
      <c r="CS26" s="18">
        <v>1.277997</v>
      </c>
      <c r="CT26" s="18">
        <v>1.4014897514838451</v>
      </c>
      <c r="CU26" s="18">
        <v>1.1834118869581645</v>
      </c>
      <c r="CV26" s="18">
        <v>0.93169069999999998</v>
      </c>
      <c r="CW26" s="18">
        <v>1.226667</v>
      </c>
      <c r="CX26" s="18">
        <v>1.240119</v>
      </c>
      <c r="CY26" s="18">
        <v>1.2987336303404251</v>
      </c>
      <c r="CZ26" s="17"/>
      <c r="DG26" s="17"/>
      <c r="DI26" s="11"/>
      <c r="DJ26" s="33"/>
    </row>
    <row r="27" spans="1:114" x14ac:dyDescent="0.3">
      <c r="A27" s="5">
        <v>1972</v>
      </c>
      <c r="B27" s="3">
        <v>209924</v>
      </c>
      <c r="C27" s="3">
        <v>1279110</v>
      </c>
      <c r="D27" s="35">
        <v>2.6458389442499302</v>
      </c>
      <c r="E27" s="2">
        <v>1.9367433353200501</v>
      </c>
      <c r="F27" s="3">
        <v>768153</v>
      </c>
      <c r="G27" s="3">
        <v>228140</v>
      </c>
      <c r="H27" s="3">
        <v>225498</v>
      </c>
      <c r="I27" s="3">
        <v>60691</v>
      </c>
      <c r="J27" s="3">
        <v>-3372</v>
      </c>
      <c r="K27" s="3">
        <f t="shared" si="4"/>
        <v>1282507.99</v>
      </c>
      <c r="L27" s="3">
        <f t="shared" si="5"/>
        <v>422717</v>
      </c>
      <c r="M27" s="3">
        <f t="shared" si="6"/>
        <v>859790.99</v>
      </c>
      <c r="N27" s="23">
        <v>1.9750920534133911</v>
      </c>
      <c r="O27" s="23">
        <v>1.6121913194656372</v>
      </c>
      <c r="P27" s="23">
        <v>2.2408280372619629</v>
      </c>
      <c r="Q27" s="22">
        <v>170734.95</v>
      </c>
      <c r="R27" s="22">
        <v>251982.05</v>
      </c>
      <c r="S27" s="22">
        <v>108993.05</v>
      </c>
      <c r="T27" s="22">
        <v>750797.94</v>
      </c>
      <c r="U27" s="3">
        <v>709898.75</v>
      </c>
      <c r="V27" s="3">
        <v>274307.28125</v>
      </c>
      <c r="W27" s="3">
        <v>435591.4375</v>
      </c>
      <c r="X27" s="2">
        <v>0.56711232662200928</v>
      </c>
      <c r="Y27" s="2">
        <v>2.588883638381958</v>
      </c>
      <c r="Z27" s="2">
        <v>2.5701115131378174</v>
      </c>
      <c r="AA27" s="2">
        <v>2.5881478786468506</v>
      </c>
      <c r="AB27" s="2">
        <v>3.0204887390136719</v>
      </c>
      <c r="AC27" s="2">
        <v>2.8997070789337158</v>
      </c>
      <c r="AD27" s="2">
        <v>3.0582795143127441</v>
      </c>
      <c r="AE27" s="2">
        <v>1.4323701858520508</v>
      </c>
      <c r="AF27" s="2">
        <v>1.2160598039627075</v>
      </c>
      <c r="AG27" s="2">
        <v>1.635891318321228</v>
      </c>
      <c r="AH27" s="2">
        <v>0.65364360809326172</v>
      </c>
      <c r="AI27" s="2">
        <v>0.5235285758972168</v>
      </c>
      <c r="AJ27" s="3">
        <f t="shared" si="7"/>
        <v>999385</v>
      </c>
      <c r="AK27" s="3">
        <v>378574</v>
      </c>
      <c r="AL27" s="3">
        <v>620811</v>
      </c>
      <c r="AM27" s="2">
        <v>2.5040661575672898</v>
      </c>
      <c r="AN27" s="2">
        <v>1.9350652368469199</v>
      </c>
      <c r="AO27" s="2">
        <v>2.2105095556572598</v>
      </c>
      <c r="AP27" s="2">
        <v>1.57117268638407</v>
      </c>
      <c r="AQ27" s="2">
        <v>2.7134557062096198</v>
      </c>
      <c r="AR27" s="2">
        <v>2.3526669645320202</v>
      </c>
      <c r="AS27" s="3">
        <v>279724</v>
      </c>
      <c r="AT27" s="23">
        <v>3.2868875278396401</v>
      </c>
      <c r="AU27" s="23">
        <v>1.9623908331430699</v>
      </c>
      <c r="AV27" s="17"/>
      <c r="AW27" s="18">
        <f t="shared" si="0"/>
        <v>0.61036060029743189</v>
      </c>
      <c r="AX27" s="18">
        <f t="shared" si="1"/>
        <v>0.38963939970256822</v>
      </c>
      <c r="AY27" s="18">
        <f t="shared" si="2"/>
        <v>0.25128348442613019</v>
      </c>
      <c r="AZ27" s="18">
        <f t="shared" si="3"/>
        <v>0.74871651557386976</v>
      </c>
      <c r="BA27" s="18">
        <v>4.6141110000000003</v>
      </c>
      <c r="BB27" s="18">
        <v>0.56897929999999997</v>
      </c>
      <c r="BC27" s="18">
        <v>0.43102069999999998</v>
      </c>
      <c r="BD27" s="18">
        <v>0.64724230000000005</v>
      </c>
      <c r="BE27" s="18">
        <v>0</v>
      </c>
      <c r="BF27" s="18">
        <v>2.630671</v>
      </c>
      <c r="BG27" s="18">
        <v>2.630671</v>
      </c>
      <c r="BH27" s="18">
        <v>1</v>
      </c>
      <c r="BI27" s="18">
        <v>0.83056479999999999</v>
      </c>
      <c r="BJ27" s="18">
        <v>0.22812370000000001</v>
      </c>
      <c r="BK27" s="18">
        <v>0.77187629999999996</v>
      </c>
      <c r="BL27" s="18">
        <v>0.29117480000000001</v>
      </c>
      <c r="BM27" s="18">
        <v>3.9300000000000004E-15</v>
      </c>
      <c r="BN27" s="18">
        <v>2.3445170000000002</v>
      </c>
      <c r="BO27" s="18">
        <v>2.3445170000000002</v>
      </c>
      <c r="BP27" s="18">
        <v>1</v>
      </c>
      <c r="BQ27" s="18">
        <v>0.44890160000000001</v>
      </c>
      <c r="BR27" s="18">
        <v>0.2359077</v>
      </c>
      <c r="BS27" s="18">
        <v>0.76409229999999995</v>
      </c>
      <c r="BT27" s="18">
        <v>0.55497370000000001</v>
      </c>
      <c r="BU27" s="18">
        <v>0.69686530000000002</v>
      </c>
      <c r="BV27" s="18">
        <v>0.44306980000000001</v>
      </c>
      <c r="BW27" s="18">
        <v>1.9151279999999999</v>
      </c>
      <c r="BX27" s="18">
        <v>2.6055609999999998</v>
      </c>
      <c r="BY27" s="18">
        <v>1.3605160000000001</v>
      </c>
      <c r="BZ27" s="18">
        <v>0</v>
      </c>
      <c r="CA27" s="18">
        <v>0.61014480000000004</v>
      </c>
      <c r="CB27" s="18">
        <v>0.38985520000000001</v>
      </c>
      <c r="CC27" s="18">
        <v>0.2518801</v>
      </c>
      <c r="CD27" s="18">
        <v>0.7481198</v>
      </c>
      <c r="CE27" s="18">
        <v>3.8192879999999998</v>
      </c>
      <c r="CF27" s="18">
        <v>3.1100910000000002</v>
      </c>
      <c r="CG27" s="18">
        <v>2.1017980000000001</v>
      </c>
      <c r="CH27" s="18">
        <v>2.5100069999999999</v>
      </c>
      <c r="CI27" s="18">
        <v>1.3899269999999999</v>
      </c>
      <c r="CJ27" s="18">
        <v>1.1418759999999999</v>
      </c>
      <c r="CK27" s="18">
        <v>0.82153670000000001</v>
      </c>
      <c r="CL27" s="18">
        <v>0.98618919999999999</v>
      </c>
      <c r="CM27" s="18">
        <v>0.56350199999999995</v>
      </c>
      <c r="CN27" s="18">
        <v>0.60514999999999997</v>
      </c>
      <c r="CO27" s="18">
        <v>0.53786230000000002</v>
      </c>
      <c r="CP27" s="18">
        <v>2.09366E-2</v>
      </c>
      <c r="CQ27" s="18">
        <v>3.0915600000000001E-2</v>
      </c>
      <c r="CR27" s="18">
        <v>1.68577E-2</v>
      </c>
      <c r="CS27" s="18">
        <v>1.3050349999999999</v>
      </c>
      <c r="CT27" s="18">
        <v>1.4454911771826973</v>
      </c>
      <c r="CU27" s="18">
        <v>1.2035106756992351</v>
      </c>
      <c r="CV27" s="18">
        <v>0.9237805</v>
      </c>
      <c r="CW27" s="18">
        <v>1.247512</v>
      </c>
      <c r="CX27" s="18">
        <v>1.2657510000000001</v>
      </c>
      <c r="CY27" s="18">
        <v>1.3174240380486943</v>
      </c>
      <c r="CZ27" s="17"/>
      <c r="DG27" s="17"/>
      <c r="DI27" s="11"/>
      <c r="DJ27" s="33"/>
    </row>
    <row r="28" spans="1:114" x14ac:dyDescent="0.3">
      <c r="A28" s="5">
        <v>1973</v>
      </c>
      <c r="B28" s="3">
        <v>211939</v>
      </c>
      <c r="C28" s="3">
        <v>1425376</v>
      </c>
      <c r="D28" s="35">
        <v>2.7952239877906502</v>
      </c>
      <c r="E28" s="2">
        <v>2.04286848113605</v>
      </c>
      <c r="F28" s="3">
        <v>849575</v>
      </c>
      <c r="G28" s="3">
        <v>266925</v>
      </c>
      <c r="H28" s="3">
        <v>239125</v>
      </c>
      <c r="I28" s="3">
        <v>65640</v>
      </c>
      <c r="J28" s="3">
        <v>4111</v>
      </c>
      <c r="K28" s="3">
        <f t="shared" si="4"/>
        <v>1428553</v>
      </c>
      <c r="L28" s="3">
        <f t="shared" si="5"/>
        <v>483712.02</v>
      </c>
      <c r="M28" s="3">
        <f t="shared" si="6"/>
        <v>944840.98</v>
      </c>
      <c r="N28" s="23">
        <v>2.0898294448852539</v>
      </c>
      <c r="O28" s="23">
        <v>1.7446310520172119</v>
      </c>
      <c r="P28" s="23">
        <v>2.3435981273651123</v>
      </c>
      <c r="Q28" s="22">
        <v>194389.02</v>
      </c>
      <c r="R28" s="22">
        <v>289323</v>
      </c>
      <c r="S28" s="22">
        <v>122301.98</v>
      </c>
      <c r="T28" s="22">
        <v>822539</v>
      </c>
      <c r="U28" s="3">
        <v>795746.8125</v>
      </c>
      <c r="V28" s="3">
        <v>314278.875</v>
      </c>
      <c r="W28" s="3">
        <v>481467.90625</v>
      </c>
      <c r="X28" s="2">
        <v>0.57074528932571411</v>
      </c>
      <c r="Y28" s="2">
        <v>2.722813606262207</v>
      </c>
      <c r="Z28" s="2">
        <v>2.7225549221038818</v>
      </c>
      <c r="AA28" s="2">
        <v>2.7119474411010742</v>
      </c>
      <c r="AB28" s="2">
        <v>3.1526923179626465</v>
      </c>
      <c r="AC28" s="2">
        <v>3.0202271938323975</v>
      </c>
      <c r="AD28" s="2">
        <v>3.1946957111358643</v>
      </c>
      <c r="AE28" s="2">
        <v>1.4917737245559692</v>
      </c>
      <c r="AF28" s="2">
        <v>1.281403660774231</v>
      </c>
      <c r="AG28" s="2">
        <v>1.6909971237182617</v>
      </c>
      <c r="AH28" s="2">
        <v>0.65415537357330322</v>
      </c>
      <c r="AI28" s="2">
        <v>0.52762705087661743</v>
      </c>
      <c r="AJ28" s="3">
        <f t="shared" si="7"/>
        <v>1108687</v>
      </c>
      <c r="AK28" s="3">
        <v>436441</v>
      </c>
      <c r="AL28" s="3">
        <v>672246</v>
      </c>
      <c r="AM28" s="2">
        <v>2.6354636564831799</v>
      </c>
      <c r="AN28" s="2">
        <v>2.0396726091901898</v>
      </c>
      <c r="AO28" s="2">
        <v>2.3818794530729801</v>
      </c>
      <c r="AP28" s="2">
        <v>1.6810138728936601</v>
      </c>
      <c r="AQ28" s="2">
        <v>2.7903441992943399</v>
      </c>
      <c r="AR28" s="2">
        <v>2.4773891762273998</v>
      </c>
      <c r="AS28" s="3">
        <v>316688</v>
      </c>
      <c r="AT28" s="23">
        <v>3.5192093541202598</v>
      </c>
      <c r="AU28" s="23">
        <v>2.0750431108685299</v>
      </c>
      <c r="AV28" s="17"/>
      <c r="AW28" s="18">
        <f t="shared" si="0"/>
        <v>0.61381289648269133</v>
      </c>
      <c r="AX28" s="18">
        <f t="shared" si="1"/>
        <v>0.38618710351730867</v>
      </c>
      <c r="AY28" s="18">
        <f t="shared" si="2"/>
        <v>0.26021484680652812</v>
      </c>
      <c r="AZ28" s="18">
        <f t="shared" si="3"/>
        <v>0.73978515319347182</v>
      </c>
      <c r="BA28" s="18">
        <v>5.0604120000000004</v>
      </c>
      <c r="BB28" s="18">
        <v>0.57732329999999998</v>
      </c>
      <c r="BC28" s="18">
        <v>0.42267670000000002</v>
      </c>
      <c r="BD28" s="18">
        <v>0.64724230000000005</v>
      </c>
      <c r="BE28" s="18">
        <v>0</v>
      </c>
      <c r="BF28" s="18">
        <v>2.7311700000000001</v>
      </c>
      <c r="BG28" s="18">
        <v>2.7311700000000001</v>
      </c>
      <c r="BH28" s="18">
        <v>1</v>
      </c>
      <c r="BI28" s="18">
        <v>0.83056479999999999</v>
      </c>
      <c r="BJ28" s="18">
        <v>0.234185</v>
      </c>
      <c r="BK28" s="18">
        <v>0.76581500000000002</v>
      </c>
      <c r="BL28" s="18">
        <v>0.29117480000000001</v>
      </c>
      <c r="BM28" s="18">
        <v>3.9300000000000004E-15</v>
      </c>
      <c r="BN28" s="18">
        <v>2.4626450000000002</v>
      </c>
      <c r="BO28" s="18">
        <v>2.4626440000000001</v>
      </c>
      <c r="BP28" s="18">
        <v>0.99999990000000005</v>
      </c>
      <c r="BQ28" s="18">
        <v>0.44890160000000001</v>
      </c>
      <c r="BR28" s="18">
        <v>0.23529839999999999</v>
      </c>
      <c r="BS28" s="18">
        <v>0.76470150000000003</v>
      </c>
      <c r="BT28" s="18">
        <v>0.55497370000000001</v>
      </c>
      <c r="BU28" s="18">
        <v>0.69686530000000002</v>
      </c>
      <c r="BV28" s="18">
        <v>0.44306980000000001</v>
      </c>
      <c r="BW28" s="18">
        <v>1.954494</v>
      </c>
      <c r="BX28" s="18">
        <v>2.7607020000000002</v>
      </c>
      <c r="BY28" s="18">
        <v>1.41249</v>
      </c>
      <c r="BZ28" s="18">
        <v>0</v>
      </c>
      <c r="CA28" s="18">
        <v>0.61208739999999995</v>
      </c>
      <c r="CB28" s="18">
        <v>0.3879127</v>
      </c>
      <c r="CC28" s="18">
        <v>0.2557489</v>
      </c>
      <c r="CD28" s="18">
        <v>0.74425110000000005</v>
      </c>
      <c r="CE28" s="18">
        <v>4.0183249999999999</v>
      </c>
      <c r="CF28" s="18">
        <v>3.336859</v>
      </c>
      <c r="CG28" s="18">
        <v>2.2269950000000001</v>
      </c>
      <c r="CH28" s="18">
        <v>2.6256390000000001</v>
      </c>
      <c r="CI28" s="18">
        <v>1.3433200000000001</v>
      </c>
      <c r="CJ28" s="18">
        <v>1.1294550000000001</v>
      </c>
      <c r="CK28" s="18">
        <v>0.84079400000000004</v>
      </c>
      <c r="CL28" s="18">
        <v>0.98312319999999997</v>
      </c>
      <c r="CM28" s="18">
        <v>0.56350199999999995</v>
      </c>
      <c r="CN28" s="18">
        <v>0.60514999999999997</v>
      </c>
      <c r="CO28" s="18">
        <v>0.53786230000000002</v>
      </c>
      <c r="CP28" s="18">
        <v>8.8421999999999997E-3</v>
      </c>
      <c r="CQ28" s="18">
        <v>1.0352500000000001E-2</v>
      </c>
      <c r="CR28" s="18">
        <v>9.0069E-3</v>
      </c>
      <c r="CS28" s="18">
        <v>1.3166260000000001</v>
      </c>
      <c r="CT28" s="18">
        <v>1.4605444538200629</v>
      </c>
      <c r="CU28" s="18">
        <v>1.2143911093771234</v>
      </c>
      <c r="CV28" s="18">
        <v>0.93300810000000001</v>
      </c>
      <c r="CW28" s="18">
        <v>1.2724070000000001</v>
      </c>
      <c r="CX28" s="18">
        <v>1.277641</v>
      </c>
      <c r="CY28" s="18">
        <v>1.3312338245423465</v>
      </c>
      <c r="CZ28" s="17"/>
      <c r="DG28" s="17"/>
      <c r="DI28" s="11"/>
      <c r="DJ28" s="33"/>
    </row>
    <row r="29" spans="1:114" x14ac:dyDescent="0.3">
      <c r="A29" s="5">
        <v>1974</v>
      </c>
      <c r="B29" s="3">
        <v>213898</v>
      </c>
      <c r="C29" s="3">
        <v>1545243</v>
      </c>
      <c r="D29" s="35">
        <v>2.78005206930604</v>
      </c>
      <c r="E29" s="2">
        <v>2.2267498679308302</v>
      </c>
      <c r="F29" s="3">
        <v>930161</v>
      </c>
      <c r="G29" s="3">
        <v>274526</v>
      </c>
      <c r="H29" s="3">
        <v>265205</v>
      </c>
      <c r="I29" s="3">
        <v>76166</v>
      </c>
      <c r="J29" s="3">
        <v>-815</v>
      </c>
      <c r="K29" s="3">
        <f t="shared" si="4"/>
        <v>1548858.03</v>
      </c>
      <c r="L29" s="3">
        <f t="shared" si="5"/>
        <v>514992.99</v>
      </c>
      <c r="M29" s="3">
        <f t="shared" si="6"/>
        <v>1033865.04</v>
      </c>
      <c r="N29" s="23">
        <v>2.2835109233856201</v>
      </c>
      <c r="O29" s="23">
        <v>1.9699662923812866</v>
      </c>
      <c r="P29" s="23">
        <v>2.5173575878143311</v>
      </c>
      <c r="Q29" s="22">
        <v>206592.83</v>
      </c>
      <c r="R29" s="22">
        <v>308400.15999999997</v>
      </c>
      <c r="S29" s="22">
        <v>130111.16</v>
      </c>
      <c r="T29" s="22">
        <v>903753.88</v>
      </c>
      <c r="U29" s="3">
        <v>839624.3125</v>
      </c>
      <c r="V29" s="3">
        <v>328322.8125</v>
      </c>
      <c r="W29" s="3">
        <v>511301.53125</v>
      </c>
      <c r="X29" s="2">
        <v>0.56495797634124756</v>
      </c>
      <c r="Y29" s="2">
        <v>2.7034358978271484</v>
      </c>
      <c r="Z29" s="2">
        <v>2.5641734600067139</v>
      </c>
      <c r="AA29" s="2">
        <v>2.767728328704834</v>
      </c>
      <c r="AB29" s="2">
        <v>3.2913753986358643</v>
      </c>
      <c r="AC29" s="2">
        <v>3.1576354503631592</v>
      </c>
      <c r="AD29" s="2">
        <v>3.3333835601806641</v>
      </c>
      <c r="AE29" s="2">
        <v>1.4881918430328369</v>
      </c>
      <c r="AF29" s="2">
        <v>1.2593812942504883</v>
      </c>
      <c r="AG29" s="2">
        <v>1.7033238410949707</v>
      </c>
      <c r="AH29" s="2">
        <v>0.64820319414138794</v>
      </c>
      <c r="AI29" s="2">
        <v>0.52160453796386719</v>
      </c>
      <c r="AJ29" s="3">
        <f t="shared" si="7"/>
        <v>1208541</v>
      </c>
      <c r="AK29" s="3">
        <v>464502</v>
      </c>
      <c r="AL29" s="3">
        <v>744039</v>
      </c>
      <c r="AM29" s="2">
        <v>2.6466765648600798</v>
      </c>
      <c r="AN29" s="2">
        <v>2.2139543665271302</v>
      </c>
      <c r="AO29" s="2">
        <v>2.3473314776399001</v>
      </c>
      <c r="AP29" s="2">
        <v>1.8154266187591599</v>
      </c>
      <c r="AQ29" s="2">
        <v>2.85087390047152</v>
      </c>
      <c r="AR29" s="2">
        <v>2.6837464303102498</v>
      </c>
      <c r="AS29" s="3">
        <v>336702</v>
      </c>
      <c r="AT29" s="23">
        <v>3.3819599109131402</v>
      </c>
      <c r="AU29" s="23">
        <v>2.2957144131305101</v>
      </c>
      <c r="AV29" s="17"/>
      <c r="AW29" s="18">
        <f t="shared" si="0"/>
        <v>0.61357404763751089</v>
      </c>
      <c r="AX29" s="18">
        <f t="shared" si="1"/>
        <v>0.38642595236248911</v>
      </c>
      <c r="AY29" s="18">
        <f t="shared" si="2"/>
        <v>0.25442324145535161</v>
      </c>
      <c r="AZ29" s="18">
        <f t="shared" si="3"/>
        <v>0.74557675854464833</v>
      </c>
      <c r="BA29" s="18">
        <v>5.471902</v>
      </c>
      <c r="BB29" s="18">
        <v>0.58946299999999996</v>
      </c>
      <c r="BC29" s="18">
        <v>0.41053699999999999</v>
      </c>
      <c r="BD29" s="18">
        <v>0.64724230000000005</v>
      </c>
      <c r="BE29" s="18">
        <v>0</v>
      </c>
      <c r="BF29" s="18">
        <v>2.6951269999999998</v>
      </c>
      <c r="BG29" s="18">
        <v>2.6951269999999998</v>
      </c>
      <c r="BH29" s="18">
        <v>1</v>
      </c>
      <c r="BI29" s="18">
        <v>0.83056479999999999</v>
      </c>
      <c r="BJ29" s="18">
        <v>0.2432619</v>
      </c>
      <c r="BK29" s="18">
        <v>0.75673809999999997</v>
      </c>
      <c r="BL29" s="18">
        <v>0.29117480000000001</v>
      </c>
      <c r="BM29" s="18">
        <v>3.9300000000000004E-15</v>
      </c>
      <c r="BN29" s="18">
        <v>2.47235</v>
      </c>
      <c r="BO29" s="18">
        <v>2.47235</v>
      </c>
      <c r="BP29" s="18">
        <v>1</v>
      </c>
      <c r="BQ29" s="18">
        <v>0.44890160000000001</v>
      </c>
      <c r="BR29" s="18">
        <v>0.2427349</v>
      </c>
      <c r="BS29" s="18">
        <v>0.75726510000000002</v>
      </c>
      <c r="BT29" s="18">
        <v>0.55497370000000001</v>
      </c>
      <c r="BU29" s="18">
        <v>0.69686530000000002</v>
      </c>
      <c r="BV29" s="18">
        <v>0.44306980000000001</v>
      </c>
      <c r="BW29" s="18">
        <v>1.94868</v>
      </c>
      <c r="BX29" s="18">
        <v>2.7775509999999999</v>
      </c>
      <c r="BY29" s="18">
        <v>1.4253499999999999</v>
      </c>
      <c r="BZ29" s="18">
        <v>0</v>
      </c>
      <c r="CA29" s="18">
        <v>0.61369379999999996</v>
      </c>
      <c r="CB29" s="18">
        <v>0.38630619999999999</v>
      </c>
      <c r="CC29" s="18">
        <v>0.25731890000000002</v>
      </c>
      <c r="CD29" s="18">
        <v>0.74268109999999998</v>
      </c>
      <c r="CE29" s="18">
        <v>3.782127</v>
      </c>
      <c r="CF29" s="18">
        <v>3.304888</v>
      </c>
      <c r="CG29" s="18">
        <v>2.104441</v>
      </c>
      <c r="CH29" s="18">
        <v>2.6884890000000001</v>
      </c>
      <c r="CI29" s="18">
        <v>1.277868</v>
      </c>
      <c r="CJ29" s="18">
        <v>1.096568</v>
      </c>
      <c r="CK29" s="18">
        <v>0.85812250000000001</v>
      </c>
      <c r="CL29" s="18">
        <v>0.9645011</v>
      </c>
      <c r="CM29" s="18">
        <v>0.56350199999999995</v>
      </c>
      <c r="CN29" s="18">
        <v>0.60514999999999997</v>
      </c>
      <c r="CO29" s="18">
        <v>0.53786230000000002</v>
      </c>
      <c r="CP29" s="18">
        <v>-2.4578300000000001E-2</v>
      </c>
      <c r="CQ29" s="18">
        <v>-6.9586400000000007E-2</v>
      </c>
      <c r="CR29" s="18">
        <v>-2.2823000000000001E-3</v>
      </c>
      <c r="CS29" s="18">
        <v>1.2846599999999999</v>
      </c>
      <c r="CT29" s="18">
        <v>1.3623107603809068</v>
      </c>
      <c r="CU29" s="18">
        <v>1.2115946006270102</v>
      </c>
      <c r="CV29" s="18">
        <v>0.93403879999999995</v>
      </c>
      <c r="CW29" s="18">
        <v>1.219622</v>
      </c>
      <c r="CX29" s="18">
        <v>1.2525299999999999</v>
      </c>
      <c r="CY29" s="18">
        <v>1.2820162593951665</v>
      </c>
      <c r="CZ29" s="17"/>
      <c r="DG29" s="17"/>
      <c r="DI29" s="11"/>
      <c r="DJ29" s="33"/>
    </row>
    <row r="30" spans="1:114" x14ac:dyDescent="0.3">
      <c r="A30" s="5">
        <v>1975</v>
      </c>
      <c r="B30" s="3">
        <v>215981</v>
      </c>
      <c r="C30" s="3">
        <v>1684904</v>
      </c>
      <c r="D30" s="35">
        <v>2.7743962653739098</v>
      </c>
      <c r="E30" s="2">
        <v>2.4329559766317201</v>
      </c>
      <c r="F30" s="3">
        <v>1030547</v>
      </c>
      <c r="G30" s="3">
        <v>257253</v>
      </c>
      <c r="H30" s="3">
        <v>296725</v>
      </c>
      <c r="I30" s="3">
        <v>84403</v>
      </c>
      <c r="J30" s="3">
        <v>15977</v>
      </c>
      <c r="K30" s="3">
        <f t="shared" si="4"/>
        <v>1688951.97</v>
      </c>
      <c r="L30" s="3">
        <f t="shared" si="5"/>
        <v>550303</v>
      </c>
      <c r="M30" s="3">
        <f t="shared" si="6"/>
        <v>1138648.97</v>
      </c>
      <c r="N30" s="23">
        <v>2.488713264465332</v>
      </c>
      <c r="O30" s="23">
        <v>2.2042195796966553</v>
      </c>
      <c r="P30" s="23">
        <v>2.7072834968566895</v>
      </c>
      <c r="Q30" s="22">
        <v>210504.97</v>
      </c>
      <c r="R30" s="22">
        <v>339798.03</v>
      </c>
      <c r="S30" s="22">
        <v>137405.03</v>
      </c>
      <c r="T30" s="22">
        <v>1001243.94</v>
      </c>
      <c r="U30" s="3">
        <v>911870.0625</v>
      </c>
      <c r="V30" s="3">
        <v>342504.875</v>
      </c>
      <c r="W30" s="3">
        <v>569365.1875</v>
      </c>
      <c r="X30" s="2">
        <v>0.55705857276916504</v>
      </c>
      <c r="Y30" s="2">
        <v>2.6943776607513428</v>
      </c>
      <c r="Z30" s="2">
        <v>2.444838285446167</v>
      </c>
      <c r="AA30" s="2">
        <v>2.8210113048553467</v>
      </c>
      <c r="AB30" s="2">
        <v>3.4009368419647217</v>
      </c>
      <c r="AC30" s="2">
        <v>3.2862989902496338</v>
      </c>
      <c r="AD30" s="2">
        <v>3.4348804950714111</v>
      </c>
      <c r="AE30" s="2">
        <v>1.4485042095184326</v>
      </c>
      <c r="AF30" s="2">
        <v>1.1641682386398315</v>
      </c>
      <c r="AG30" s="2">
        <v>1.7119184732437134</v>
      </c>
      <c r="AH30" s="2">
        <v>0.63530838489532471</v>
      </c>
      <c r="AI30" s="2">
        <v>0.51739805936813354</v>
      </c>
      <c r="AJ30" s="3">
        <f t="shared" si="7"/>
        <v>1336992</v>
      </c>
      <c r="AK30" s="3">
        <v>498568</v>
      </c>
      <c r="AL30" s="3">
        <v>838424</v>
      </c>
      <c r="AM30" s="2">
        <v>2.6943440493317299</v>
      </c>
      <c r="AN30" s="2">
        <v>2.4059350868918501</v>
      </c>
      <c r="AO30" s="2">
        <v>2.4204028092843299</v>
      </c>
      <c r="AP30" s="2">
        <v>1.8897409991744301</v>
      </c>
      <c r="AQ30" s="2">
        <v>2.9536463583685499</v>
      </c>
      <c r="AR30" s="2">
        <v>2.9189657101101698</v>
      </c>
      <c r="AS30" s="3">
        <v>347912</v>
      </c>
      <c r="AT30" s="23">
        <v>3.13488307349665</v>
      </c>
      <c r="AU30" s="23">
        <v>2.5591083953447402</v>
      </c>
      <c r="AV30" s="17"/>
      <c r="AW30" s="18">
        <f t="shared" si="0"/>
        <v>0.60505581903365813</v>
      </c>
      <c r="AX30" s="18">
        <f t="shared" si="1"/>
        <v>0.39494418096634187</v>
      </c>
      <c r="AY30" s="18">
        <f t="shared" si="2"/>
        <v>0.25338359096993812</v>
      </c>
      <c r="AZ30" s="18">
        <f t="shared" si="3"/>
        <v>0.74661640903006188</v>
      </c>
      <c r="BA30" s="18">
        <v>5.9688129999999999</v>
      </c>
      <c r="BB30" s="18">
        <v>0.59901610000000005</v>
      </c>
      <c r="BC30" s="18">
        <v>0.4009839</v>
      </c>
      <c r="BD30" s="18">
        <v>0.64724230000000005</v>
      </c>
      <c r="BE30" s="18">
        <v>0</v>
      </c>
      <c r="BF30" s="18">
        <v>2.6960229999999998</v>
      </c>
      <c r="BG30" s="18">
        <v>2.6960229999999998</v>
      </c>
      <c r="BH30" s="18">
        <v>1</v>
      </c>
      <c r="BI30" s="18">
        <v>0.83056479999999999</v>
      </c>
      <c r="BJ30" s="18">
        <v>0.25062960000000001</v>
      </c>
      <c r="BK30" s="18">
        <v>0.74937039999999999</v>
      </c>
      <c r="BL30" s="18">
        <v>0.29117480000000001</v>
      </c>
      <c r="BM30" s="18">
        <v>3.9300000000000004E-15</v>
      </c>
      <c r="BN30" s="18">
        <v>2.5074399999999999</v>
      </c>
      <c r="BO30" s="18">
        <v>2.5074399999999999</v>
      </c>
      <c r="BP30" s="18">
        <v>1</v>
      </c>
      <c r="BQ30" s="18">
        <v>0.44890160000000001</v>
      </c>
      <c r="BR30" s="18">
        <v>0.2475735</v>
      </c>
      <c r="BS30" s="18">
        <v>0.75242640000000005</v>
      </c>
      <c r="BT30" s="18">
        <v>0.55497370000000001</v>
      </c>
      <c r="BU30" s="18">
        <v>0.69686530000000002</v>
      </c>
      <c r="BV30" s="18">
        <v>0.44306980000000001</v>
      </c>
      <c r="BW30" s="18">
        <v>1.9564779999999999</v>
      </c>
      <c r="BX30" s="18">
        <v>2.826492</v>
      </c>
      <c r="BY30" s="18">
        <v>1.4446840000000001</v>
      </c>
      <c r="BZ30" s="18">
        <v>0</v>
      </c>
      <c r="CA30" s="18">
        <v>0.6093153</v>
      </c>
      <c r="CB30" s="18">
        <v>0.3906848</v>
      </c>
      <c r="CC30" s="18">
        <v>0.2539034</v>
      </c>
      <c r="CD30" s="18">
        <v>0.7460966</v>
      </c>
      <c r="CE30" s="18">
        <v>3.4442210000000002</v>
      </c>
      <c r="CF30" s="18">
        <v>3.2453609999999999</v>
      </c>
      <c r="CG30" s="18">
        <v>2.0631080000000002</v>
      </c>
      <c r="CH30" s="18">
        <v>2.7572920000000001</v>
      </c>
      <c r="CI30" s="18">
        <v>1.2282280000000001</v>
      </c>
      <c r="CJ30" s="18">
        <v>1.0579529999999999</v>
      </c>
      <c r="CK30" s="18">
        <v>0.86136590000000002</v>
      </c>
      <c r="CL30" s="18">
        <v>0.94033409999999995</v>
      </c>
      <c r="CM30" s="18">
        <v>0.56350199999999995</v>
      </c>
      <c r="CN30" s="18">
        <v>0.60514999999999997</v>
      </c>
      <c r="CO30" s="18">
        <v>0.53786230000000002</v>
      </c>
      <c r="CP30" s="18">
        <v>-2.4179000000000002E-3</v>
      </c>
      <c r="CQ30" s="18">
        <v>-2.0791299999999999E-2</v>
      </c>
      <c r="CR30" s="18">
        <v>3.1399000000000002E-3</v>
      </c>
      <c r="CS30" s="18">
        <v>1.281558</v>
      </c>
      <c r="CT30" s="18">
        <v>1.334175159539716</v>
      </c>
      <c r="CU30" s="18">
        <v>1.215385021448911</v>
      </c>
      <c r="CV30" s="18">
        <v>0.92316759999999998</v>
      </c>
      <c r="CW30" s="18">
        <v>1.1913279999999999</v>
      </c>
      <c r="CX30" s="18">
        <v>1.2483789999999999</v>
      </c>
      <c r="CY30" s="18">
        <v>1.2552172680792419</v>
      </c>
      <c r="CZ30" s="17"/>
      <c r="DG30" s="17"/>
      <c r="DI30" s="11"/>
      <c r="DJ30" s="33"/>
    </row>
    <row r="31" spans="1:114" x14ac:dyDescent="0.3">
      <c r="A31" s="5">
        <v>1976</v>
      </c>
      <c r="B31" s="3">
        <v>218086</v>
      </c>
      <c r="C31" s="3">
        <v>1873412</v>
      </c>
      <c r="D31" s="35">
        <v>2.92387108358021</v>
      </c>
      <c r="E31" s="2">
        <v>2.5668628115674901</v>
      </c>
      <c r="F31" s="3">
        <v>1147666</v>
      </c>
      <c r="G31" s="3">
        <v>323224</v>
      </c>
      <c r="H31" s="3">
        <v>314508</v>
      </c>
      <c r="I31" s="3">
        <v>89645</v>
      </c>
      <c r="J31" s="3">
        <v>-1631</v>
      </c>
      <c r="K31" s="3">
        <f t="shared" si="4"/>
        <v>1877616.03</v>
      </c>
      <c r="L31" s="3">
        <f t="shared" si="5"/>
        <v>618265.01</v>
      </c>
      <c r="M31" s="3">
        <f t="shared" si="6"/>
        <v>1259351.02</v>
      </c>
      <c r="N31" s="23">
        <v>2.6396589279174805</v>
      </c>
      <c r="O31" s="23">
        <v>2.3098785877227783</v>
      </c>
      <c r="P31" s="23">
        <v>2.8889338970184326</v>
      </c>
      <c r="Q31" s="22">
        <v>240986.98</v>
      </c>
      <c r="R31" s="22">
        <v>377278.03</v>
      </c>
      <c r="S31" s="22">
        <v>154763.01999999999</v>
      </c>
      <c r="T31" s="22">
        <v>1104588</v>
      </c>
      <c r="U31" s="3">
        <v>1030431.75</v>
      </c>
      <c r="V31" s="3">
        <v>388488.5625</v>
      </c>
      <c r="W31" s="3">
        <v>641943.1875</v>
      </c>
      <c r="X31" s="2">
        <v>0.56077021360397339</v>
      </c>
      <c r="Y31" s="2">
        <v>2.8324153423309326</v>
      </c>
      <c r="Z31" s="2">
        <v>2.6209979057312012</v>
      </c>
      <c r="AA31" s="2">
        <v>2.9364693164825439</v>
      </c>
      <c r="AB31" s="2">
        <v>3.4965701103210449</v>
      </c>
      <c r="AC31" s="2">
        <v>3.4023220539093018</v>
      </c>
      <c r="AD31" s="2">
        <v>3.5218832492828369</v>
      </c>
      <c r="AE31" s="2">
        <v>1.4901098012924194</v>
      </c>
      <c r="AF31" s="2">
        <v>1.2079548835754395</v>
      </c>
      <c r="AG31" s="2">
        <v>1.751971960067749</v>
      </c>
      <c r="AH31" s="2">
        <v>0.63121324777603149</v>
      </c>
      <c r="AI31" s="2">
        <v>0.52539479732513428</v>
      </c>
      <c r="AJ31" s="3">
        <f t="shared" si="7"/>
        <v>1477659</v>
      </c>
      <c r="AK31" s="3">
        <v>560273</v>
      </c>
      <c r="AL31" s="3">
        <v>917386</v>
      </c>
      <c r="AM31" s="2">
        <v>2.8209855878968102</v>
      </c>
      <c r="AN31" s="2">
        <v>2.53969293272741</v>
      </c>
      <c r="AO31" s="2">
        <v>2.5062652872306299</v>
      </c>
      <c r="AP31" s="2">
        <v>2.0508702649551398</v>
      </c>
      <c r="AQ31" s="2">
        <v>3.0305457941927401</v>
      </c>
      <c r="AR31" s="2">
        <v>3.1128274293345699</v>
      </c>
      <c r="AS31" s="3">
        <v>395754</v>
      </c>
      <c r="AT31" s="23">
        <v>3.3866926503340702</v>
      </c>
      <c r="AU31" s="23">
        <v>2.6945742040441298</v>
      </c>
      <c r="AV31" s="17"/>
      <c r="AW31" s="18">
        <f t="shared" si="0"/>
        <v>0.60893740998104862</v>
      </c>
      <c r="AX31" s="18">
        <f t="shared" si="1"/>
        <v>0.39106259001895133</v>
      </c>
      <c r="AY31" s="18">
        <f t="shared" si="2"/>
        <v>0.25459658455089901</v>
      </c>
      <c r="AZ31" s="18">
        <f t="shared" si="3"/>
        <v>0.74540341544910105</v>
      </c>
      <c r="BA31" s="18">
        <v>6.5550100000000002</v>
      </c>
      <c r="BB31" s="18">
        <v>0.59465590000000002</v>
      </c>
      <c r="BC31" s="18">
        <v>0.40534409999999998</v>
      </c>
      <c r="BD31" s="18">
        <v>0.64724230000000005</v>
      </c>
      <c r="BE31" s="18">
        <v>0</v>
      </c>
      <c r="BF31" s="18">
        <v>2.8321360000000002</v>
      </c>
      <c r="BG31" s="18">
        <v>2.8321360000000002</v>
      </c>
      <c r="BH31" s="18">
        <v>1</v>
      </c>
      <c r="BI31" s="18">
        <v>0.83056479999999999</v>
      </c>
      <c r="BJ31" s="18">
        <v>0.24724170000000001</v>
      </c>
      <c r="BK31" s="18">
        <v>0.75275829999999999</v>
      </c>
      <c r="BL31" s="18">
        <v>0.29117480000000001</v>
      </c>
      <c r="BM31" s="18">
        <v>3.9300000000000004E-15</v>
      </c>
      <c r="BN31" s="18">
        <v>2.6174789999999999</v>
      </c>
      <c r="BO31" s="18">
        <v>2.6174789999999999</v>
      </c>
      <c r="BP31" s="18">
        <v>1</v>
      </c>
      <c r="BQ31" s="18">
        <v>0.44890160000000001</v>
      </c>
      <c r="BR31" s="18">
        <v>0.2405987</v>
      </c>
      <c r="BS31" s="18">
        <v>0.75940129999999995</v>
      </c>
      <c r="BT31" s="18">
        <v>0.55497370000000001</v>
      </c>
      <c r="BU31" s="18">
        <v>0.69686530000000002</v>
      </c>
      <c r="BV31" s="18">
        <v>0.44306980000000001</v>
      </c>
      <c r="BW31" s="18">
        <v>2.011997</v>
      </c>
      <c r="BX31" s="18">
        <v>2.9644819999999998</v>
      </c>
      <c r="BY31" s="18">
        <v>1.473403</v>
      </c>
      <c r="BZ31" s="18">
        <v>0</v>
      </c>
      <c r="CA31" s="18">
        <v>0.60699579999999997</v>
      </c>
      <c r="CB31" s="18">
        <v>0.39300420000000003</v>
      </c>
      <c r="CC31" s="18">
        <v>0.2539903</v>
      </c>
      <c r="CD31" s="18">
        <v>0.74600979999999995</v>
      </c>
      <c r="CE31" s="18">
        <v>3.762613</v>
      </c>
      <c r="CF31" s="18">
        <v>3.4255170000000001</v>
      </c>
      <c r="CG31" s="18">
        <v>2.1936059999999999</v>
      </c>
      <c r="CH31" s="18">
        <v>2.8606880000000001</v>
      </c>
      <c r="CI31" s="18">
        <v>1.2506870000000001</v>
      </c>
      <c r="CJ31" s="18">
        <v>1.0721499999999999</v>
      </c>
      <c r="CK31" s="18">
        <v>0.85724909999999999</v>
      </c>
      <c r="CL31" s="18">
        <v>0.94264890000000001</v>
      </c>
      <c r="CM31" s="18">
        <v>0.56350199999999995</v>
      </c>
      <c r="CN31" s="18">
        <v>0.60514999999999997</v>
      </c>
      <c r="CO31" s="18">
        <v>0.53786230000000002</v>
      </c>
      <c r="CP31" s="18">
        <v>2.1900300000000001E-2</v>
      </c>
      <c r="CQ31" s="18">
        <v>3.3625799999999997E-2</v>
      </c>
      <c r="CR31" s="18">
        <v>1.61618E-2</v>
      </c>
      <c r="CS31" s="18">
        <v>1.3099339999999999</v>
      </c>
      <c r="CT31" s="18">
        <v>1.3798026704703565</v>
      </c>
      <c r="CU31" s="18">
        <v>1.2351858535284104</v>
      </c>
      <c r="CV31" s="18">
        <v>0.92532159999999997</v>
      </c>
      <c r="CW31" s="18">
        <v>1.2268509999999999</v>
      </c>
      <c r="CX31" s="18">
        <v>1.2747269999999999</v>
      </c>
      <c r="CY31" s="18">
        <v>1.2886050135412737</v>
      </c>
      <c r="CZ31" s="17"/>
      <c r="DG31" s="17"/>
      <c r="DI31" s="11"/>
      <c r="DJ31" s="33"/>
    </row>
    <row r="32" spans="1:114" x14ac:dyDescent="0.3">
      <c r="A32" s="5">
        <v>1977</v>
      </c>
      <c r="B32" s="3">
        <v>220289</v>
      </c>
      <c r="C32" s="3">
        <v>2081826</v>
      </c>
      <c r="D32" s="35">
        <v>3.0590717299578101</v>
      </c>
      <c r="E32" s="2">
        <v>2.7263546434910202</v>
      </c>
      <c r="F32" s="3">
        <v>1273975</v>
      </c>
      <c r="G32" s="3">
        <v>396613</v>
      </c>
      <c r="H32" s="3">
        <v>341169</v>
      </c>
      <c r="I32" s="3">
        <v>93162</v>
      </c>
      <c r="J32" s="3">
        <v>-23094</v>
      </c>
      <c r="K32" s="3">
        <f t="shared" si="4"/>
        <v>2085925.9300000002</v>
      </c>
      <c r="L32" s="3">
        <f t="shared" si="5"/>
        <v>692693</v>
      </c>
      <c r="M32" s="3">
        <f t="shared" si="6"/>
        <v>1393232.9300000002</v>
      </c>
      <c r="N32" s="23">
        <v>2.8187859058380127</v>
      </c>
      <c r="O32" s="23">
        <v>2.4762172698974609</v>
      </c>
      <c r="P32" s="23">
        <v>3.0789017677307129</v>
      </c>
      <c r="Q32" s="22">
        <v>284645.69</v>
      </c>
      <c r="R32" s="22">
        <v>408047.31</v>
      </c>
      <c r="S32" s="22">
        <v>182797.31</v>
      </c>
      <c r="T32" s="22">
        <v>1210435.6200000001</v>
      </c>
      <c r="U32" s="3">
        <v>1149704</v>
      </c>
      <c r="V32" s="3">
        <v>437670.375</v>
      </c>
      <c r="W32" s="3">
        <v>712033.625</v>
      </c>
      <c r="X32" s="2">
        <v>0.56536847352981567</v>
      </c>
      <c r="Y32" s="2">
        <v>2.9506149291992188</v>
      </c>
      <c r="Z32" s="2">
        <v>2.7403571605682373</v>
      </c>
      <c r="AA32" s="2">
        <v>3.0533459186553955</v>
      </c>
      <c r="AB32" s="2">
        <v>3.6051239967346191</v>
      </c>
      <c r="AC32" s="2">
        <v>3.5186254978179932</v>
      </c>
      <c r="AD32" s="2">
        <v>3.6268877983093262</v>
      </c>
      <c r="AE32" s="2">
        <v>1.5474871397018433</v>
      </c>
      <c r="AF32" s="2">
        <v>1.2612452507019043</v>
      </c>
      <c r="AG32" s="2">
        <v>1.8134630918502808</v>
      </c>
      <c r="AH32" s="2">
        <v>0.63586848974227905</v>
      </c>
      <c r="AI32" s="2">
        <v>0.5295560359954834</v>
      </c>
      <c r="AJ32" s="3">
        <f t="shared" si="7"/>
        <v>1614374</v>
      </c>
      <c r="AK32" s="3">
        <v>598489</v>
      </c>
      <c r="AL32" s="3">
        <v>1015885</v>
      </c>
      <c r="AM32" s="2">
        <v>2.9080792520532999</v>
      </c>
      <c r="AN32" s="2">
        <v>2.6915723922705901</v>
      </c>
      <c r="AO32" s="2">
        <v>2.5549982856947802</v>
      </c>
      <c r="AP32" s="2">
        <v>2.1489736631091998</v>
      </c>
      <c r="AQ32" s="2">
        <v>3.1309558720653299</v>
      </c>
      <c r="AR32" s="2">
        <v>3.3365019930067499</v>
      </c>
      <c r="AS32" s="3">
        <v>467452</v>
      </c>
      <c r="AT32" s="23">
        <v>3.73663697104677</v>
      </c>
      <c r="AU32" s="23">
        <v>2.8846739706924902</v>
      </c>
      <c r="AV32" s="17"/>
      <c r="AW32" s="18">
        <f t="shared" si="0"/>
        <v>0.60894203143484871</v>
      </c>
      <c r="AX32" s="18">
        <f t="shared" si="1"/>
        <v>0.39105796856515124</v>
      </c>
      <c r="AY32" s="18">
        <f t="shared" si="2"/>
        <v>0.25211715393254097</v>
      </c>
      <c r="AZ32" s="18">
        <f t="shared" si="3"/>
        <v>0.74788284606745903</v>
      </c>
      <c r="BA32" s="18">
        <v>7.0955170000000001</v>
      </c>
      <c r="BB32" s="18">
        <v>0.59606559999999997</v>
      </c>
      <c r="BC32" s="18">
        <v>0.40393440000000003</v>
      </c>
      <c r="BD32" s="18">
        <v>0.64724230000000005</v>
      </c>
      <c r="BE32" s="18">
        <v>0</v>
      </c>
      <c r="BF32" s="18">
        <v>2.895467</v>
      </c>
      <c r="BG32" s="18">
        <v>2.895467</v>
      </c>
      <c r="BH32" s="18">
        <v>1</v>
      </c>
      <c r="BI32" s="18">
        <v>0.83056479999999999</v>
      </c>
      <c r="BJ32" s="18">
        <v>0.24833240000000001</v>
      </c>
      <c r="BK32" s="18">
        <v>0.75166759999999999</v>
      </c>
      <c r="BL32" s="18">
        <v>0.29117480000000001</v>
      </c>
      <c r="BM32" s="18">
        <v>3.9300000000000004E-15</v>
      </c>
      <c r="BN32" s="18">
        <v>2.6814580000000001</v>
      </c>
      <c r="BO32" s="18">
        <v>2.6814580000000001</v>
      </c>
      <c r="BP32" s="18">
        <v>1</v>
      </c>
      <c r="BQ32" s="18">
        <v>0.44890160000000001</v>
      </c>
      <c r="BR32" s="18">
        <v>0.23950630000000001</v>
      </c>
      <c r="BS32" s="18">
        <v>0.7604938</v>
      </c>
      <c r="BT32" s="18">
        <v>0.55497370000000001</v>
      </c>
      <c r="BU32" s="18">
        <v>0.69686530000000002</v>
      </c>
      <c r="BV32" s="18">
        <v>0.44306980000000001</v>
      </c>
      <c r="BW32" s="18">
        <v>2.042805</v>
      </c>
      <c r="BX32" s="18">
        <v>3.0457239999999999</v>
      </c>
      <c r="BY32" s="18">
        <v>1.4909520000000001</v>
      </c>
      <c r="BZ32" s="18">
        <v>0</v>
      </c>
      <c r="CA32" s="18">
        <v>0.60893900000000001</v>
      </c>
      <c r="CB32" s="18">
        <v>0.39106099999999999</v>
      </c>
      <c r="CC32" s="18">
        <v>0.25335679999999999</v>
      </c>
      <c r="CD32" s="18">
        <v>0.74664319999999995</v>
      </c>
      <c r="CE32" s="18">
        <v>4.145772</v>
      </c>
      <c r="CF32" s="18">
        <v>3.7964159999999998</v>
      </c>
      <c r="CG32" s="18">
        <v>2.2155640000000001</v>
      </c>
      <c r="CH32" s="18">
        <v>2.9446270000000001</v>
      </c>
      <c r="CI32" s="18">
        <v>1.2433890000000001</v>
      </c>
      <c r="CJ32" s="18">
        <v>1.0673760000000001</v>
      </c>
      <c r="CK32" s="18">
        <v>0.85844089999999995</v>
      </c>
      <c r="CL32" s="18">
        <v>0.93323009999999995</v>
      </c>
      <c r="CM32" s="18">
        <v>0.56350199999999995</v>
      </c>
      <c r="CN32" s="18">
        <v>0.60514999999999997</v>
      </c>
      <c r="CO32" s="18">
        <v>0.53786230000000002</v>
      </c>
      <c r="CP32" s="18">
        <v>6.2478999999999998E-3</v>
      </c>
      <c r="CQ32" s="18">
        <v>5.5345999999999998E-3</v>
      </c>
      <c r="CR32" s="18">
        <v>6.7673999999999998E-3</v>
      </c>
      <c r="CS32" s="18">
        <v>1.318144</v>
      </c>
      <c r="CT32" s="18">
        <v>1.3874692376239497</v>
      </c>
      <c r="CU32" s="18">
        <v>1.2435773805758583</v>
      </c>
      <c r="CV32" s="18">
        <v>0.92449000000000003</v>
      </c>
      <c r="CW32" s="18">
        <v>1.2331270000000001</v>
      </c>
      <c r="CX32" s="18">
        <v>1.282958</v>
      </c>
      <c r="CY32" s="18">
        <v>1.2917105208393211</v>
      </c>
      <c r="CZ32" s="17"/>
      <c r="DG32" s="17"/>
      <c r="DI32" s="11"/>
      <c r="DJ32" s="33"/>
    </row>
    <row r="33" spans="1:114" x14ac:dyDescent="0.3">
      <c r="A33" s="5">
        <v>1978</v>
      </c>
      <c r="B33" s="3">
        <v>222629</v>
      </c>
      <c r="C33" s="3">
        <v>2351599</v>
      </c>
      <c r="D33" s="35">
        <v>3.2283867492593599</v>
      </c>
      <c r="E33" s="2">
        <v>2.9181344066134001</v>
      </c>
      <c r="F33" s="3">
        <v>1422252</v>
      </c>
      <c r="G33" s="3">
        <v>478377</v>
      </c>
      <c r="H33" s="3">
        <v>370770</v>
      </c>
      <c r="I33" s="3">
        <v>105567</v>
      </c>
      <c r="J33" s="3">
        <v>-25367</v>
      </c>
      <c r="K33" s="3">
        <f t="shared" si="4"/>
        <v>2356548.9699999997</v>
      </c>
      <c r="L33" s="3">
        <f t="shared" si="5"/>
        <v>782327</v>
      </c>
      <c r="M33" s="3">
        <f t="shared" si="6"/>
        <v>1574221.97</v>
      </c>
      <c r="N33" s="23">
        <v>3.0304915904998779</v>
      </c>
      <c r="O33" s="23">
        <v>2.6883664131164551</v>
      </c>
      <c r="P33" s="23">
        <v>3.2936384677886963</v>
      </c>
      <c r="Q33" s="22">
        <v>338409.91</v>
      </c>
      <c r="R33" s="22">
        <v>443917.09</v>
      </c>
      <c r="S33" s="22">
        <v>219743.09</v>
      </c>
      <c r="T33" s="22">
        <v>1354478.88</v>
      </c>
      <c r="U33" s="3">
        <v>1298036.25</v>
      </c>
      <c r="V33" s="3">
        <v>495253.75</v>
      </c>
      <c r="W33" s="3">
        <v>802782.5625</v>
      </c>
      <c r="X33" s="2">
        <v>0.56608659029006958</v>
      </c>
      <c r="Y33" s="2">
        <v>3.0999574661254883</v>
      </c>
      <c r="Z33" s="2">
        <v>2.8520467281341553</v>
      </c>
      <c r="AA33" s="2">
        <v>3.2233760356903076</v>
      </c>
      <c r="AB33" s="2">
        <v>3.7799568176269531</v>
      </c>
      <c r="AC33" s="2">
        <v>3.6835041046142578</v>
      </c>
      <c r="AD33" s="2">
        <v>3.8051121234893799</v>
      </c>
      <c r="AE33" s="2">
        <v>1.6213527917861938</v>
      </c>
      <c r="AF33" s="2">
        <v>1.330358624458313</v>
      </c>
      <c r="AG33" s="2">
        <v>1.8921774625778198</v>
      </c>
      <c r="AH33" s="2">
        <v>0.63796389102935791</v>
      </c>
      <c r="AI33" s="2">
        <v>0.52935957908630371</v>
      </c>
      <c r="AJ33" s="3">
        <f t="shared" si="7"/>
        <v>1793448</v>
      </c>
      <c r="AK33" s="3">
        <v>661856</v>
      </c>
      <c r="AL33" s="3">
        <v>1131592</v>
      </c>
      <c r="AM33" s="2">
        <v>3.02570277645194</v>
      </c>
      <c r="AN33" s="2">
        <v>2.8738903191133298</v>
      </c>
      <c r="AO33" s="2">
        <v>2.6633315266584501</v>
      </c>
      <c r="AP33" s="2">
        <v>2.2798370843329101</v>
      </c>
      <c r="AQ33" s="2">
        <v>3.2491382222603198</v>
      </c>
      <c r="AR33" s="2">
        <v>3.5813393024237299</v>
      </c>
      <c r="AS33" s="3">
        <v>558153</v>
      </c>
      <c r="AT33" s="23">
        <v>4.1347438752783896</v>
      </c>
      <c r="AU33" s="23">
        <v>3.1127573753721598</v>
      </c>
      <c r="AV33" s="17"/>
      <c r="AW33" s="18">
        <f t="shared" si="0"/>
        <v>0.60630312835369504</v>
      </c>
      <c r="AX33" s="18">
        <f t="shared" si="1"/>
        <v>0.39369687164630485</v>
      </c>
      <c r="AY33" s="18">
        <f t="shared" si="2"/>
        <v>0.2468405720459883</v>
      </c>
      <c r="AZ33" s="18">
        <f t="shared" si="3"/>
        <v>0.7531594279540117</v>
      </c>
      <c r="BA33" s="18">
        <v>7.7948389999999996</v>
      </c>
      <c r="BB33" s="18">
        <v>0.59961960000000003</v>
      </c>
      <c r="BC33" s="18">
        <v>0.40038040000000003</v>
      </c>
      <c r="BD33" s="18">
        <v>0.64724230000000005</v>
      </c>
      <c r="BE33" s="18">
        <v>0</v>
      </c>
      <c r="BF33" s="18">
        <v>2.9786030000000001</v>
      </c>
      <c r="BG33" s="18">
        <v>2.9786030000000001</v>
      </c>
      <c r="BH33" s="18">
        <v>1</v>
      </c>
      <c r="BI33" s="18">
        <v>0.83056479999999999</v>
      </c>
      <c r="BJ33" s="18">
        <v>0.25110189999999999</v>
      </c>
      <c r="BK33" s="18">
        <v>0.74889810000000001</v>
      </c>
      <c r="BL33" s="18">
        <v>0.29117480000000001</v>
      </c>
      <c r="BM33" s="18">
        <v>3.9300000000000004E-15</v>
      </c>
      <c r="BN33" s="18">
        <v>2.772681</v>
      </c>
      <c r="BO33" s="18">
        <v>2.772681</v>
      </c>
      <c r="BP33" s="18">
        <v>1</v>
      </c>
      <c r="BQ33" s="18">
        <v>0.44890160000000001</v>
      </c>
      <c r="BR33" s="18">
        <v>0.23844290000000001</v>
      </c>
      <c r="BS33" s="18">
        <v>0.76155709999999999</v>
      </c>
      <c r="BT33" s="18">
        <v>0.55497370000000001</v>
      </c>
      <c r="BU33" s="18">
        <v>0.69686530000000002</v>
      </c>
      <c r="BV33" s="18">
        <v>0.44306980000000001</v>
      </c>
      <c r="BW33" s="18">
        <v>2.0797300000000001</v>
      </c>
      <c r="BX33" s="18">
        <v>3.1654059999999999</v>
      </c>
      <c r="BY33" s="18">
        <v>1.522027</v>
      </c>
      <c r="BZ33" s="18">
        <v>0</v>
      </c>
      <c r="CA33" s="18">
        <v>0.60762249999999995</v>
      </c>
      <c r="CB33" s="18">
        <v>0.39237749999999999</v>
      </c>
      <c r="CC33" s="18">
        <v>0.2494789</v>
      </c>
      <c r="CD33" s="18">
        <v>0.75052110000000005</v>
      </c>
      <c r="CE33" s="18">
        <v>4.5397939999999997</v>
      </c>
      <c r="CF33" s="18">
        <v>4.2660910000000003</v>
      </c>
      <c r="CG33" s="18">
        <v>2.2182550000000001</v>
      </c>
      <c r="CH33" s="18">
        <v>3.077623</v>
      </c>
      <c r="CI33" s="18">
        <v>1.2251449999999999</v>
      </c>
      <c r="CJ33" s="18">
        <v>1.058127</v>
      </c>
      <c r="CK33" s="18">
        <v>0.86367519999999998</v>
      </c>
      <c r="CL33" s="18">
        <v>0.92339380000000004</v>
      </c>
      <c r="CM33" s="18">
        <v>0.56350199999999995</v>
      </c>
      <c r="CN33" s="18">
        <v>0.60514999999999997</v>
      </c>
      <c r="CO33" s="18">
        <v>0.53786230000000002</v>
      </c>
      <c r="CP33" s="18">
        <v>2.4285999999999999E-3</v>
      </c>
      <c r="CQ33" s="18">
        <v>-1.0102699999999999E-2</v>
      </c>
      <c r="CR33" s="18">
        <v>9.3091000000000007E-3</v>
      </c>
      <c r="CS33" s="18">
        <v>1.3213490000000001</v>
      </c>
      <c r="CT33" s="18">
        <v>1.3735294600300088</v>
      </c>
      <c r="CU33" s="18">
        <v>1.2552034441076565</v>
      </c>
      <c r="CV33" s="18">
        <v>0.92474789999999996</v>
      </c>
      <c r="CW33" s="18">
        <v>1.2300150000000001</v>
      </c>
      <c r="CX33" s="18">
        <v>1.2881629999999999</v>
      </c>
      <c r="CY33" s="18">
        <v>1.2903441692860464</v>
      </c>
      <c r="CZ33" s="17"/>
      <c r="DG33" s="17"/>
      <c r="DI33" s="11"/>
      <c r="DJ33" s="33"/>
    </row>
    <row r="34" spans="1:114" x14ac:dyDescent="0.3">
      <c r="A34" s="5">
        <v>1979</v>
      </c>
      <c r="B34" s="3">
        <v>225106</v>
      </c>
      <c r="C34" s="3">
        <v>2627333</v>
      </c>
      <c r="D34" s="35">
        <v>3.3306400933656501</v>
      </c>
      <c r="E34" s="2">
        <v>3.1602031056090301</v>
      </c>
      <c r="F34" s="3">
        <v>1585420</v>
      </c>
      <c r="G34" s="3">
        <v>539657</v>
      </c>
      <c r="H34" s="3">
        <v>404705</v>
      </c>
      <c r="I34" s="3">
        <v>120097</v>
      </c>
      <c r="J34" s="3">
        <v>-22545</v>
      </c>
      <c r="K34" s="3">
        <f t="shared" si="4"/>
        <v>2632153.0699999998</v>
      </c>
      <c r="L34" s="3">
        <f t="shared" si="5"/>
        <v>876793</v>
      </c>
      <c r="M34" s="3">
        <f t="shared" si="6"/>
        <v>1755360.0699999998</v>
      </c>
      <c r="N34" s="23">
        <v>3.2847518920898438</v>
      </c>
      <c r="O34" s="23">
        <v>2.9946317672729492</v>
      </c>
      <c r="P34" s="23">
        <v>3.5203170776367188</v>
      </c>
      <c r="Q34" s="22">
        <v>385626.31</v>
      </c>
      <c r="R34" s="22">
        <v>491166.69</v>
      </c>
      <c r="S34" s="22">
        <v>256144.69</v>
      </c>
      <c r="T34" s="22">
        <v>1499215.38</v>
      </c>
      <c r="U34" s="3">
        <v>1481996.5</v>
      </c>
      <c r="V34" s="3">
        <v>559856.9375</v>
      </c>
      <c r="W34" s="3">
        <v>922139.5</v>
      </c>
      <c r="X34" s="2">
        <v>0.57225543260574341</v>
      </c>
      <c r="Y34" s="2">
        <v>3.194270133972168</v>
      </c>
      <c r="Z34" s="2">
        <v>2.8714587688446045</v>
      </c>
      <c r="AA34" s="2">
        <v>3.3611650466918945</v>
      </c>
      <c r="AB34" s="2">
        <v>3.9663212299346924</v>
      </c>
      <c r="AC34" s="2">
        <v>3.8551688194274902</v>
      </c>
      <c r="AD34" s="2">
        <v>3.9968090057373047</v>
      </c>
      <c r="AE34" s="2">
        <v>1.6745506525039673</v>
      </c>
      <c r="AF34" s="2">
        <v>1.3723134994506836</v>
      </c>
      <c r="AG34" s="2">
        <v>1.9557384252548218</v>
      </c>
      <c r="AH34" s="2">
        <v>0.64097237586975098</v>
      </c>
      <c r="AI34" s="2">
        <v>0.53702962398529053</v>
      </c>
      <c r="AJ34" s="3">
        <f t="shared" si="7"/>
        <v>1985564</v>
      </c>
      <c r="AK34" s="3">
        <v>730401</v>
      </c>
      <c r="AL34" s="3">
        <v>1255163</v>
      </c>
      <c r="AM34" s="2">
        <v>3.0976212741968001</v>
      </c>
      <c r="AN34" s="2">
        <v>3.1078762682734502</v>
      </c>
      <c r="AO34" s="2">
        <v>2.7627466540380801</v>
      </c>
      <c r="AP34" s="2">
        <v>2.4254137255708099</v>
      </c>
      <c r="AQ34" s="2">
        <v>3.33016386907634</v>
      </c>
      <c r="AR34" s="2">
        <v>3.8757728078396001</v>
      </c>
      <c r="AS34" s="3">
        <v>641769</v>
      </c>
      <c r="AT34" s="23">
        <v>4.3704064587973201</v>
      </c>
      <c r="AU34" s="23">
        <v>3.3860824263406002</v>
      </c>
      <c r="AV34" s="17"/>
      <c r="AW34" s="18">
        <f t="shared" ref="AW34:AW65" si="8">Q34/(Q34+S34)</f>
        <v>0.60087836627083491</v>
      </c>
      <c r="AX34" s="18">
        <f t="shared" ref="AX34:AX65" si="9">S34/(S34+Q34)</f>
        <v>0.39912163372916509</v>
      </c>
      <c r="AY34" s="18">
        <f t="shared" ref="AY34:AY65" si="10">R34/(R34+T34)</f>
        <v>0.24677005355057285</v>
      </c>
      <c r="AZ34" s="18">
        <f t="shared" ref="AZ34:AZ65" si="11">T34/(T34+R34)</f>
        <v>0.7532299464494272</v>
      </c>
      <c r="BA34" s="18">
        <v>8.5284259999999996</v>
      </c>
      <c r="BB34" s="18">
        <v>0.60949960000000003</v>
      </c>
      <c r="BC34" s="18">
        <v>0.39050040000000003</v>
      </c>
      <c r="BD34" s="18">
        <v>0.64724230000000005</v>
      </c>
      <c r="BE34" s="18">
        <v>0</v>
      </c>
      <c r="BF34" s="18">
        <v>3.0069240000000002</v>
      </c>
      <c r="BG34" s="18">
        <v>3.0069240000000002</v>
      </c>
      <c r="BH34" s="18">
        <v>1</v>
      </c>
      <c r="BI34" s="18">
        <v>0.83056479999999999</v>
      </c>
      <c r="BJ34" s="18">
        <v>0.2589535</v>
      </c>
      <c r="BK34" s="18">
        <v>0.74104650000000005</v>
      </c>
      <c r="BL34" s="18">
        <v>0.29117480000000001</v>
      </c>
      <c r="BM34" s="18">
        <v>3.9300000000000004E-15</v>
      </c>
      <c r="BN34" s="18">
        <v>2.8397739999999998</v>
      </c>
      <c r="BO34" s="18">
        <v>2.8397739999999998</v>
      </c>
      <c r="BP34" s="18">
        <v>1</v>
      </c>
      <c r="BQ34" s="18">
        <v>0.44890160000000001</v>
      </c>
      <c r="BR34" s="18">
        <v>0.24224580000000001</v>
      </c>
      <c r="BS34" s="18">
        <v>0.75775420000000004</v>
      </c>
      <c r="BT34" s="18">
        <v>0.55497370000000001</v>
      </c>
      <c r="BU34" s="18">
        <v>0.69686530000000002</v>
      </c>
      <c r="BV34" s="18">
        <v>0.44306980000000001</v>
      </c>
      <c r="BW34" s="18">
        <v>2.0984129999999999</v>
      </c>
      <c r="BX34" s="18">
        <v>3.2599909999999999</v>
      </c>
      <c r="BY34" s="18">
        <v>1.5535509999999999</v>
      </c>
      <c r="BZ34" s="18">
        <v>0</v>
      </c>
      <c r="CA34" s="18">
        <v>0.60359070000000004</v>
      </c>
      <c r="CB34" s="18">
        <v>0.39640920000000002</v>
      </c>
      <c r="CC34" s="18">
        <v>0.24680540000000001</v>
      </c>
      <c r="CD34" s="18">
        <v>0.75319460000000005</v>
      </c>
      <c r="CE34" s="18">
        <v>4.6441179999999997</v>
      </c>
      <c r="CF34" s="18">
        <v>4.6525749999999997</v>
      </c>
      <c r="CG34" s="18">
        <v>2.2024140000000001</v>
      </c>
      <c r="CH34" s="18">
        <v>3.1857920000000002</v>
      </c>
      <c r="CI34" s="18">
        <v>1.175543</v>
      </c>
      <c r="CJ34" s="18">
        <v>1.039647</v>
      </c>
      <c r="CK34" s="18">
        <v>0.88439800000000002</v>
      </c>
      <c r="CL34" s="18">
        <v>0.91794849999999995</v>
      </c>
      <c r="CM34" s="18">
        <v>0.56350199999999995</v>
      </c>
      <c r="CN34" s="18">
        <v>0.60514999999999997</v>
      </c>
      <c r="CO34" s="18">
        <v>0.53786230000000002</v>
      </c>
      <c r="CP34" s="18">
        <v>-9.2289999999999994E-3</v>
      </c>
      <c r="CQ34" s="18">
        <v>-3.05957E-2</v>
      </c>
      <c r="CR34" s="18">
        <v>1.7863E-3</v>
      </c>
      <c r="CS34" s="18">
        <v>1.30921</v>
      </c>
      <c r="CT34" s="18">
        <v>1.3321290012172116</v>
      </c>
      <c r="CU34" s="18">
        <v>1.2574343011826239</v>
      </c>
      <c r="CV34" s="18">
        <v>0.93154840000000005</v>
      </c>
      <c r="CW34" s="18">
        <v>1.2162040000000001</v>
      </c>
      <c r="CX34" s="18">
        <v>1.2789790000000001</v>
      </c>
      <c r="CY34" s="18">
        <v>1.2739707988824231</v>
      </c>
      <c r="CZ34" s="17"/>
      <c r="DG34" s="17"/>
      <c r="DI34" s="11"/>
      <c r="DJ34" s="33"/>
    </row>
    <row r="35" spans="1:114" x14ac:dyDescent="0.3">
      <c r="A35" s="5">
        <v>1980</v>
      </c>
      <c r="B35" s="3">
        <v>227726</v>
      </c>
      <c r="C35" s="3">
        <v>2857307</v>
      </c>
      <c r="D35" s="35">
        <v>3.32202172546907</v>
      </c>
      <c r="E35" s="2">
        <v>3.4457361349752902</v>
      </c>
      <c r="F35" s="3">
        <v>1750667</v>
      </c>
      <c r="G35" s="3">
        <v>530098</v>
      </c>
      <c r="H35" s="3">
        <v>453650</v>
      </c>
      <c r="I35" s="3">
        <v>135948</v>
      </c>
      <c r="J35" s="3">
        <v>-13056</v>
      </c>
      <c r="K35" s="3">
        <f t="shared" si="4"/>
        <v>2862517.94</v>
      </c>
      <c r="L35" s="3">
        <f t="shared" si="5"/>
        <v>932086</v>
      </c>
      <c r="M35" s="3">
        <f t="shared" si="6"/>
        <v>1930431.94</v>
      </c>
      <c r="N35" s="23">
        <v>3.6030135154724121</v>
      </c>
      <c r="O35" s="23">
        <v>3.3257157802581787</v>
      </c>
      <c r="P35" s="23">
        <v>3.837428092956543</v>
      </c>
      <c r="Q35" s="22">
        <v>406977.56</v>
      </c>
      <c r="R35" s="22">
        <v>525108.43999999994</v>
      </c>
      <c r="S35" s="22">
        <v>265406.44</v>
      </c>
      <c r="T35" s="22">
        <v>1665025.5</v>
      </c>
      <c r="U35" s="3">
        <v>1646776.125</v>
      </c>
      <c r="V35" s="3">
        <v>590986.625</v>
      </c>
      <c r="W35" s="3">
        <v>1055789.5</v>
      </c>
      <c r="X35" s="2">
        <v>0.58434569835662842</v>
      </c>
      <c r="Y35" s="2">
        <v>3.1723487377166748</v>
      </c>
      <c r="Z35" s="2">
        <v>2.733159065246582</v>
      </c>
      <c r="AA35" s="2">
        <v>3.4101638793945313</v>
      </c>
      <c r="AB35" s="2">
        <v>4.1551823616027832</v>
      </c>
      <c r="AC35" s="2">
        <v>4.039771556854248</v>
      </c>
      <c r="AD35" s="2">
        <v>4.1866898536682129</v>
      </c>
      <c r="AE35" s="2">
        <v>1.6618548631668091</v>
      </c>
      <c r="AF35" s="2">
        <v>1.3201251029968262</v>
      </c>
      <c r="AG35" s="2">
        <v>1.9764987230300903</v>
      </c>
      <c r="AH35" s="2">
        <v>0.64307034015655518</v>
      </c>
      <c r="AI35" s="2">
        <v>0.55473971366882324</v>
      </c>
      <c r="AJ35" s="3">
        <f t="shared" si="7"/>
        <v>2184931</v>
      </c>
      <c r="AK35" s="3">
        <v>775321</v>
      </c>
      <c r="AL35" s="3">
        <v>1409610</v>
      </c>
      <c r="AM35" s="2">
        <v>3.1301074885217601</v>
      </c>
      <c r="AN35" s="2">
        <v>3.38443537594063</v>
      </c>
      <c r="AO35" s="2">
        <v>2.8464394112038902</v>
      </c>
      <c r="AP35" s="2">
        <v>2.4988784785688498</v>
      </c>
      <c r="AQ35" s="2">
        <v>3.3901363160479998</v>
      </c>
      <c r="AR35" s="2">
        <v>4.2756839755284997</v>
      </c>
      <c r="AS35" s="3">
        <v>672378</v>
      </c>
      <c r="AT35" s="23">
        <v>4.1827672605790598</v>
      </c>
      <c r="AU35" s="23">
        <v>3.7067254083531802</v>
      </c>
      <c r="AV35" s="17"/>
      <c r="AW35" s="18">
        <f t="shared" si="8"/>
        <v>0.60527549733485631</v>
      </c>
      <c r="AX35" s="18">
        <f t="shared" si="9"/>
        <v>0.39472450266514375</v>
      </c>
      <c r="AY35" s="18">
        <f t="shared" si="10"/>
        <v>0.23976087964738813</v>
      </c>
      <c r="AZ35" s="18">
        <f t="shared" si="11"/>
        <v>0.76023912035261187</v>
      </c>
      <c r="BA35" s="18">
        <v>9.3010920000000006</v>
      </c>
      <c r="BB35" s="18">
        <v>0.61392040000000003</v>
      </c>
      <c r="BC35" s="18">
        <v>0.38607960000000002</v>
      </c>
      <c r="BD35" s="18">
        <v>0.64724230000000005</v>
      </c>
      <c r="BE35" s="18">
        <v>0</v>
      </c>
      <c r="BF35" s="18">
        <v>3.008915</v>
      </c>
      <c r="BG35" s="18">
        <v>3.008915</v>
      </c>
      <c r="BH35" s="18">
        <v>1</v>
      </c>
      <c r="BI35" s="18">
        <v>0.83056479999999999</v>
      </c>
      <c r="BJ35" s="18">
        <v>0.26254110000000003</v>
      </c>
      <c r="BK35" s="18">
        <v>0.73745879999999997</v>
      </c>
      <c r="BL35" s="18">
        <v>0.29117480000000001</v>
      </c>
      <c r="BM35" s="18">
        <v>3.9300000000000004E-15</v>
      </c>
      <c r="BN35" s="18">
        <v>2.8602780000000001</v>
      </c>
      <c r="BO35" s="18">
        <v>2.8602780000000001</v>
      </c>
      <c r="BP35" s="18">
        <v>0.99999990000000005</v>
      </c>
      <c r="BQ35" s="18">
        <v>0.44890160000000001</v>
      </c>
      <c r="BR35" s="18">
        <v>0.24534349999999999</v>
      </c>
      <c r="BS35" s="18">
        <v>0.75465649999999995</v>
      </c>
      <c r="BT35" s="18">
        <v>0.55497370000000001</v>
      </c>
      <c r="BU35" s="18">
        <v>0.69686530000000002</v>
      </c>
      <c r="BV35" s="18">
        <v>0.44306980000000001</v>
      </c>
      <c r="BW35" s="18">
        <v>2.1113390000000001</v>
      </c>
      <c r="BX35" s="18">
        <v>3.2860149999999999</v>
      </c>
      <c r="BY35" s="18">
        <v>1.556365</v>
      </c>
      <c r="BZ35" s="18">
        <v>0</v>
      </c>
      <c r="CA35" s="18">
        <v>0.60307690000000003</v>
      </c>
      <c r="CB35" s="18">
        <v>0.39692309999999997</v>
      </c>
      <c r="CC35" s="18">
        <v>0.2432655</v>
      </c>
      <c r="CD35" s="18">
        <v>0.75673449999999998</v>
      </c>
      <c r="CE35" s="18">
        <v>4.4132949999999997</v>
      </c>
      <c r="CF35" s="18">
        <v>4.4224019999999999</v>
      </c>
      <c r="CG35" s="18">
        <v>2.125858</v>
      </c>
      <c r="CH35" s="18">
        <v>3.2544089999999999</v>
      </c>
      <c r="CI35" s="18">
        <v>1.1538649999999999</v>
      </c>
      <c r="CJ35" s="18">
        <v>1.0352950000000001</v>
      </c>
      <c r="CK35" s="18">
        <v>0.8972405</v>
      </c>
      <c r="CL35" s="18">
        <v>0.91319779999999995</v>
      </c>
      <c r="CM35" s="18">
        <v>0.56350199999999995</v>
      </c>
      <c r="CN35" s="18">
        <v>0.60514999999999997</v>
      </c>
      <c r="CO35" s="18">
        <v>0.53786230000000002</v>
      </c>
      <c r="CP35" s="18">
        <v>-2.2902599999999999E-2</v>
      </c>
      <c r="CQ35" s="18">
        <v>-4.79307E-2</v>
      </c>
      <c r="CR35" s="18">
        <v>-1.17371E-2</v>
      </c>
      <c r="CS35" s="37">
        <v>1.2795669999999999</v>
      </c>
      <c r="CT35" s="18">
        <v>1.2697138496695868</v>
      </c>
      <c r="CU35" s="18">
        <v>1.2427327571229168</v>
      </c>
      <c r="CV35" s="18">
        <v>0.9381195</v>
      </c>
      <c r="CW35" s="18">
        <v>1.182855</v>
      </c>
      <c r="CX35" s="18">
        <v>1.251172</v>
      </c>
      <c r="CY35" s="18">
        <v>1.2454677912531757</v>
      </c>
      <c r="CZ35" s="17"/>
      <c r="DG35" s="17"/>
      <c r="DI35" s="11"/>
      <c r="DJ35" s="33"/>
    </row>
    <row r="36" spans="1:114" x14ac:dyDescent="0.3">
      <c r="A36" s="5">
        <v>1981</v>
      </c>
      <c r="B36" s="3">
        <v>230008</v>
      </c>
      <c r="C36" s="3">
        <v>3207041</v>
      </c>
      <c r="D36" s="35">
        <v>3.4063201364574902</v>
      </c>
      <c r="E36" s="2">
        <v>3.7717824095244299</v>
      </c>
      <c r="F36" s="3">
        <v>1933951</v>
      </c>
      <c r="G36" s="3">
        <v>631229</v>
      </c>
      <c r="H36" s="3">
        <v>507041</v>
      </c>
      <c r="I36" s="3">
        <v>147340</v>
      </c>
      <c r="J36" s="3">
        <v>-12520</v>
      </c>
      <c r="K36" s="3">
        <f t="shared" si="4"/>
        <v>3210981</v>
      </c>
      <c r="L36" s="3">
        <f t="shared" si="5"/>
        <v>1054534</v>
      </c>
      <c r="M36" s="3">
        <f t="shared" si="6"/>
        <v>2156447</v>
      </c>
      <c r="N36" s="23">
        <v>3.9321982860565186</v>
      </c>
      <c r="O36" s="23">
        <v>3.6717977523803711</v>
      </c>
      <c r="P36" s="23">
        <v>4.1641941070556641</v>
      </c>
      <c r="Q36" s="22">
        <v>449156.25</v>
      </c>
      <c r="R36" s="22">
        <v>605377.75</v>
      </c>
      <c r="S36" s="22">
        <v>299605.75</v>
      </c>
      <c r="T36" s="22">
        <v>1856841.25</v>
      </c>
      <c r="U36" s="3">
        <v>1814615.125</v>
      </c>
      <c r="V36" s="3">
        <v>648645.4375</v>
      </c>
      <c r="W36" s="3">
        <v>1165969.75</v>
      </c>
      <c r="X36" s="2">
        <v>0.58572179079055786</v>
      </c>
      <c r="Y36" s="2">
        <v>3.2517344951629639</v>
      </c>
      <c r="Z36" s="2">
        <v>2.7829663753509521</v>
      </c>
      <c r="AA36" s="2">
        <v>3.507000207901001</v>
      </c>
      <c r="AB36" s="2">
        <v>4.3158254623413086</v>
      </c>
      <c r="AC36" s="2">
        <v>4.1842570304870605</v>
      </c>
      <c r="AD36" s="2">
        <v>4.3535366058349609</v>
      </c>
      <c r="AE36" s="2">
        <v>1.6838330030441284</v>
      </c>
      <c r="AF36" s="2">
        <v>1.3217947483062744</v>
      </c>
      <c r="AG36" s="2">
        <v>2.0159521102905273</v>
      </c>
      <c r="AH36" s="2">
        <v>0.63501548767089844</v>
      </c>
      <c r="AI36" s="2">
        <v>0.56140708923339844</v>
      </c>
      <c r="AJ36" s="3">
        <f t="shared" si="7"/>
        <v>2458282</v>
      </c>
      <c r="AK36" s="3">
        <v>876569</v>
      </c>
      <c r="AL36" s="3">
        <v>1581713</v>
      </c>
      <c r="AM36" s="2">
        <v>3.21560416027347</v>
      </c>
      <c r="AN36" s="2">
        <v>3.7066116900022501</v>
      </c>
      <c r="AO36" s="2">
        <v>2.8570628873055499</v>
      </c>
      <c r="AP36" s="2">
        <v>2.8146982383597901</v>
      </c>
      <c r="AQ36" s="2">
        <v>3.4487343791846898</v>
      </c>
      <c r="AR36" s="2">
        <v>4.7161946920352502</v>
      </c>
      <c r="AS36" s="3">
        <v>748760</v>
      </c>
      <c r="AT36" s="23">
        <v>4.2625278396436501</v>
      </c>
      <c r="AU36" s="23">
        <v>4.0505689301558698</v>
      </c>
      <c r="AV36" s="17"/>
      <c r="AW36" s="18">
        <f t="shared" si="8"/>
        <v>0.59986517745291557</v>
      </c>
      <c r="AX36" s="18">
        <f t="shared" si="9"/>
        <v>0.40013482254708438</v>
      </c>
      <c r="AY36" s="18">
        <f t="shared" si="10"/>
        <v>0.24586673646820206</v>
      </c>
      <c r="AZ36" s="18">
        <f t="shared" si="11"/>
        <v>0.75413326353179799</v>
      </c>
      <c r="BA36" s="18">
        <v>10.3165</v>
      </c>
      <c r="BB36" s="18">
        <v>0.61800710000000003</v>
      </c>
      <c r="BC36" s="18">
        <v>0.38199290000000002</v>
      </c>
      <c r="BD36" s="18">
        <v>0.64724230000000005</v>
      </c>
      <c r="BE36" s="18">
        <v>0</v>
      </c>
      <c r="BF36" s="18">
        <v>3.0734509999999999</v>
      </c>
      <c r="BG36" s="18">
        <v>3.0734509999999999</v>
      </c>
      <c r="BH36" s="18">
        <v>1</v>
      </c>
      <c r="BI36" s="18">
        <v>0.83056479999999999</v>
      </c>
      <c r="BJ36" s="18">
        <v>0.26589970000000002</v>
      </c>
      <c r="BK36" s="18">
        <v>0.73410030000000004</v>
      </c>
      <c r="BL36" s="18">
        <v>0.29117480000000001</v>
      </c>
      <c r="BM36" s="18">
        <v>3.9300000000000004E-15</v>
      </c>
      <c r="BN36" s="18">
        <v>2.9394339999999999</v>
      </c>
      <c r="BO36" s="18">
        <v>2.9394339999999999</v>
      </c>
      <c r="BP36" s="18">
        <v>1</v>
      </c>
      <c r="BQ36" s="18">
        <v>0.44890160000000001</v>
      </c>
      <c r="BR36" s="18">
        <v>0.24531639999999999</v>
      </c>
      <c r="BS36" s="18">
        <v>0.75468360000000001</v>
      </c>
      <c r="BT36" s="18">
        <v>0.55497370000000001</v>
      </c>
      <c r="BU36" s="18">
        <v>0.69686530000000002</v>
      </c>
      <c r="BV36" s="18">
        <v>0.44306980000000001</v>
      </c>
      <c r="BW36" s="18">
        <v>2.1421260000000002</v>
      </c>
      <c r="BX36" s="18">
        <v>3.3925239999999999</v>
      </c>
      <c r="BY36" s="18">
        <v>1.583718</v>
      </c>
      <c r="BZ36" s="18">
        <v>0</v>
      </c>
      <c r="CA36" s="18">
        <v>0.60257039999999995</v>
      </c>
      <c r="CB36" s="18">
        <v>0.39742959999999999</v>
      </c>
      <c r="CC36" s="18">
        <v>0.2428138</v>
      </c>
      <c r="CD36" s="18">
        <v>0.75718620000000003</v>
      </c>
      <c r="CE36" s="18">
        <v>4.4116289999999996</v>
      </c>
      <c r="CF36" s="18">
        <v>4.600543</v>
      </c>
      <c r="CG36" s="18">
        <v>2.2120250000000001</v>
      </c>
      <c r="CH36" s="18">
        <v>3.3327909999999998</v>
      </c>
      <c r="CI36" s="18">
        <v>1.1341019999999999</v>
      </c>
      <c r="CJ36" s="18">
        <v>1.028079</v>
      </c>
      <c r="CK36" s="18">
        <v>0.90651369999999998</v>
      </c>
      <c r="CL36" s="18">
        <v>0.91522009999999998</v>
      </c>
      <c r="CM36" s="18">
        <v>0.56350199999999995</v>
      </c>
      <c r="CN36" s="18">
        <v>0.60514999999999997</v>
      </c>
      <c r="CO36" s="18">
        <v>0.53786230000000002</v>
      </c>
      <c r="CP36" s="18">
        <v>7.5540000000000004E-4</v>
      </c>
      <c r="CQ36" s="18">
        <v>2.0081000000000001E-3</v>
      </c>
      <c r="CR36" s="18">
        <v>-1.9430000000000001E-4</v>
      </c>
      <c r="CS36" s="18">
        <v>1.2805340000000001</v>
      </c>
      <c r="CT36" s="18">
        <v>1.2722378044350893</v>
      </c>
      <c r="CU36" s="18">
        <v>1.2424756356060795</v>
      </c>
      <c r="CV36" s="18">
        <v>0.94132970000000005</v>
      </c>
      <c r="CW36" s="18">
        <v>1.1883520000000001</v>
      </c>
      <c r="CX36" s="18">
        <v>1.251719</v>
      </c>
      <c r="CY36" s="18">
        <v>1.2481973865532514</v>
      </c>
      <c r="CZ36" s="17"/>
      <c r="DG36" s="17"/>
      <c r="DI36" s="11"/>
      <c r="DJ36" s="33"/>
    </row>
    <row r="37" spans="1:114" x14ac:dyDescent="0.3">
      <c r="A37" s="5">
        <v>1982</v>
      </c>
      <c r="B37" s="3">
        <v>232218</v>
      </c>
      <c r="C37" s="3">
        <v>3343789</v>
      </c>
      <c r="D37" s="35">
        <v>3.34491426519436</v>
      </c>
      <c r="E37" s="2">
        <v>4.0048057385214202</v>
      </c>
      <c r="F37" s="3">
        <v>2071256</v>
      </c>
      <c r="G37" s="3">
        <v>581034</v>
      </c>
      <c r="H37" s="3">
        <v>554529</v>
      </c>
      <c r="I37" s="3">
        <v>156944</v>
      </c>
      <c r="J37" s="3">
        <v>-19974</v>
      </c>
      <c r="K37" s="3">
        <f t="shared" si="4"/>
        <v>3345027.93</v>
      </c>
      <c r="L37" s="3">
        <f t="shared" si="5"/>
        <v>1047201</v>
      </c>
      <c r="M37" s="3">
        <f t="shared" si="6"/>
        <v>2297826.9300000002</v>
      </c>
      <c r="N37" s="23">
        <v>4.176292896270752</v>
      </c>
      <c r="O37" s="23">
        <v>3.8480374813079834</v>
      </c>
      <c r="P37" s="23">
        <v>4.4510231018066406</v>
      </c>
      <c r="Q37" s="22">
        <v>445842.69</v>
      </c>
      <c r="R37" s="22">
        <v>601358.31000000006</v>
      </c>
      <c r="S37" s="22">
        <v>307051.31</v>
      </c>
      <c r="T37" s="22">
        <v>1990775.62</v>
      </c>
      <c r="U37" s="3">
        <v>1911405.75</v>
      </c>
      <c r="V37" s="3">
        <v>653979.5</v>
      </c>
      <c r="W37" s="3">
        <v>1257426.25</v>
      </c>
      <c r="X37" s="2">
        <v>0.5844694972038269</v>
      </c>
      <c r="Y37" s="2">
        <v>3.1902256011962891</v>
      </c>
      <c r="Z37" s="2">
        <v>2.6431910991668701</v>
      </c>
      <c r="AA37" s="2">
        <v>3.494511604309082</v>
      </c>
      <c r="AB37" s="2">
        <v>4.4880046844482422</v>
      </c>
      <c r="AC37" s="2">
        <v>4.3826475143432617</v>
      </c>
      <c r="AD37" s="2">
        <v>4.5140995979309082</v>
      </c>
      <c r="AE37" s="2">
        <v>1.6490050554275513</v>
      </c>
      <c r="AF37" s="2">
        <v>1.2284587621688843</v>
      </c>
      <c r="AG37" s="2">
        <v>2.0306253433227539</v>
      </c>
      <c r="AH37" s="2">
        <v>0.63146084547042847</v>
      </c>
      <c r="AI37" s="2">
        <v>0.56197571754455566</v>
      </c>
      <c r="AJ37" s="3">
        <f t="shared" si="7"/>
        <v>2590897</v>
      </c>
      <c r="AK37" s="3">
        <v>856384</v>
      </c>
      <c r="AL37" s="3">
        <v>1734513</v>
      </c>
      <c r="AM37" s="2">
        <v>3.1885254410612802</v>
      </c>
      <c r="AN37" s="2">
        <v>3.93974921505083</v>
      </c>
      <c r="AO37" s="2">
        <v>2.8308332587324401</v>
      </c>
      <c r="AP37" s="2">
        <v>2.7753629653416101</v>
      </c>
      <c r="AQ37" s="2">
        <v>3.51130053387375</v>
      </c>
      <c r="AR37" s="2">
        <v>5.0796447920502299</v>
      </c>
      <c r="AS37" s="3">
        <v>752891</v>
      </c>
      <c r="AT37" s="23">
        <v>4.0509465478841804</v>
      </c>
      <c r="AU37" s="23">
        <v>4.2856451913212004</v>
      </c>
      <c r="AV37" s="17"/>
      <c r="AW37" s="18">
        <f t="shared" si="8"/>
        <v>0.592171925928484</v>
      </c>
      <c r="AX37" s="18">
        <f t="shared" si="9"/>
        <v>0.40782807407151606</v>
      </c>
      <c r="AY37" s="18">
        <f t="shared" si="10"/>
        <v>0.23199353360572694</v>
      </c>
      <c r="AZ37" s="18">
        <f t="shared" si="11"/>
        <v>0.76800646639427306</v>
      </c>
      <c r="BA37" s="18">
        <v>10.76493</v>
      </c>
      <c r="BB37" s="18">
        <v>0.61333879999999996</v>
      </c>
      <c r="BC37" s="18">
        <v>0.38666119999999998</v>
      </c>
      <c r="BD37" s="18">
        <v>0.64724230000000005</v>
      </c>
      <c r="BE37" s="18">
        <v>0</v>
      </c>
      <c r="BF37" s="18">
        <v>3.0662289999999999</v>
      </c>
      <c r="BG37" s="18">
        <v>3.0662289999999999</v>
      </c>
      <c r="BH37" s="18">
        <v>1</v>
      </c>
      <c r="BI37" s="18">
        <v>0.83056479999999999</v>
      </c>
      <c r="BJ37" s="18">
        <v>0.26206639999999998</v>
      </c>
      <c r="BK37" s="18">
        <v>0.73793359999999997</v>
      </c>
      <c r="BL37" s="18">
        <v>0.29117480000000001</v>
      </c>
      <c r="BM37" s="18">
        <v>3.9300000000000004E-15</v>
      </c>
      <c r="BN37" s="18">
        <v>2.9122499999999998</v>
      </c>
      <c r="BO37" s="18">
        <v>2.9122499999999998</v>
      </c>
      <c r="BP37" s="18">
        <v>1</v>
      </c>
      <c r="BQ37" s="18">
        <v>0.44890160000000001</v>
      </c>
      <c r="BR37" s="18">
        <v>0.24521950000000001</v>
      </c>
      <c r="BS37" s="18">
        <v>0.75478049999999997</v>
      </c>
      <c r="BT37" s="18">
        <v>0.55497370000000001</v>
      </c>
      <c r="BU37" s="18">
        <v>0.69686530000000002</v>
      </c>
      <c r="BV37" s="18">
        <v>0.44306980000000001</v>
      </c>
      <c r="BW37" s="18">
        <v>2.1525080000000001</v>
      </c>
      <c r="BX37" s="18">
        <v>3.3441190000000001</v>
      </c>
      <c r="BY37" s="18">
        <v>1.5535920000000001</v>
      </c>
      <c r="BZ37" s="18">
        <v>0</v>
      </c>
      <c r="CA37" s="18">
        <v>0.59601859999999995</v>
      </c>
      <c r="CB37" s="18">
        <v>0.40398139999999999</v>
      </c>
      <c r="CC37" s="18">
        <v>0.23893010000000001</v>
      </c>
      <c r="CD37" s="18">
        <v>0.76106989999999997</v>
      </c>
      <c r="CE37" s="18">
        <v>4.1785170000000003</v>
      </c>
      <c r="CF37" s="18">
        <v>4.4110329999999998</v>
      </c>
      <c r="CG37" s="18">
        <v>2.098157</v>
      </c>
      <c r="CH37" s="18">
        <v>3.345243</v>
      </c>
      <c r="CI37" s="18">
        <v>1.1567000000000001</v>
      </c>
      <c r="CJ37" s="18">
        <v>1.038608</v>
      </c>
      <c r="CK37" s="18">
        <v>0.89790610000000004</v>
      </c>
      <c r="CL37" s="18">
        <v>0.91941110000000004</v>
      </c>
      <c r="CM37" s="18">
        <v>0.56350199999999995</v>
      </c>
      <c r="CN37" s="18">
        <v>0.60514999999999997</v>
      </c>
      <c r="CO37" s="18">
        <v>0.53786230000000002</v>
      </c>
      <c r="CP37" s="18">
        <v>-2.4395E-2</v>
      </c>
      <c r="CQ37" s="18">
        <v>-3.0485399999999999E-2</v>
      </c>
      <c r="CR37" s="18">
        <v>-2.3462799999999999E-2</v>
      </c>
      <c r="CS37" s="18">
        <v>1.249673</v>
      </c>
      <c r="CT37" s="18">
        <v>1.2339415549374935</v>
      </c>
      <c r="CU37" s="18">
        <v>1.2136399770840434</v>
      </c>
      <c r="CV37" s="18">
        <v>0.93985249999999998</v>
      </c>
      <c r="CW37" s="18">
        <v>1.1537550000000001</v>
      </c>
      <c r="CX37" s="18">
        <v>1.2202299999999999</v>
      </c>
      <c r="CY37" s="18">
        <v>1.2224386365448474</v>
      </c>
      <c r="CZ37" s="17"/>
      <c r="DG37" s="17"/>
      <c r="DI37" s="11"/>
      <c r="DJ37" s="33"/>
    </row>
    <row r="38" spans="1:114" x14ac:dyDescent="0.3">
      <c r="A38" s="5">
        <v>1983</v>
      </c>
      <c r="B38" s="3">
        <v>234333</v>
      </c>
      <c r="C38" s="3">
        <v>3634038</v>
      </c>
      <c r="D38" s="35">
        <v>3.49824939402101</v>
      </c>
      <c r="E38" s="2">
        <v>4.1616569425261902</v>
      </c>
      <c r="F38" s="3">
        <v>2281605</v>
      </c>
      <c r="G38" s="3">
        <v>637518</v>
      </c>
      <c r="H38" s="3">
        <v>595393</v>
      </c>
      <c r="I38" s="3">
        <v>171164</v>
      </c>
      <c r="J38" s="3">
        <v>-51642</v>
      </c>
      <c r="K38" s="3">
        <f t="shared" si="4"/>
        <v>3638136</v>
      </c>
      <c r="L38" s="3">
        <f t="shared" si="5"/>
        <v>1092915</v>
      </c>
      <c r="M38" s="3">
        <f t="shared" si="6"/>
        <v>2545221</v>
      </c>
      <c r="N38" s="23">
        <v>4.3330984115600586</v>
      </c>
      <c r="O38" s="23">
        <v>3.8769104480743408</v>
      </c>
      <c r="P38" s="23">
        <v>4.6798324584960938</v>
      </c>
      <c r="Q38" s="22">
        <v>463797.25</v>
      </c>
      <c r="R38" s="22">
        <v>629117.75</v>
      </c>
      <c r="S38" s="22">
        <v>350633.75</v>
      </c>
      <c r="T38" s="22">
        <v>2194587.25</v>
      </c>
      <c r="U38" s="3">
        <v>2042380.5</v>
      </c>
      <c r="V38" s="3">
        <v>670899.4375</v>
      </c>
      <c r="W38" s="3">
        <v>1371481.125</v>
      </c>
      <c r="X38" s="2">
        <v>0.58256047964096069</v>
      </c>
      <c r="Y38" s="2">
        <v>3.3432269096374512</v>
      </c>
      <c r="Z38" s="2">
        <v>2.7578587532043457</v>
      </c>
      <c r="AA38" s="2">
        <v>3.6693527698516846</v>
      </c>
      <c r="AB38" s="2">
        <v>4.6554460525512695</v>
      </c>
      <c r="AC38" s="2">
        <v>4.5598320960998535</v>
      </c>
      <c r="AD38" s="2">
        <v>4.677121639251709</v>
      </c>
      <c r="AE38" s="2">
        <v>1.6745383739471436</v>
      </c>
      <c r="AF38" s="2">
        <v>1.2418984174728394</v>
      </c>
      <c r="AG38" s="2">
        <v>2.0667381286621094</v>
      </c>
      <c r="AH38" s="2">
        <v>0.62785494327545166</v>
      </c>
      <c r="AI38" s="2">
        <v>0.56207191944122314</v>
      </c>
      <c r="AJ38" s="3">
        <f t="shared" si="7"/>
        <v>2819604</v>
      </c>
      <c r="AK38" s="3">
        <v>909404</v>
      </c>
      <c r="AL38" s="3">
        <v>1910200</v>
      </c>
      <c r="AM38" s="2">
        <v>3.3103905568915302</v>
      </c>
      <c r="AN38" s="2">
        <v>4.1296874701986601</v>
      </c>
      <c r="AO38" s="2">
        <v>2.88579045848177</v>
      </c>
      <c r="AP38" s="2">
        <v>2.8910632981544899</v>
      </c>
      <c r="AQ38" s="2">
        <v>3.6585037622685599</v>
      </c>
      <c r="AR38" s="2">
        <v>5.3690706928073899</v>
      </c>
      <c r="AS38" s="3">
        <v>814433</v>
      </c>
      <c r="AT38" s="23">
        <v>4.3449331848552299</v>
      </c>
      <c r="AU38" s="23">
        <v>4.3222798290951499</v>
      </c>
      <c r="AV38" s="17"/>
      <c r="AW38" s="18">
        <f t="shared" si="8"/>
        <v>0.56947396403132988</v>
      </c>
      <c r="AX38" s="18">
        <f t="shared" si="9"/>
        <v>0.43052603596867017</v>
      </c>
      <c r="AY38" s="18">
        <f t="shared" si="10"/>
        <v>0.22279868116534837</v>
      </c>
      <c r="AZ38" s="18">
        <f t="shared" si="11"/>
        <v>0.7772013188346516</v>
      </c>
      <c r="BA38" s="18">
        <v>11.61702</v>
      </c>
      <c r="BB38" s="18">
        <v>0.60317580000000004</v>
      </c>
      <c r="BC38" s="18">
        <v>0.39682420000000002</v>
      </c>
      <c r="BD38" s="18">
        <v>0.64724230000000005</v>
      </c>
      <c r="BE38" s="18">
        <v>0</v>
      </c>
      <c r="BF38" s="18">
        <v>3.2592880000000002</v>
      </c>
      <c r="BG38" s="18">
        <v>3.2592889999999999</v>
      </c>
      <c r="BH38" s="18">
        <v>1</v>
      </c>
      <c r="BI38" s="18">
        <v>0.83056479999999999</v>
      </c>
      <c r="BJ38" s="18">
        <v>0.25390200000000002</v>
      </c>
      <c r="BK38" s="18">
        <v>0.74609800000000004</v>
      </c>
      <c r="BL38" s="18">
        <v>0.29117480000000001</v>
      </c>
      <c r="BM38" s="18">
        <v>3.9300000000000004E-15</v>
      </c>
      <c r="BN38" s="18">
        <v>3.049706</v>
      </c>
      <c r="BO38" s="18">
        <v>3.049706</v>
      </c>
      <c r="BP38" s="18">
        <v>1</v>
      </c>
      <c r="BQ38" s="18">
        <v>0.44890160000000001</v>
      </c>
      <c r="BR38" s="18">
        <v>0.23462150000000001</v>
      </c>
      <c r="BS38" s="18">
        <v>0.76537849999999996</v>
      </c>
      <c r="BT38" s="18">
        <v>0.55497370000000001</v>
      </c>
      <c r="BU38" s="18">
        <v>0.69686530000000002</v>
      </c>
      <c r="BV38" s="18">
        <v>0.44306980000000001</v>
      </c>
      <c r="BW38" s="18">
        <v>2.2260369999999998</v>
      </c>
      <c r="BX38" s="18">
        <v>3.5122710000000001</v>
      </c>
      <c r="BY38" s="18">
        <v>1.577814</v>
      </c>
      <c r="BZ38" s="18">
        <v>0</v>
      </c>
      <c r="CA38" s="18">
        <v>0.58082279999999997</v>
      </c>
      <c r="CB38" s="18">
        <v>0.41917720000000003</v>
      </c>
      <c r="CC38" s="18">
        <v>0.22739619999999999</v>
      </c>
      <c r="CD38" s="18">
        <v>0.77260390000000001</v>
      </c>
      <c r="CE38" s="18">
        <v>4.3144410000000004</v>
      </c>
      <c r="CF38" s="18">
        <v>4.7908869999999997</v>
      </c>
      <c r="CG38" s="18">
        <v>2.1779570000000001</v>
      </c>
      <c r="CH38" s="18">
        <v>3.506284</v>
      </c>
      <c r="CI38" s="18">
        <v>1.207104</v>
      </c>
      <c r="CJ38" s="18">
        <v>1.0827610000000001</v>
      </c>
      <c r="CK38" s="18">
        <v>0.89699079999999998</v>
      </c>
      <c r="CL38" s="18">
        <v>0.95557899999999996</v>
      </c>
      <c r="CM38" s="18">
        <v>0.56350199999999995</v>
      </c>
      <c r="CN38" s="18">
        <v>0.60514999999999997</v>
      </c>
      <c r="CO38" s="18">
        <v>0.53786230000000002</v>
      </c>
      <c r="CP38" s="18">
        <v>2.2197700000000001E-2</v>
      </c>
      <c r="CQ38" s="18">
        <v>1.9036600000000001E-2</v>
      </c>
      <c r="CR38" s="18">
        <v>2.3402699999999999E-2</v>
      </c>
      <c r="CS38" s="18">
        <v>1.2777229999999999</v>
      </c>
      <c r="CT38" s="18">
        <v>1.2576329065241358</v>
      </c>
      <c r="CU38" s="18">
        <v>1.2423627993273765</v>
      </c>
      <c r="CV38" s="18">
        <v>0.95582959999999995</v>
      </c>
      <c r="CW38" s="18">
        <v>1.1977800000000001</v>
      </c>
      <c r="CX38" s="18">
        <v>1.2475529999999999</v>
      </c>
      <c r="CY38" s="18">
        <v>1.2861730333415045</v>
      </c>
      <c r="CZ38" s="17"/>
      <c r="DG38" s="17"/>
      <c r="DI38" s="11"/>
      <c r="DJ38" s="33"/>
    </row>
    <row r="39" spans="1:114" x14ac:dyDescent="0.3">
      <c r="A39" s="5">
        <v>1984</v>
      </c>
      <c r="B39" s="3">
        <v>236394</v>
      </c>
      <c r="C39" s="3">
        <v>4037613</v>
      </c>
      <c r="D39" s="35">
        <v>3.75141395098303</v>
      </c>
      <c r="E39" s="2">
        <v>4.3117868270302404</v>
      </c>
      <c r="F39" s="3">
        <v>2492340</v>
      </c>
      <c r="G39" s="3">
        <v>820089</v>
      </c>
      <c r="H39" s="3">
        <v>634728</v>
      </c>
      <c r="I39" s="3">
        <v>193182</v>
      </c>
      <c r="J39" s="3">
        <v>-102727</v>
      </c>
      <c r="K39" s="3">
        <f t="shared" si="4"/>
        <v>4040673</v>
      </c>
      <c r="L39" s="3">
        <f t="shared" si="5"/>
        <v>1229789</v>
      </c>
      <c r="M39" s="3">
        <f t="shared" si="6"/>
        <v>2810884</v>
      </c>
      <c r="N39" s="23">
        <v>4.4909582138061523</v>
      </c>
      <c r="O39" s="23">
        <v>3.9630751609802246</v>
      </c>
      <c r="P39" s="23">
        <v>4.880190372467041</v>
      </c>
      <c r="Q39" s="22">
        <v>539739.75</v>
      </c>
      <c r="R39" s="22">
        <v>690049.25</v>
      </c>
      <c r="S39" s="22">
        <v>408133.25</v>
      </c>
      <c r="T39" s="22">
        <v>2402750.75</v>
      </c>
      <c r="U39" s="3">
        <v>2272605.25</v>
      </c>
      <c r="V39" s="3">
        <v>760622.4375</v>
      </c>
      <c r="W39" s="3">
        <v>1511982.875</v>
      </c>
      <c r="X39" s="2">
        <v>0.57829076051712036</v>
      </c>
      <c r="Y39" s="2">
        <v>3.5793313980102539</v>
      </c>
      <c r="Z39" s="2">
        <v>3.0325381755828857</v>
      </c>
      <c r="AA39" s="2">
        <v>3.88210129737854</v>
      </c>
      <c r="AB39" s="2">
        <v>4.8542585372924805</v>
      </c>
      <c r="AC39" s="2">
        <v>4.6733393669128418</v>
      </c>
      <c r="AD39" s="2">
        <v>4.9088864326477051</v>
      </c>
      <c r="AE39" s="2">
        <v>1.7689400911331177</v>
      </c>
      <c r="AF39" s="2">
        <v>1.3339046239852905</v>
      </c>
      <c r="AG39" s="2">
        <v>2.1653163433074951</v>
      </c>
      <c r="AH39" s="2">
        <v>0.6228710412979126</v>
      </c>
      <c r="AI39" s="2">
        <v>0.55845403671264648</v>
      </c>
      <c r="AJ39" s="3">
        <f t="shared" si="7"/>
        <v>3089746</v>
      </c>
      <c r="AK39" s="3">
        <v>1024075</v>
      </c>
      <c r="AL39" s="3">
        <v>2065671</v>
      </c>
      <c r="AM39" s="2">
        <v>3.47674829984564</v>
      </c>
      <c r="AN39" s="2">
        <v>4.3088146902494202</v>
      </c>
      <c r="AO39" s="2">
        <v>2.94906717220662</v>
      </c>
      <c r="AP39" s="2">
        <v>3.18575690281207</v>
      </c>
      <c r="AQ39" s="2">
        <v>3.7596189913344502</v>
      </c>
      <c r="AR39" s="2">
        <v>5.6499044765600797</v>
      </c>
      <c r="AS39" s="3">
        <v>947866</v>
      </c>
      <c r="AT39" s="23">
        <v>4.99707683741648</v>
      </c>
      <c r="AU39" s="23">
        <v>4.3739270756594797</v>
      </c>
      <c r="AV39" s="17"/>
      <c r="AW39" s="18">
        <f t="shared" si="8"/>
        <v>0.56942201117660274</v>
      </c>
      <c r="AX39" s="18">
        <f t="shared" si="9"/>
        <v>0.43057798882339721</v>
      </c>
      <c r="AY39" s="18">
        <f t="shared" si="10"/>
        <v>0.22311473422141748</v>
      </c>
      <c r="AZ39" s="18">
        <f t="shared" si="11"/>
        <v>0.77688526577858252</v>
      </c>
      <c r="BA39" s="18">
        <v>12.591390000000001</v>
      </c>
      <c r="BB39" s="18">
        <v>0.59839339999999996</v>
      </c>
      <c r="BC39" s="18">
        <v>0.40160659999999998</v>
      </c>
      <c r="BD39" s="18">
        <v>0.64724230000000005</v>
      </c>
      <c r="BE39" s="18">
        <v>0</v>
      </c>
      <c r="BF39" s="18">
        <v>3.4586060000000001</v>
      </c>
      <c r="BG39" s="18">
        <v>3.4586060000000001</v>
      </c>
      <c r="BH39" s="18">
        <v>1</v>
      </c>
      <c r="BI39" s="18">
        <v>0.83056479999999999</v>
      </c>
      <c r="BJ39" s="18">
        <v>0.25014310000000001</v>
      </c>
      <c r="BK39" s="18">
        <v>0.74985679999999999</v>
      </c>
      <c r="BL39" s="18">
        <v>0.29117480000000001</v>
      </c>
      <c r="BM39" s="18">
        <v>3.9300000000000004E-15</v>
      </c>
      <c r="BN39" s="18">
        <v>3.2137790000000002</v>
      </c>
      <c r="BO39" s="18">
        <v>3.2137790000000002</v>
      </c>
      <c r="BP39" s="18">
        <v>1</v>
      </c>
      <c r="BQ39" s="18">
        <v>0.44890160000000001</v>
      </c>
      <c r="BR39" s="18">
        <v>0.22647729999999999</v>
      </c>
      <c r="BS39" s="18">
        <v>0.77352270000000001</v>
      </c>
      <c r="BT39" s="18">
        <v>0.55497370000000001</v>
      </c>
      <c r="BU39" s="18">
        <v>0.69686530000000002</v>
      </c>
      <c r="BV39" s="18">
        <v>0.44306980000000001</v>
      </c>
      <c r="BW39" s="18">
        <v>2.2983950000000002</v>
      </c>
      <c r="BX39" s="18">
        <v>3.7218629999999999</v>
      </c>
      <c r="BY39" s="18">
        <v>1.6193310000000001</v>
      </c>
      <c r="BZ39" s="18">
        <v>0</v>
      </c>
      <c r="CA39" s="18">
        <v>0.56944790000000001</v>
      </c>
      <c r="CB39" s="18">
        <v>0.43055209999999999</v>
      </c>
      <c r="CC39" s="18">
        <v>0.22295680000000001</v>
      </c>
      <c r="CD39" s="18">
        <v>0.77704320000000004</v>
      </c>
      <c r="CE39" s="18">
        <v>4.9116850000000003</v>
      </c>
      <c r="CF39" s="18">
        <v>5.3475250000000001</v>
      </c>
      <c r="CG39" s="18">
        <v>2.3329240000000002</v>
      </c>
      <c r="CH39" s="18">
        <v>3.674903</v>
      </c>
      <c r="CI39" s="18">
        <v>1.2314149999999999</v>
      </c>
      <c r="CJ39" s="18">
        <v>1.1157699999999999</v>
      </c>
      <c r="CK39" s="18">
        <v>0.90608739999999999</v>
      </c>
      <c r="CL39" s="18">
        <v>0.9852417</v>
      </c>
      <c r="CM39" s="18">
        <v>0.56350199999999995</v>
      </c>
      <c r="CN39" s="18">
        <v>0.60514999999999997</v>
      </c>
      <c r="CO39" s="18">
        <v>0.53786230000000002</v>
      </c>
      <c r="CP39" s="18">
        <v>1.9081600000000001E-2</v>
      </c>
      <c r="CQ39" s="18">
        <v>4.3939699999999998E-2</v>
      </c>
      <c r="CR39" s="18">
        <v>8.9940999999999997E-3</v>
      </c>
      <c r="CS39" s="18">
        <v>1.302338</v>
      </c>
      <c r="CT39" s="18">
        <v>1.3141653280511603</v>
      </c>
      <c r="CU39" s="18">
        <v>1.2535856624038773</v>
      </c>
      <c r="CV39" s="18">
        <v>0.97384789999999999</v>
      </c>
      <c r="CW39" s="18">
        <v>1.2592509999999999</v>
      </c>
      <c r="CX39" s="18">
        <v>1.271425</v>
      </c>
      <c r="CY39" s="18">
        <v>1.3439101140044269</v>
      </c>
      <c r="CZ39" s="17"/>
      <c r="DG39" s="17"/>
      <c r="DI39" s="11"/>
      <c r="DJ39" s="33"/>
    </row>
    <row r="40" spans="1:114" x14ac:dyDescent="0.3">
      <c r="A40" s="5">
        <v>1985</v>
      </c>
      <c r="B40" s="3">
        <v>238506</v>
      </c>
      <c r="C40" s="3">
        <v>4338979</v>
      </c>
      <c r="D40" s="35">
        <v>3.9078014184397198</v>
      </c>
      <c r="E40" s="2">
        <v>4.4481829643872004</v>
      </c>
      <c r="F40" s="3">
        <v>2712830</v>
      </c>
      <c r="G40" s="3">
        <v>829650</v>
      </c>
      <c r="H40" s="3">
        <v>690640</v>
      </c>
      <c r="I40" s="3">
        <v>219876</v>
      </c>
      <c r="J40" s="3">
        <v>-114018</v>
      </c>
      <c r="K40" s="3">
        <f t="shared" si="4"/>
        <v>4346744.7699999996</v>
      </c>
      <c r="L40" s="3">
        <f t="shared" si="5"/>
        <v>1280537.9300000002</v>
      </c>
      <c r="M40" s="3">
        <f t="shared" si="6"/>
        <v>3066206.84</v>
      </c>
      <c r="N40" s="23">
        <v>4.6316547393798828</v>
      </c>
      <c r="O40" s="23">
        <v>3.9274370670318604</v>
      </c>
      <c r="P40" s="23">
        <v>5.1217985153198242</v>
      </c>
      <c r="Q40" s="22">
        <v>575881.62</v>
      </c>
      <c r="R40" s="22">
        <v>704656.31</v>
      </c>
      <c r="S40" s="22">
        <v>451817.34</v>
      </c>
      <c r="T40" s="22">
        <v>2614389.5</v>
      </c>
      <c r="U40" s="3">
        <v>2468433.25</v>
      </c>
      <c r="V40" s="3">
        <v>806297.5625</v>
      </c>
      <c r="W40" s="3">
        <v>1662135.625</v>
      </c>
      <c r="X40" s="2">
        <v>0.58164787292480469</v>
      </c>
      <c r="Y40" s="2">
        <v>3.7367382049560547</v>
      </c>
      <c r="Z40" s="2">
        <v>3.1847002506256104</v>
      </c>
      <c r="AA40" s="2">
        <v>4.0423216819763184</v>
      </c>
      <c r="AB40" s="2">
        <v>5.0852212905883789</v>
      </c>
      <c r="AC40" s="2">
        <v>4.8268799781799316</v>
      </c>
      <c r="AD40" s="2">
        <v>5.1692371368408203</v>
      </c>
      <c r="AE40" s="2">
        <v>1.8069400787353516</v>
      </c>
      <c r="AF40" s="2">
        <v>1.3505531549453735</v>
      </c>
      <c r="AG40" s="2">
        <v>2.2215232849121094</v>
      </c>
      <c r="AH40" s="2">
        <v>0.63135182857513428</v>
      </c>
      <c r="AI40" s="2">
        <v>0.55990046262741089</v>
      </c>
      <c r="AJ40" s="3">
        <f t="shared" si="7"/>
        <v>3311276</v>
      </c>
      <c r="AK40" s="3">
        <v>1043627</v>
      </c>
      <c r="AL40" s="3">
        <v>2267649</v>
      </c>
      <c r="AM40" s="2">
        <v>3.5917769484438402</v>
      </c>
      <c r="AN40" s="2">
        <v>4.4698639239902302</v>
      </c>
      <c r="AO40" s="2">
        <v>3.0822665651273802</v>
      </c>
      <c r="AP40" s="2">
        <v>3.1062803148117601</v>
      </c>
      <c r="AQ40" s="2">
        <v>3.9424151096721101</v>
      </c>
      <c r="AR40" s="2">
        <v>5.9147619397915596</v>
      </c>
      <c r="AS40" s="3">
        <v>1027702</v>
      </c>
      <c r="AT40" s="23">
        <v>5.3471603563474304</v>
      </c>
      <c r="AU40" s="23">
        <v>4.4318455146013704</v>
      </c>
      <c r="AV40" s="17"/>
      <c r="AW40" s="18">
        <f t="shared" si="8"/>
        <v>0.56036022455447465</v>
      </c>
      <c r="AX40" s="18">
        <f t="shared" si="9"/>
        <v>0.43963977544552546</v>
      </c>
      <c r="AY40" s="18">
        <f t="shared" si="10"/>
        <v>0.21230689491447544</v>
      </c>
      <c r="AZ40" s="18">
        <f t="shared" si="11"/>
        <v>0.78769310508552459</v>
      </c>
      <c r="BA40" s="18">
        <v>13.40691</v>
      </c>
      <c r="BB40" s="18">
        <v>0.58453560000000004</v>
      </c>
      <c r="BC40" s="18">
        <v>0.41546440000000001</v>
      </c>
      <c r="BD40" s="18">
        <v>0.64724230000000005</v>
      </c>
      <c r="BE40" s="18">
        <v>0</v>
      </c>
      <c r="BF40" s="18">
        <v>3.6624029999999999</v>
      </c>
      <c r="BG40" s="18">
        <v>3.6624029999999999</v>
      </c>
      <c r="BH40" s="18">
        <v>1</v>
      </c>
      <c r="BI40" s="18">
        <v>0.83056479999999999</v>
      </c>
      <c r="BJ40" s="18">
        <v>0.2395399</v>
      </c>
      <c r="BK40" s="18">
        <v>0.76046009999999997</v>
      </c>
      <c r="BL40" s="18">
        <v>0.29117480000000001</v>
      </c>
      <c r="BM40" s="18">
        <v>3.9300000000000004E-15</v>
      </c>
      <c r="BN40" s="18">
        <v>3.3361540000000001</v>
      </c>
      <c r="BO40" s="18">
        <v>3.3361540000000001</v>
      </c>
      <c r="BP40" s="18">
        <v>1</v>
      </c>
      <c r="BQ40" s="18">
        <v>0.44890160000000001</v>
      </c>
      <c r="BR40" s="18">
        <v>0.21586759999999999</v>
      </c>
      <c r="BS40" s="18">
        <v>0.78413239999999995</v>
      </c>
      <c r="BT40" s="18">
        <v>0.55497370000000001</v>
      </c>
      <c r="BU40" s="18">
        <v>0.69686530000000002</v>
      </c>
      <c r="BV40" s="18">
        <v>0.44306980000000001</v>
      </c>
      <c r="BW40" s="18">
        <v>2.374806</v>
      </c>
      <c r="BX40" s="18">
        <v>3.8619690000000002</v>
      </c>
      <c r="BY40" s="18">
        <v>1.626225</v>
      </c>
      <c r="BZ40" s="18">
        <v>0</v>
      </c>
      <c r="CA40" s="18">
        <v>0.56489109999999998</v>
      </c>
      <c r="CB40" s="18">
        <v>0.43510890000000002</v>
      </c>
      <c r="CC40" s="18">
        <v>0.21771099999999999</v>
      </c>
      <c r="CD40" s="18">
        <v>0.78228900000000001</v>
      </c>
      <c r="CE40" s="18">
        <v>5.2881830000000001</v>
      </c>
      <c r="CF40" s="18">
        <v>5.6406999999999998</v>
      </c>
      <c r="CG40" s="18">
        <v>2.4064519999999998</v>
      </c>
      <c r="CH40" s="18">
        <v>3.813977</v>
      </c>
      <c r="CI40" s="18">
        <v>1.3041069999999999</v>
      </c>
      <c r="CJ40" s="18">
        <v>1.155694</v>
      </c>
      <c r="CK40" s="18">
        <v>0.88619599999999998</v>
      </c>
      <c r="CL40" s="18">
        <v>1.008694</v>
      </c>
      <c r="CM40" s="18">
        <v>0.56350199999999995</v>
      </c>
      <c r="CN40" s="18">
        <v>0.60514999999999997</v>
      </c>
      <c r="CO40" s="18">
        <v>0.53786230000000002</v>
      </c>
      <c r="CP40" s="18">
        <v>1.07709E-2</v>
      </c>
      <c r="CQ40" s="18">
        <v>2.78582E-2</v>
      </c>
      <c r="CR40" s="18">
        <v>3.4445999999999999E-3</v>
      </c>
      <c r="CS40" s="18">
        <v>1.316441</v>
      </c>
      <c r="CT40" s="18">
        <v>1.3512727183196291</v>
      </c>
      <c r="CU40" s="18">
        <v>1.2578897168506402</v>
      </c>
      <c r="CV40" s="18">
        <v>0.97653719999999999</v>
      </c>
      <c r="CW40" s="18">
        <v>1.286834</v>
      </c>
      <c r="CX40" s="18">
        <v>1.2845329999999999</v>
      </c>
      <c r="CY40" s="18">
        <v>1.3814887499240927</v>
      </c>
      <c r="CZ40" s="17"/>
      <c r="DG40" s="17"/>
      <c r="DI40" s="11"/>
      <c r="DJ40" s="33"/>
    </row>
    <row r="41" spans="1:114" x14ac:dyDescent="0.3">
      <c r="A41" s="5">
        <v>1986</v>
      </c>
      <c r="B41" s="3">
        <v>240683</v>
      </c>
      <c r="C41" s="3">
        <v>4579631</v>
      </c>
      <c r="D41" s="35">
        <v>4.04318161414849</v>
      </c>
      <c r="E41" s="2">
        <v>4.53768994050853</v>
      </c>
      <c r="F41" s="3">
        <v>2886278</v>
      </c>
      <c r="G41" s="3">
        <v>849146</v>
      </c>
      <c r="H41" s="3">
        <v>737989</v>
      </c>
      <c r="I41" s="3">
        <v>238087</v>
      </c>
      <c r="J41" s="3">
        <v>-131869</v>
      </c>
      <c r="K41" s="3">
        <f t="shared" si="4"/>
        <v>4590168.0600000005</v>
      </c>
      <c r="L41" s="3">
        <f t="shared" si="5"/>
        <v>1293185</v>
      </c>
      <c r="M41" s="3">
        <f t="shared" si="6"/>
        <v>3296983.06</v>
      </c>
      <c r="N41" s="23">
        <v>4.7225813865661621</v>
      </c>
      <c r="O41" s="23">
        <v>3.8808143138885498</v>
      </c>
      <c r="P41" s="23">
        <v>5.2907686233520508</v>
      </c>
      <c r="Q41" s="22">
        <v>594227.43999999994</v>
      </c>
      <c r="R41" s="22">
        <v>698957.56</v>
      </c>
      <c r="S41" s="22">
        <v>486431.56</v>
      </c>
      <c r="T41" s="22">
        <v>2810551.5</v>
      </c>
      <c r="U41" s="3">
        <v>2613823</v>
      </c>
      <c r="V41" s="3">
        <v>832855.625</v>
      </c>
      <c r="W41" s="3">
        <v>1780967.25</v>
      </c>
      <c r="X41" s="2">
        <v>0.58472657203674316</v>
      </c>
      <c r="Y41" s="2">
        <v>3.8736491203308105</v>
      </c>
      <c r="Z41" s="2">
        <v>3.2635104656219482</v>
      </c>
      <c r="AA41" s="2">
        <v>4.2105350494384766</v>
      </c>
      <c r="AB41" s="2">
        <v>5.3226032257080078</v>
      </c>
      <c r="AC41" s="2">
        <v>4.9581489562988281</v>
      </c>
      <c r="AD41" s="2">
        <v>5.4448566436767578</v>
      </c>
      <c r="AE41" s="2">
        <v>1.8209192752838135</v>
      </c>
      <c r="AF41" s="2">
        <v>1.325040340423584</v>
      </c>
      <c r="AG41" s="2">
        <v>2.2674472332000732</v>
      </c>
      <c r="AH41" s="2">
        <v>0.64356178045272827</v>
      </c>
      <c r="AI41" s="2">
        <v>0.56038719415664673</v>
      </c>
      <c r="AJ41" s="3">
        <f t="shared" si="7"/>
        <v>3498970</v>
      </c>
      <c r="AK41" s="3">
        <v>1063639</v>
      </c>
      <c r="AL41" s="3">
        <v>2435331</v>
      </c>
      <c r="AM41" s="2">
        <v>3.7197709965820001</v>
      </c>
      <c r="AN41" s="2">
        <v>4.5607056055030002</v>
      </c>
      <c r="AO41" s="2">
        <v>3.2054795924431301</v>
      </c>
      <c r="AP41" s="2">
        <v>3.0441550589992801</v>
      </c>
      <c r="AQ41" s="2">
        <v>4.0996228632340204</v>
      </c>
      <c r="AR41" s="2">
        <v>6.1085464132436202</v>
      </c>
      <c r="AS41" s="3">
        <v>1080662</v>
      </c>
      <c r="AT41" s="23">
        <v>5.5153118040089</v>
      </c>
      <c r="AU41" s="23">
        <v>4.5181477657850602</v>
      </c>
      <c r="AV41" s="17"/>
      <c r="AW41" s="18">
        <f t="shared" si="8"/>
        <v>0.54987506697302291</v>
      </c>
      <c r="AX41" s="18">
        <f t="shared" si="9"/>
        <v>0.45012493302697704</v>
      </c>
      <c r="AY41" s="18">
        <f t="shared" si="10"/>
        <v>0.19916106442534731</v>
      </c>
      <c r="AZ41" s="18">
        <f t="shared" si="11"/>
        <v>0.80083893557465269</v>
      </c>
      <c r="BA41" s="18">
        <v>14.0661</v>
      </c>
      <c r="BB41" s="18">
        <v>0.57371399999999995</v>
      </c>
      <c r="BC41" s="18">
        <v>0.426286</v>
      </c>
      <c r="BD41" s="18">
        <v>0.64724230000000005</v>
      </c>
      <c r="BE41" s="18">
        <v>0</v>
      </c>
      <c r="BF41" s="18">
        <v>3.8514840000000001</v>
      </c>
      <c r="BG41" s="18">
        <v>3.8514840000000001</v>
      </c>
      <c r="BH41" s="18">
        <v>1</v>
      </c>
      <c r="BI41" s="18">
        <v>0.83056479999999999</v>
      </c>
      <c r="BJ41" s="18">
        <v>0.23154569999999999</v>
      </c>
      <c r="BK41" s="18">
        <v>0.76845430000000003</v>
      </c>
      <c r="BL41" s="18">
        <v>0.29117480000000001</v>
      </c>
      <c r="BM41" s="18">
        <v>3.9300000000000004E-15</v>
      </c>
      <c r="BN41" s="18">
        <v>3.4552740000000002</v>
      </c>
      <c r="BO41" s="18">
        <v>3.4552740000000002</v>
      </c>
      <c r="BP41" s="18">
        <v>1</v>
      </c>
      <c r="BQ41" s="18">
        <v>0.44890160000000001</v>
      </c>
      <c r="BR41" s="18">
        <v>0.2074936</v>
      </c>
      <c r="BS41" s="18">
        <v>0.79250640000000006</v>
      </c>
      <c r="BT41" s="18">
        <v>0.55497370000000001</v>
      </c>
      <c r="BU41" s="18">
        <v>0.69686530000000002</v>
      </c>
      <c r="BV41" s="18">
        <v>0.44306980000000001</v>
      </c>
      <c r="BW41" s="18">
        <v>2.445811</v>
      </c>
      <c r="BX41" s="18">
        <v>4.0005249999999997</v>
      </c>
      <c r="BY41" s="18">
        <v>1.635664</v>
      </c>
      <c r="BZ41" s="18">
        <v>0</v>
      </c>
      <c r="CA41" s="18">
        <v>0.55511739999999998</v>
      </c>
      <c r="CB41" s="18">
        <v>0.44488250000000001</v>
      </c>
      <c r="CC41" s="18">
        <v>0.2057341</v>
      </c>
      <c r="CD41" s="18">
        <v>0.79426589999999997</v>
      </c>
      <c r="CE41" s="18">
        <v>5.5222040000000003</v>
      </c>
      <c r="CF41" s="18">
        <v>5.878889</v>
      </c>
      <c r="CG41" s="18">
        <v>2.418771</v>
      </c>
      <c r="CH41" s="18">
        <v>3.9743040000000001</v>
      </c>
      <c r="CI41" s="18">
        <v>1.3633139999999999</v>
      </c>
      <c r="CJ41" s="18">
        <v>1.171041</v>
      </c>
      <c r="CK41" s="18">
        <v>0.85896640000000002</v>
      </c>
      <c r="CL41" s="18">
        <v>1.0095810000000001</v>
      </c>
      <c r="CM41" s="18">
        <v>0.56350199999999995</v>
      </c>
      <c r="CN41" s="18">
        <v>0.60514999999999997</v>
      </c>
      <c r="CO41" s="18">
        <v>0.53786230000000002</v>
      </c>
      <c r="CP41" s="18">
        <v>1.17264E-2</v>
      </c>
      <c r="CQ41" s="18">
        <v>2.3479799999999999E-2</v>
      </c>
      <c r="CR41" s="18">
        <v>6.5659999999999998E-3</v>
      </c>
      <c r="CS41" s="18">
        <v>1.331969</v>
      </c>
      <c r="CT41" s="18">
        <v>1.3833341133285872</v>
      </c>
      <c r="CU41" s="18">
        <v>1.2661500043537266</v>
      </c>
      <c r="CV41" s="18">
        <v>0.96541399999999999</v>
      </c>
      <c r="CW41" s="18">
        <v>1.2942469999999999</v>
      </c>
      <c r="CX41" s="18">
        <v>1.2990200000000001</v>
      </c>
      <c r="CY41" s="18">
        <v>1.3966587140344453</v>
      </c>
      <c r="CZ41" s="17"/>
      <c r="DG41" s="17"/>
      <c r="DI41" s="11"/>
      <c r="DJ41" s="33"/>
    </row>
    <row r="42" spans="1:114" x14ac:dyDescent="0.3">
      <c r="A42" s="5">
        <v>1987</v>
      </c>
      <c r="B42" s="3">
        <v>242843</v>
      </c>
      <c r="C42" s="3">
        <v>4855215</v>
      </c>
      <c r="D42" s="35">
        <v>4.1827812191399598</v>
      </c>
      <c r="E42" s="2">
        <v>4.6501921357971003</v>
      </c>
      <c r="F42" s="3">
        <v>3076279</v>
      </c>
      <c r="G42" s="3">
        <v>892176</v>
      </c>
      <c r="H42" s="3">
        <v>776893</v>
      </c>
      <c r="I42" s="3">
        <v>254637</v>
      </c>
      <c r="J42" s="3">
        <v>-144770</v>
      </c>
      <c r="K42" s="3">
        <f t="shared" si="4"/>
        <v>4870225.9399999995</v>
      </c>
      <c r="L42" s="3">
        <f t="shared" si="5"/>
        <v>1370745</v>
      </c>
      <c r="M42" s="3">
        <f t="shared" si="6"/>
        <v>3499480.94</v>
      </c>
      <c r="N42" s="23">
        <v>4.8716411590576172</v>
      </c>
      <c r="O42" s="23">
        <v>3.9077723026275635</v>
      </c>
      <c r="P42" s="23">
        <v>5.5109705924987793</v>
      </c>
      <c r="Q42" s="22">
        <v>616982.31000000006</v>
      </c>
      <c r="R42" s="22">
        <v>753762.69</v>
      </c>
      <c r="S42" s="22">
        <v>502688.69</v>
      </c>
      <c r="T42" s="22">
        <v>2996792.25</v>
      </c>
      <c r="U42" s="3">
        <v>2806064.5</v>
      </c>
      <c r="V42" s="3">
        <v>864301.3125</v>
      </c>
      <c r="W42" s="3">
        <v>1941763</v>
      </c>
      <c r="X42" s="2">
        <v>0.587807297706604</v>
      </c>
      <c r="Y42" s="2">
        <v>3.9964404106140137</v>
      </c>
      <c r="Z42" s="2">
        <v>3.4412012100219727</v>
      </c>
      <c r="AA42" s="2">
        <v>4.3061141967773438</v>
      </c>
      <c r="AB42" s="2">
        <v>5.5711402893066406</v>
      </c>
      <c r="AC42" s="2">
        <v>5.0682663917541504</v>
      </c>
      <c r="AD42" s="2">
        <v>5.7438869476318359</v>
      </c>
      <c r="AE42" s="2">
        <v>1.8855457305908203</v>
      </c>
      <c r="AF42" s="2">
        <v>1.34930419921875</v>
      </c>
      <c r="AG42" s="2">
        <v>2.3659131526947021</v>
      </c>
      <c r="AH42" s="2">
        <v>0.6426156759262085</v>
      </c>
      <c r="AI42" s="2">
        <v>0.565784752368927</v>
      </c>
      <c r="AJ42" s="3">
        <f t="shared" si="7"/>
        <v>3735551</v>
      </c>
      <c r="AK42" s="3">
        <v>1134232</v>
      </c>
      <c r="AL42" s="3">
        <v>2601319</v>
      </c>
      <c r="AM42" s="2">
        <v>3.8674623705971101</v>
      </c>
      <c r="AN42" s="2">
        <v>4.6831354784397003</v>
      </c>
      <c r="AO42" s="2">
        <v>3.3034933875684298</v>
      </c>
      <c r="AP42" s="2">
        <v>3.1498798440833502</v>
      </c>
      <c r="AQ42" s="2">
        <v>4.2473832707343302</v>
      </c>
      <c r="AR42" s="2">
        <v>6.2979027242451604</v>
      </c>
      <c r="AS42" s="3">
        <v>1119664</v>
      </c>
      <c r="AT42" s="23">
        <v>5.6128897550111301</v>
      </c>
      <c r="AU42" s="23">
        <v>4.5998304370603398</v>
      </c>
      <c r="AV42" s="17"/>
      <c r="AW42" s="18">
        <f t="shared" si="8"/>
        <v>0.55103893018574213</v>
      </c>
      <c r="AX42" s="18">
        <f t="shared" si="9"/>
        <v>0.44896106981425793</v>
      </c>
      <c r="AY42" s="18">
        <f t="shared" si="10"/>
        <v>0.20097364311639704</v>
      </c>
      <c r="AZ42" s="18">
        <f t="shared" si="11"/>
        <v>0.79902635688360291</v>
      </c>
      <c r="BA42" s="18">
        <v>14.96224</v>
      </c>
      <c r="BB42" s="18">
        <v>0.56541439999999998</v>
      </c>
      <c r="BC42" s="18">
        <v>0.43458560000000002</v>
      </c>
      <c r="BD42" s="18">
        <v>0.64724230000000005</v>
      </c>
      <c r="BE42" s="18">
        <v>0</v>
      </c>
      <c r="BF42" s="18">
        <v>4.0457229999999997</v>
      </c>
      <c r="BG42" s="18">
        <v>4.0457229999999997</v>
      </c>
      <c r="BH42" s="18">
        <v>1</v>
      </c>
      <c r="BI42" s="18">
        <v>0.83056479999999999</v>
      </c>
      <c r="BJ42" s="18">
        <v>0.22557669999999999</v>
      </c>
      <c r="BK42" s="18">
        <v>0.77442330000000004</v>
      </c>
      <c r="BL42" s="18">
        <v>0.29117480000000001</v>
      </c>
      <c r="BM42" s="18">
        <v>3.9300000000000004E-15</v>
      </c>
      <c r="BN42" s="18">
        <v>3.587869</v>
      </c>
      <c r="BO42" s="18">
        <v>3.587869</v>
      </c>
      <c r="BP42" s="18">
        <v>1</v>
      </c>
      <c r="BQ42" s="18">
        <v>0.44890160000000001</v>
      </c>
      <c r="BR42" s="18">
        <v>0.20030919999999999</v>
      </c>
      <c r="BS42" s="18">
        <v>0.79969080000000003</v>
      </c>
      <c r="BT42" s="18">
        <v>0.55497370000000001</v>
      </c>
      <c r="BU42" s="18">
        <v>0.69686530000000002</v>
      </c>
      <c r="BV42" s="18">
        <v>0.44306980000000001</v>
      </c>
      <c r="BW42" s="18">
        <v>2.5166089999999999</v>
      </c>
      <c r="BX42" s="18">
        <v>4.1593939999999998</v>
      </c>
      <c r="BY42" s="18">
        <v>1.6527769999999999</v>
      </c>
      <c r="BZ42" s="18">
        <v>0</v>
      </c>
      <c r="CA42" s="18">
        <v>0.55045679999999997</v>
      </c>
      <c r="CB42" s="18">
        <v>0.44954319999999998</v>
      </c>
      <c r="CC42" s="18">
        <v>0.20006740000000001</v>
      </c>
      <c r="CD42" s="18">
        <v>0.79993259999999999</v>
      </c>
      <c r="CE42" s="18">
        <v>5.6940580000000001</v>
      </c>
      <c r="CF42" s="18">
        <v>5.8325670000000001</v>
      </c>
      <c r="CG42" s="18">
        <v>2.601515</v>
      </c>
      <c r="CH42" s="18">
        <v>4.0857400000000004</v>
      </c>
      <c r="CI42" s="18">
        <v>1.4102589999999999</v>
      </c>
      <c r="CJ42" s="18">
        <v>1.1981090000000001</v>
      </c>
      <c r="CK42" s="18">
        <v>0.84956670000000001</v>
      </c>
      <c r="CL42" s="18">
        <v>1.018176</v>
      </c>
      <c r="CM42" s="18">
        <v>0.56350199999999995</v>
      </c>
      <c r="CN42" s="18">
        <v>0.60514999999999997</v>
      </c>
      <c r="CO42" s="18">
        <v>0.53786230000000002</v>
      </c>
      <c r="CP42" s="18">
        <v>-8.3660999999999996E-3</v>
      </c>
      <c r="CQ42" s="18">
        <v>3.3203499999999997E-2</v>
      </c>
      <c r="CR42" s="18">
        <v>-2.4845200000000001E-2</v>
      </c>
      <c r="CS42" s="18">
        <v>1.320873</v>
      </c>
      <c r="CT42" s="18">
        <v>1.4300331124900085</v>
      </c>
      <c r="CU42" s="18">
        <v>1.2350709458220739</v>
      </c>
      <c r="CV42" s="18">
        <v>0.96949269999999999</v>
      </c>
      <c r="CW42" s="18">
        <v>1.3142720000000001</v>
      </c>
      <c r="CX42" s="18">
        <v>1.2869710000000001</v>
      </c>
      <c r="CY42" s="18">
        <v>1.3990716455776517</v>
      </c>
      <c r="CZ42" s="17"/>
      <c r="DG42" s="17"/>
      <c r="DI42" s="11"/>
      <c r="DJ42" s="33"/>
    </row>
    <row r="43" spans="1:114" x14ac:dyDescent="0.3">
      <c r="A43" s="5">
        <v>1988</v>
      </c>
      <c r="B43" s="3">
        <v>245061</v>
      </c>
      <c r="C43" s="3">
        <v>5236438</v>
      </c>
      <c r="D43" s="35">
        <v>4.3575724930424604</v>
      </c>
      <c r="E43" s="2">
        <v>4.8141423239239503</v>
      </c>
      <c r="F43" s="3">
        <v>3330012</v>
      </c>
      <c r="G43" s="3">
        <v>936963</v>
      </c>
      <c r="H43" s="3">
        <v>820454</v>
      </c>
      <c r="I43" s="3">
        <v>258401</v>
      </c>
      <c r="J43" s="3">
        <v>-109393</v>
      </c>
      <c r="K43" s="3">
        <f t="shared" si="4"/>
        <v>5252639.0600000005</v>
      </c>
      <c r="L43" s="3">
        <f t="shared" si="5"/>
        <v>1469433</v>
      </c>
      <c r="M43" s="3">
        <f t="shared" si="6"/>
        <v>3783206.06</v>
      </c>
      <c r="N43" s="23">
        <v>5.045649528503418</v>
      </c>
      <c r="O43" s="23">
        <v>4.0140585899353027</v>
      </c>
      <c r="P43" s="23">
        <v>5.7266683578491211</v>
      </c>
      <c r="Q43" s="22">
        <v>650462.93999999994</v>
      </c>
      <c r="R43" s="22">
        <v>818970.06</v>
      </c>
      <c r="S43" s="22">
        <v>526416.06000000006</v>
      </c>
      <c r="T43" s="22">
        <v>3256790</v>
      </c>
      <c r="U43" s="3">
        <v>3071243.25</v>
      </c>
      <c r="V43" s="3">
        <v>933561.625</v>
      </c>
      <c r="W43" s="3">
        <v>2137681.5</v>
      </c>
      <c r="X43" s="2">
        <v>0.59457463026046753</v>
      </c>
      <c r="Y43" s="2">
        <v>4.163815975189209</v>
      </c>
      <c r="Z43" s="2">
        <v>3.5917632579803467</v>
      </c>
      <c r="AA43" s="2">
        <v>4.483245849609375</v>
      </c>
      <c r="AB43" s="2">
        <v>5.7736272811889648</v>
      </c>
      <c r="AC43" s="2">
        <v>5.0646696090698242</v>
      </c>
      <c r="AD43" s="2">
        <v>6.0273118019104004</v>
      </c>
      <c r="AE43" s="2">
        <v>1.9368704557418823</v>
      </c>
      <c r="AF43" s="2">
        <v>1.4036611318588257</v>
      </c>
      <c r="AG43" s="2">
        <v>2.4168086051940918</v>
      </c>
      <c r="AH43" s="2">
        <v>0.63763296604156494</v>
      </c>
      <c r="AI43" s="2">
        <v>0.57738131284713745</v>
      </c>
      <c r="AJ43" s="3">
        <f t="shared" si="7"/>
        <v>4059555</v>
      </c>
      <c r="AK43" s="3">
        <v>1235720</v>
      </c>
      <c r="AL43" s="3">
        <v>2823835</v>
      </c>
      <c r="AM43" s="2">
        <v>4.0506179222562402</v>
      </c>
      <c r="AN43" s="2">
        <v>4.8592070560748102</v>
      </c>
      <c r="AO43" s="2">
        <v>3.5354468404611699</v>
      </c>
      <c r="AP43" s="2">
        <v>3.2065742275798499</v>
      </c>
      <c r="AQ43" s="2">
        <v>4.4199650185272601</v>
      </c>
      <c r="AR43" s="2">
        <v>6.5696808454038997</v>
      </c>
      <c r="AS43" s="3">
        <v>1176882</v>
      </c>
      <c r="AT43" s="23">
        <v>5.7426224944320703</v>
      </c>
      <c r="AU43" s="23">
        <v>4.7256687133979298</v>
      </c>
      <c r="AV43" s="17"/>
      <c r="AW43" s="18">
        <f t="shared" si="8"/>
        <v>0.55270162862962113</v>
      </c>
      <c r="AX43" s="18">
        <f t="shared" si="9"/>
        <v>0.44729837137037881</v>
      </c>
      <c r="AY43" s="18">
        <f t="shared" si="10"/>
        <v>0.20093676957028722</v>
      </c>
      <c r="AZ43" s="18">
        <f t="shared" si="11"/>
        <v>0.79906323042971272</v>
      </c>
      <c r="BA43" s="18">
        <v>16.12745</v>
      </c>
      <c r="BB43" s="18">
        <v>0.56257230000000003</v>
      </c>
      <c r="BC43" s="18">
        <v>0.43742769999999997</v>
      </c>
      <c r="BD43" s="18">
        <v>0.64724230000000005</v>
      </c>
      <c r="BE43" s="18">
        <v>0</v>
      </c>
      <c r="BF43" s="18">
        <v>4.2625650000000004</v>
      </c>
      <c r="BG43" s="18">
        <v>4.2625650000000004</v>
      </c>
      <c r="BH43" s="18">
        <v>1</v>
      </c>
      <c r="BI43" s="18">
        <v>0.83056479999999999</v>
      </c>
      <c r="BJ43" s="18">
        <v>0.22356409999999999</v>
      </c>
      <c r="BK43" s="18">
        <v>0.77643600000000002</v>
      </c>
      <c r="BL43" s="18">
        <v>0.29117480000000001</v>
      </c>
      <c r="BM43" s="18">
        <v>3.9300000000000004E-15</v>
      </c>
      <c r="BN43" s="18">
        <v>3.765371</v>
      </c>
      <c r="BO43" s="18">
        <v>3.765371</v>
      </c>
      <c r="BP43" s="18">
        <v>1</v>
      </c>
      <c r="BQ43" s="18">
        <v>0.44890160000000001</v>
      </c>
      <c r="BR43" s="18">
        <v>0.19470699999999999</v>
      </c>
      <c r="BS43" s="18">
        <v>0.80529300000000004</v>
      </c>
      <c r="BT43" s="18">
        <v>0.55497370000000001</v>
      </c>
      <c r="BU43" s="18">
        <v>0.69686530000000002</v>
      </c>
      <c r="BV43" s="18">
        <v>0.44306980000000001</v>
      </c>
      <c r="BW43" s="18">
        <v>2.5903580000000002</v>
      </c>
      <c r="BX43" s="18">
        <v>4.3843560000000004</v>
      </c>
      <c r="BY43" s="18">
        <v>1.6925669999999999</v>
      </c>
      <c r="BZ43" s="18">
        <v>0</v>
      </c>
      <c r="CA43" s="18">
        <v>0.55187019999999998</v>
      </c>
      <c r="CB43" s="18">
        <v>0.44812970000000002</v>
      </c>
      <c r="CC43" s="18">
        <v>0.2009552</v>
      </c>
      <c r="CD43" s="18">
        <v>0.7990448</v>
      </c>
      <c r="CE43" s="18">
        <v>5.8441539999999996</v>
      </c>
      <c r="CF43" s="18">
        <v>5.8778550000000003</v>
      </c>
      <c r="CG43" s="18">
        <v>2.7542900000000001</v>
      </c>
      <c r="CH43" s="18">
        <v>4.2769560000000002</v>
      </c>
      <c r="CI43" s="18">
        <v>1.4266529999999999</v>
      </c>
      <c r="CJ43" s="18">
        <v>1.2118519999999999</v>
      </c>
      <c r="CK43" s="18">
        <v>0.84943690000000005</v>
      </c>
      <c r="CL43" s="18">
        <v>1.02834</v>
      </c>
      <c r="CM43" s="18">
        <v>0.56350199999999995</v>
      </c>
      <c r="CN43" s="18">
        <v>0.60514999999999997</v>
      </c>
      <c r="CO43" s="18">
        <v>0.53786230000000002</v>
      </c>
      <c r="CP43" s="18">
        <v>1.0311000000000001E-2</v>
      </c>
      <c r="CQ43" s="18">
        <v>2.0877099999999999E-2</v>
      </c>
      <c r="CR43" s="18">
        <v>7.2940000000000001E-3</v>
      </c>
      <c r="CS43" s="18">
        <v>1.3345629999999999</v>
      </c>
      <c r="CT43" s="18">
        <v>1.4602403702159634</v>
      </c>
      <c r="CU43" s="18">
        <v>1.2440905270277276</v>
      </c>
      <c r="CV43" s="18">
        <v>0.97437830000000003</v>
      </c>
      <c r="CW43" s="18">
        <v>1.3416619999999999</v>
      </c>
      <c r="CX43" s="18">
        <v>1.300988</v>
      </c>
      <c r="CY43" s="18">
        <v>1.424309193257024</v>
      </c>
      <c r="CZ43" s="17"/>
      <c r="DG43" s="17"/>
      <c r="DI43" s="11"/>
      <c r="DJ43" s="33"/>
    </row>
    <row r="44" spans="1:114" x14ac:dyDescent="0.3">
      <c r="A44" s="5">
        <v>1989</v>
      </c>
      <c r="B44" s="3">
        <v>247387</v>
      </c>
      <c r="C44" s="3">
        <v>5641580</v>
      </c>
      <c r="D44" s="35">
        <v>4.5175509471227198</v>
      </c>
      <c r="E44" s="2">
        <v>5.0029397464674501</v>
      </c>
      <c r="F44" s="3">
        <v>3576758</v>
      </c>
      <c r="G44" s="3">
        <v>999701</v>
      </c>
      <c r="H44" s="3">
        <v>881429</v>
      </c>
      <c r="I44" s="3">
        <v>270433</v>
      </c>
      <c r="J44" s="3">
        <v>-86741</v>
      </c>
      <c r="K44" s="3">
        <f t="shared" si="4"/>
        <v>5657695.9399999995</v>
      </c>
      <c r="L44" s="3">
        <f t="shared" si="5"/>
        <v>1568689</v>
      </c>
      <c r="M44" s="3">
        <f t="shared" si="6"/>
        <v>4089006.94</v>
      </c>
      <c r="N44" s="23">
        <v>5.245577335357666</v>
      </c>
      <c r="O44" s="23">
        <v>4.2202563285827637</v>
      </c>
      <c r="P44" s="23">
        <v>5.9272198677062988</v>
      </c>
      <c r="Q44" s="22">
        <v>683804.81</v>
      </c>
      <c r="R44" s="22">
        <v>884884.19</v>
      </c>
      <c r="S44" s="22">
        <v>558633.18999999994</v>
      </c>
      <c r="T44" s="22">
        <v>3530373.75</v>
      </c>
      <c r="U44" s="3">
        <v>3220815.25</v>
      </c>
      <c r="V44" s="3">
        <v>975114.625</v>
      </c>
      <c r="W44" s="3">
        <v>2245700.5</v>
      </c>
      <c r="X44" s="2">
        <v>0.59114116430282593</v>
      </c>
      <c r="Y44" s="2">
        <v>4.3102726936340332</v>
      </c>
      <c r="Z44" s="2">
        <v>3.6445736885070801</v>
      </c>
      <c r="AA44" s="2">
        <v>4.6776981353759766</v>
      </c>
      <c r="AB44" s="2">
        <v>5.9772543907165527</v>
      </c>
      <c r="AC44" s="2">
        <v>5.1489987373352051</v>
      </c>
      <c r="AD44" s="2">
        <v>6.2785520553588867</v>
      </c>
      <c r="AE44" s="2">
        <v>1.9893332719802856</v>
      </c>
      <c r="AF44" s="2">
        <v>1.4126372337341309</v>
      </c>
      <c r="AG44" s="2">
        <v>2.5043678283691406</v>
      </c>
      <c r="AH44" s="2">
        <v>0.63330680131912231</v>
      </c>
      <c r="AI44" s="2">
        <v>0.57448750734329224</v>
      </c>
      <c r="AJ44" s="3">
        <f t="shared" si="7"/>
        <v>4399138</v>
      </c>
      <c r="AK44" s="3">
        <v>1341456</v>
      </c>
      <c r="AL44" s="3">
        <v>3057682</v>
      </c>
      <c r="AM44" s="2">
        <v>4.2079524753031103</v>
      </c>
      <c r="AN44" s="2">
        <v>5.0687982641598097</v>
      </c>
      <c r="AO44" s="2">
        <v>3.68635665148819</v>
      </c>
      <c r="AP44" s="2">
        <v>3.3384479940800502</v>
      </c>
      <c r="AQ44" s="2">
        <v>4.5718717095032497</v>
      </c>
      <c r="AR44" s="2">
        <v>6.8773649171550799</v>
      </c>
      <c r="AS44" s="3">
        <v>1242441</v>
      </c>
      <c r="AT44" s="23">
        <v>5.9109131403118003</v>
      </c>
      <c r="AU44" s="23">
        <v>4.8468749718170097</v>
      </c>
      <c r="AV44" s="17"/>
      <c r="AW44" s="18">
        <f t="shared" si="8"/>
        <v>0.55037338684103354</v>
      </c>
      <c r="AX44" s="18">
        <f t="shared" si="9"/>
        <v>0.44962661315896646</v>
      </c>
      <c r="AY44" s="18">
        <f t="shared" si="10"/>
        <v>0.20041506114136562</v>
      </c>
      <c r="AZ44" s="18">
        <f t="shared" si="11"/>
        <v>0.79958493885863446</v>
      </c>
      <c r="BA44" s="18">
        <v>17.290489999999998</v>
      </c>
      <c r="BB44" s="18">
        <v>0.56642499999999996</v>
      </c>
      <c r="BC44" s="18">
        <v>0.43357499999999999</v>
      </c>
      <c r="BD44" s="18">
        <v>0.64724230000000005</v>
      </c>
      <c r="BE44" s="18">
        <v>0</v>
      </c>
      <c r="BF44" s="18">
        <v>4.4179839999999997</v>
      </c>
      <c r="BG44" s="18">
        <v>4.4179849999999998</v>
      </c>
      <c r="BH44" s="18">
        <v>1</v>
      </c>
      <c r="BI44" s="18">
        <v>0.83056479999999999</v>
      </c>
      <c r="BJ44" s="18">
        <v>0.2262962</v>
      </c>
      <c r="BK44" s="18">
        <v>0.77370380000000005</v>
      </c>
      <c r="BL44" s="18">
        <v>0.29117480000000001</v>
      </c>
      <c r="BM44" s="18">
        <v>3.9300000000000004E-15</v>
      </c>
      <c r="BN44" s="18">
        <v>3.923486</v>
      </c>
      <c r="BO44" s="18">
        <v>3.923486</v>
      </c>
      <c r="BP44" s="18">
        <v>1</v>
      </c>
      <c r="BQ44" s="18">
        <v>0.44890160000000001</v>
      </c>
      <c r="BR44" s="18">
        <v>0.1930356</v>
      </c>
      <c r="BS44" s="18">
        <v>0.80696429999999997</v>
      </c>
      <c r="BT44" s="18">
        <v>0.55497370000000001</v>
      </c>
      <c r="BU44" s="18">
        <v>0.69686530000000002</v>
      </c>
      <c r="BV44" s="18">
        <v>0.44306980000000001</v>
      </c>
      <c r="BW44" s="18">
        <v>2.643656</v>
      </c>
      <c r="BX44" s="18">
        <v>4.5941099999999997</v>
      </c>
      <c r="BY44" s="18">
        <v>1.737787</v>
      </c>
      <c r="BZ44" s="18">
        <v>0</v>
      </c>
      <c r="CA44" s="18">
        <v>0.55153750000000001</v>
      </c>
      <c r="CB44" s="18">
        <v>0.44846249999999999</v>
      </c>
      <c r="CC44" s="18">
        <v>0.20067589999999999</v>
      </c>
      <c r="CD44" s="18">
        <v>0.79932409999999998</v>
      </c>
      <c r="CE44" s="18">
        <v>5.843534</v>
      </c>
      <c r="CF44" s="18">
        <v>6.0265409999999999</v>
      </c>
      <c r="CG44" s="18">
        <v>2.8279380000000001</v>
      </c>
      <c r="CH44" s="18">
        <v>4.4752099999999997</v>
      </c>
      <c r="CI44" s="18">
        <v>1.404469</v>
      </c>
      <c r="CJ44" s="18">
        <v>1.2229190000000001</v>
      </c>
      <c r="CK44" s="18">
        <v>0.8707336</v>
      </c>
      <c r="CL44" s="18">
        <v>1.0458620000000001</v>
      </c>
      <c r="CM44" s="18">
        <v>0.56350199999999995</v>
      </c>
      <c r="CN44" s="18">
        <v>0.60514999999999997</v>
      </c>
      <c r="CO44" s="18">
        <v>0.53786230000000002</v>
      </c>
      <c r="CP44" s="18">
        <v>4.3797000000000003E-3</v>
      </c>
      <c r="CQ44" s="18">
        <v>3.7961000000000002E-3</v>
      </c>
      <c r="CR44" s="18">
        <v>4.5789000000000003E-3</v>
      </c>
      <c r="CS44" s="18">
        <v>1.3404199999999999</v>
      </c>
      <c r="CT44" s="18">
        <v>1.4657843877146699</v>
      </c>
      <c r="CU44" s="18">
        <v>1.2497957944208951</v>
      </c>
      <c r="CV44" s="18">
        <v>0.99181220000000003</v>
      </c>
      <c r="CW44" s="18">
        <v>1.3712800000000001</v>
      </c>
      <c r="CX44" s="18">
        <v>1.306694</v>
      </c>
      <c r="CY44" s="18">
        <v>1.4512905354818049</v>
      </c>
      <c r="CZ44" s="17"/>
      <c r="DG44" s="17"/>
      <c r="DI44" s="11"/>
      <c r="DJ44" s="33"/>
    </row>
    <row r="45" spans="1:114" x14ac:dyDescent="0.3">
      <c r="A45" s="5">
        <v>1990</v>
      </c>
      <c r="B45" s="3">
        <v>250181</v>
      </c>
      <c r="C45" s="3">
        <v>5963144</v>
      </c>
      <c r="D45" s="35">
        <v>4.6027471047670403</v>
      </c>
      <c r="E45" s="2">
        <v>5.1902199653448298</v>
      </c>
      <c r="F45" s="3">
        <v>3808994</v>
      </c>
      <c r="G45" s="3">
        <v>993448</v>
      </c>
      <c r="H45" s="3">
        <v>948186</v>
      </c>
      <c r="I45" s="3">
        <v>290370</v>
      </c>
      <c r="J45" s="3">
        <v>-77855</v>
      </c>
      <c r="K45" s="3">
        <f t="shared" si="4"/>
        <v>5979597.0600000005</v>
      </c>
      <c r="L45" s="3">
        <f t="shared" si="5"/>
        <v>1614440</v>
      </c>
      <c r="M45" s="3">
        <f t="shared" si="6"/>
        <v>4365157.0600000005</v>
      </c>
      <c r="N45" s="23">
        <v>5.4440970420837402</v>
      </c>
      <c r="O45" s="23">
        <v>4.332305908203125</v>
      </c>
      <c r="P45" s="23">
        <v>6.1775155067443848</v>
      </c>
      <c r="Q45" s="22">
        <v>686743.69</v>
      </c>
      <c r="R45" s="22">
        <v>927696.31</v>
      </c>
      <c r="S45" s="22">
        <v>582532.31000000006</v>
      </c>
      <c r="T45" s="22">
        <v>3782624.75</v>
      </c>
      <c r="U45" s="3">
        <v>3418432.25</v>
      </c>
      <c r="V45" s="3">
        <v>990332.875</v>
      </c>
      <c r="W45" s="3">
        <v>2428099.5</v>
      </c>
      <c r="X45" s="2">
        <v>0.58466672897338867</v>
      </c>
      <c r="Y45" s="2">
        <v>4.3902592658996582</v>
      </c>
      <c r="Z45" s="2">
        <v>3.6505122184753418</v>
      </c>
      <c r="AA45" s="2">
        <v>4.7953577041625977</v>
      </c>
      <c r="AB45" s="2">
        <v>6.194096565246582</v>
      </c>
      <c r="AC45" s="2">
        <v>5.2593202590942383</v>
      </c>
      <c r="AD45" s="2">
        <v>6.5381331443786621</v>
      </c>
      <c r="AE45" s="2">
        <v>2.014019250869751</v>
      </c>
      <c r="AF45" s="2">
        <v>1.4026949405670166</v>
      </c>
      <c r="AG45" s="2">
        <v>2.5562288761138916</v>
      </c>
      <c r="AH45" s="2">
        <v>0.6227683424949646</v>
      </c>
      <c r="AI45" s="2">
        <v>0.56995236873626709</v>
      </c>
      <c r="AJ45" s="3">
        <f t="shared" si="7"/>
        <v>4693871</v>
      </c>
      <c r="AK45" s="3">
        <v>1401041</v>
      </c>
      <c r="AL45" s="3">
        <v>3292830</v>
      </c>
      <c r="AM45" s="2">
        <v>4.3107390388154396</v>
      </c>
      <c r="AN45" s="2">
        <v>5.2794375653380401</v>
      </c>
      <c r="AO45" s="2">
        <v>3.7600470169455198</v>
      </c>
      <c r="AP45" s="2">
        <v>3.41840175315046</v>
      </c>
      <c r="AQ45" s="2">
        <v>4.7104917040175804</v>
      </c>
      <c r="AR45" s="2">
        <v>7.1883109267804501</v>
      </c>
      <c r="AS45" s="3">
        <v>1269272</v>
      </c>
      <c r="AT45" s="23">
        <v>5.9047884187082396</v>
      </c>
      <c r="AU45" s="23">
        <v>4.9566811083896498</v>
      </c>
      <c r="AV45" s="17"/>
      <c r="AW45" s="18">
        <f t="shared" si="8"/>
        <v>0.54105150495242949</v>
      </c>
      <c r="AX45" s="18">
        <f t="shared" si="9"/>
        <v>0.45894849504757046</v>
      </c>
      <c r="AY45" s="18">
        <f t="shared" si="10"/>
        <v>0.19694969794691658</v>
      </c>
      <c r="AZ45" s="18">
        <f t="shared" si="11"/>
        <v>0.80305030205308336</v>
      </c>
      <c r="BA45" s="18">
        <v>18.250080000000001</v>
      </c>
      <c r="BB45" s="18">
        <v>0.56269899999999995</v>
      </c>
      <c r="BC45" s="18">
        <v>0.437301</v>
      </c>
      <c r="BD45" s="18">
        <v>0.64724230000000005</v>
      </c>
      <c r="BE45" s="18">
        <v>0</v>
      </c>
      <c r="BF45" s="18">
        <v>4.5636510000000001</v>
      </c>
      <c r="BG45" s="18">
        <v>4.5636520000000003</v>
      </c>
      <c r="BH45" s="18">
        <v>1</v>
      </c>
      <c r="BI45" s="18">
        <v>0.83056479999999999</v>
      </c>
      <c r="BJ45" s="18">
        <v>0.22365350000000001</v>
      </c>
      <c r="BK45" s="18">
        <v>0.7763466</v>
      </c>
      <c r="BL45" s="18">
        <v>0.29117480000000001</v>
      </c>
      <c r="BM45" s="18">
        <v>3.9300000000000004E-15</v>
      </c>
      <c r="BN45" s="18">
        <v>4.0320419999999997</v>
      </c>
      <c r="BO45" s="18">
        <v>4.0320419999999997</v>
      </c>
      <c r="BP45" s="18">
        <v>1</v>
      </c>
      <c r="BQ45" s="18">
        <v>0.44890160000000001</v>
      </c>
      <c r="BR45" s="18">
        <v>0.18967110000000001</v>
      </c>
      <c r="BS45" s="18">
        <v>0.81032899999999997</v>
      </c>
      <c r="BT45" s="18">
        <v>0.55497370000000001</v>
      </c>
      <c r="BU45" s="18">
        <v>0.69686530000000002</v>
      </c>
      <c r="BV45" s="18">
        <v>0.44306980000000001</v>
      </c>
      <c r="BW45" s="18">
        <v>2.70099</v>
      </c>
      <c r="BX45" s="18">
        <v>4.7247680000000001</v>
      </c>
      <c r="BY45" s="18">
        <v>1.7492730000000001</v>
      </c>
      <c r="BZ45" s="18">
        <v>0</v>
      </c>
      <c r="CA45" s="18">
        <v>0.54571250000000004</v>
      </c>
      <c r="CB45" s="18">
        <v>0.45428760000000001</v>
      </c>
      <c r="CC45" s="18">
        <v>0.19868240000000001</v>
      </c>
      <c r="CD45" s="18">
        <v>0.80131759999999996</v>
      </c>
      <c r="CE45" s="18">
        <v>5.7168390000000002</v>
      </c>
      <c r="CF45" s="18">
        <v>6.0296969999999996</v>
      </c>
      <c r="CG45" s="18">
        <v>2.8896760000000001</v>
      </c>
      <c r="CH45" s="18">
        <v>4.6032400000000004</v>
      </c>
      <c r="CI45" s="18">
        <v>1.4259189999999999</v>
      </c>
      <c r="CJ45" s="18">
        <v>1.24631</v>
      </c>
      <c r="CK45" s="18">
        <v>0.87404009999999999</v>
      </c>
      <c r="CL45" s="18">
        <v>1.0651809999999999</v>
      </c>
      <c r="CM45" s="18">
        <v>0.56350199999999995</v>
      </c>
      <c r="CN45" s="18">
        <v>0.60514999999999997</v>
      </c>
      <c r="CO45" s="18">
        <v>0.53786230000000002</v>
      </c>
      <c r="CP45" s="18">
        <v>-4.1171999999999997E-3</v>
      </c>
      <c r="CQ45" s="18">
        <v>-3.6454E-3</v>
      </c>
      <c r="CR45" s="18">
        <v>-4.3912999999999999E-3</v>
      </c>
      <c r="CS45" s="18">
        <v>1.334913</v>
      </c>
      <c r="CT45" s="18">
        <v>1.4604236007435976</v>
      </c>
      <c r="CU45" s="18">
        <v>1.2443032390878828</v>
      </c>
      <c r="CV45" s="18">
        <v>1.0024569999999999</v>
      </c>
      <c r="CW45" s="18">
        <v>1.3805529999999999</v>
      </c>
      <c r="CX45" s="18">
        <v>1.30122</v>
      </c>
      <c r="CY45" s="18">
        <v>1.4664841605027277</v>
      </c>
      <c r="CZ45" s="17"/>
      <c r="DG45" s="17"/>
      <c r="DI45" s="11"/>
      <c r="DJ45" s="33"/>
    </row>
    <row r="46" spans="1:114" x14ac:dyDescent="0.3">
      <c r="A46" s="5">
        <v>1991</v>
      </c>
      <c r="B46" s="3">
        <v>253530</v>
      </c>
      <c r="C46" s="3">
        <v>6158129</v>
      </c>
      <c r="D46" s="35">
        <v>4.5977197234940297</v>
      </c>
      <c r="E46" s="2">
        <v>5.3657924434390702</v>
      </c>
      <c r="F46" s="3">
        <v>3943449</v>
      </c>
      <c r="G46" s="3">
        <v>944344</v>
      </c>
      <c r="H46" s="3">
        <v>1004857</v>
      </c>
      <c r="I46" s="3">
        <v>294094</v>
      </c>
      <c r="J46" s="3">
        <v>-28614</v>
      </c>
      <c r="K46" s="3">
        <f t="shared" si="4"/>
        <v>6174111.8700000001</v>
      </c>
      <c r="L46" s="3">
        <f t="shared" si="5"/>
        <v>1597173</v>
      </c>
      <c r="M46" s="3">
        <f t="shared" si="6"/>
        <v>4576938.87</v>
      </c>
      <c r="N46" s="23">
        <v>5.6094317436218262</v>
      </c>
      <c r="O46" s="23">
        <v>4.3624062538146973</v>
      </c>
      <c r="P46" s="23">
        <v>6.4190654754638672</v>
      </c>
      <c r="Q46" s="22">
        <v>655835.38</v>
      </c>
      <c r="R46" s="22">
        <v>941337.62</v>
      </c>
      <c r="S46" s="22">
        <v>582999.62</v>
      </c>
      <c r="T46" s="22">
        <v>3993939.25</v>
      </c>
      <c r="U46" s="3">
        <v>3577624.5</v>
      </c>
      <c r="V46" s="3">
        <v>998328.8125</v>
      </c>
      <c r="W46" s="3">
        <v>2579295.75</v>
      </c>
      <c r="X46" s="2">
        <v>0.5903618335723877</v>
      </c>
      <c r="Y46" s="2">
        <v>4.3914918899536133</v>
      </c>
      <c r="Z46" s="2">
        <v>3.5812723636627197</v>
      </c>
      <c r="AA46" s="2">
        <v>4.8310394287109375</v>
      </c>
      <c r="AB46" s="2">
        <v>6.37615966796875</v>
      </c>
      <c r="AC46" s="2">
        <v>5.3583378791809082</v>
      </c>
      <c r="AD46" s="2">
        <v>6.752960205078125</v>
      </c>
      <c r="AE46" s="2">
        <v>1.9877479076385498</v>
      </c>
      <c r="AF46" s="2">
        <v>1.352910041809082</v>
      </c>
      <c r="AG46" s="2">
        <v>2.5460567474365234</v>
      </c>
      <c r="AH46" s="2">
        <v>0.6252598762512207</v>
      </c>
      <c r="AI46" s="2">
        <v>0.57756727933883667</v>
      </c>
      <c r="AJ46" s="3">
        <f t="shared" si="7"/>
        <v>4919298</v>
      </c>
      <c r="AK46" s="3">
        <v>1426455</v>
      </c>
      <c r="AL46" s="3">
        <v>3492843</v>
      </c>
      <c r="AM46" s="2">
        <v>4.3521975870974599</v>
      </c>
      <c r="AN46" s="2">
        <v>5.4802779825170003</v>
      </c>
      <c r="AO46" s="2">
        <v>3.7462381306627002</v>
      </c>
      <c r="AP46" s="2">
        <v>3.4932384283937501</v>
      </c>
      <c r="AQ46" s="2">
        <v>4.80401013080147</v>
      </c>
      <c r="AR46" s="2">
        <v>7.4765103323993403</v>
      </c>
      <c r="AS46" s="3">
        <v>1238832</v>
      </c>
      <c r="AT46" s="23">
        <v>5.6621659242761604</v>
      </c>
      <c r="AU46" s="23">
        <v>5.0451077171738001</v>
      </c>
      <c r="AV46" s="17"/>
      <c r="AW46" s="18">
        <f t="shared" si="8"/>
        <v>0.52939687690451109</v>
      </c>
      <c r="AX46" s="18">
        <f t="shared" si="9"/>
        <v>0.47060312309548891</v>
      </c>
      <c r="AY46" s="18">
        <f t="shared" si="10"/>
        <v>0.19073653713778371</v>
      </c>
      <c r="AZ46" s="18">
        <f t="shared" si="11"/>
        <v>0.80926346286221629</v>
      </c>
      <c r="BA46" s="18">
        <v>18.834689999999998</v>
      </c>
      <c r="BB46" s="18">
        <v>0.55494980000000005</v>
      </c>
      <c r="BC46" s="18">
        <v>0.44505020000000001</v>
      </c>
      <c r="BD46" s="18">
        <v>0.64724230000000005</v>
      </c>
      <c r="BE46" s="18">
        <v>0</v>
      </c>
      <c r="BF46" s="18">
        <v>4.6746800000000004</v>
      </c>
      <c r="BG46" s="18">
        <v>4.6746809999999996</v>
      </c>
      <c r="BH46" s="18">
        <v>1</v>
      </c>
      <c r="BI46" s="18">
        <v>0.83056479999999999</v>
      </c>
      <c r="BJ46" s="18">
        <v>0.2182432</v>
      </c>
      <c r="BK46" s="18">
        <v>0.78175680000000003</v>
      </c>
      <c r="BL46" s="18">
        <v>0.29117480000000001</v>
      </c>
      <c r="BM46" s="18">
        <v>3.9300000000000004E-15</v>
      </c>
      <c r="BN46" s="18">
        <v>4.0865039999999997</v>
      </c>
      <c r="BO46" s="18">
        <v>4.0865039999999997</v>
      </c>
      <c r="BP46" s="18">
        <v>1</v>
      </c>
      <c r="BQ46" s="18">
        <v>0.44890160000000001</v>
      </c>
      <c r="BR46" s="18">
        <v>0.18626580000000001</v>
      </c>
      <c r="BS46" s="18">
        <v>0.81373419999999996</v>
      </c>
      <c r="BT46" s="18">
        <v>0.55497370000000001</v>
      </c>
      <c r="BU46" s="18">
        <v>0.69686530000000002</v>
      </c>
      <c r="BV46" s="18">
        <v>0.44306980000000001</v>
      </c>
      <c r="BW46" s="18">
        <v>2.7549709999999998</v>
      </c>
      <c r="BX46" s="18">
        <v>4.7754310000000002</v>
      </c>
      <c r="BY46" s="18">
        <v>1.733387</v>
      </c>
      <c r="BZ46" s="18">
        <v>0</v>
      </c>
      <c r="CA46" s="18">
        <v>0.53522440000000004</v>
      </c>
      <c r="CB46" s="18">
        <v>0.46477550000000001</v>
      </c>
      <c r="CC46" s="18">
        <v>0.19384299999999999</v>
      </c>
      <c r="CD46" s="18">
        <v>0.80615689999999995</v>
      </c>
      <c r="CE46" s="18">
        <v>5.4218719999999996</v>
      </c>
      <c r="CF46" s="18">
        <v>5.807461</v>
      </c>
      <c r="CG46" s="18">
        <v>2.9066290000000001</v>
      </c>
      <c r="CH46" s="18">
        <v>4.6689769999999999</v>
      </c>
      <c r="CI46" s="18">
        <v>1.4714510000000001</v>
      </c>
      <c r="CJ46" s="18">
        <v>1.272376</v>
      </c>
      <c r="CK46" s="18">
        <v>0.86470860000000005</v>
      </c>
      <c r="CL46" s="18">
        <v>1.086333</v>
      </c>
      <c r="CM46" s="18">
        <v>0.56350199999999995</v>
      </c>
      <c r="CN46" s="18">
        <v>0.60514999999999997</v>
      </c>
      <c r="CO46" s="18">
        <v>0.53786230000000002</v>
      </c>
      <c r="CP46" s="18">
        <v>-4.9655000000000003E-3</v>
      </c>
      <c r="CQ46" s="18">
        <v>-6.9274000000000002E-3</v>
      </c>
      <c r="CR46" s="18">
        <v>-4.4514999999999997E-3</v>
      </c>
      <c r="CS46" s="18">
        <v>1.328301</v>
      </c>
      <c r="CT46" s="18">
        <v>1.450289523176991</v>
      </c>
      <c r="CU46" s="18">
        <v>1.2387470426221574</v>
      </c>
      <c r="CV46" s="18">
        <v>1.0063489999999999</v>
      </c>
      <c r="CW46" s="18">
        <v>1.3776740000000001</v>
      </c>
      <c r="CX46" s="18">
        <v>1.294608</v>
      </c>
      <c r="CY46" s="18">
        <v>1.4798240548188353</v>
      </c>
      <c r="CZ46" s="17"/>
      <c r="DG46" s="17"/>
      <c r="DI46" s="11"/>
      <c r="DJ46" s="33"/>
    </row>
    <row r="47" spans="1:114" x14ac:dyDescent="0.3">
      <c r="A47" s="5">
        <v>1992</v>
      </c>
      <c r="B47" s="3">
        <v>256922</v>
      </c>
      <c r="C47" s="3">
        <v>6520327</v>
      </c>
      <c r="D47" s="35">
        <v>4.7597629948828404</v>
      </c>
      <c r="E47" s="2">
        <v>5.4879687382244304</v>
      </c>
      <c r="F47" s="3">
        <v>4197559</v>
      </c>
      <c r="G47" s="3">
        <v>1013006</v>
      </c>
      <c r="H47" s="3">
        <v>1048383</v>
      </c>
      <c r="I47" s="3">
        <v>296117</v>
      </c>
      <c r="J47" s="3">
        <v>-34738</v>
      </c>
      <c r="K47" s="3">
        <f t="shared" si="4"/>
        <v>6539266.25</v>
      </c>
      <c r="L47" s="3">
        <f t="shared" si="5"/>
        <v>1655451</v>
      </c>
      <c r="M47" s="3">
        <f t="shared" si="6"/>
        <v>4883815.25</v>
      </c>
      <c r="N47" s="23">
        <v>5.7447962760925293</v>
      </c>
      <c r="O47" s="23">
        <v>4.3813576698303223</v>
      </c>
      <c r="P47" s="23">
        <v>6.6191978454589844</v>
      </c>
      <c r="Q47" s="22">
        <v>678420.75</v>
      </c>
      <c r="R47" s="22">
        <v>977030.25</v>
      </c>
      <c r="S47" s="22">
        <v>614382.25</v>
      </c>
      <c r="T47" s="22">
        <v>4269433</v>
      </c>
      <c r="U47" s="3">
        <v>3740753.75</v>
      </c>
      <c r="V47" s="3">
        <v>1033005.0625</v>
      </c>
      <c r="W47" s="3">
        <v>2707748.75</v>
      </c>
      <c r="X47" s="2">
        <v>0.59106022119522095</v>
      </c>
      <c r="Y47" s="2">
        <v>4.5419178009033203</v>
      </c>
      <c r="Z47" s="2">
        <v>3.697364330291748</v>
      </c>
      <c r="AA47" s="2">
        <v>4.9996461868286133</v>
      </c>
      <c r="AB47" s="2">
        <v>6.5597171783447266</v>
      </c>
      <c r="AC47" s="2">
        <v>5.4644527435302734</v>
      </c>
      <c r="AD47" s="2">
        <v>6.9660825729370117</v>
      </c>
      <c r="AE47" s="2">
        <v>1.9932829141616821</v>
      </c>
      <c r="AF47" s="2">
        <v>1.3496688604354858</v>
      </c>
      <c r="AG47" s="2">
        <v>2.5582327842712402</v>
      </c>
      <c r="AH47" s="2">
        <v>0.6309356689453125</v>
      </c>
      <c r="AI47" s="2">
        <v>0.57706087827682495</v>
      </c>
      <c r="AJ47" s="3">
        <f t="shared" si="7"/>
        <v>5227532</v>
      </c>
      <c r="AK47" s="3">
        <v>1489977</v>
      </c>
      <c r="AL47" s="3">
        <v>3737555</v>
      </c>
      <c r="AM47" s="2">
        <v>4.4993507948987403</v>
      </c>
      <c r="AN47" s="2">
        <v>5.6331966304112298</v>
      </c>
      <c r="AO47" s="2">
        <v>3.8311416195445802</v>
      </c>
      <c r="AP47" s="2">
        <v>3.5679346541432602</v>
      </c>
      <c r="AQ47" s="2">
        <v>4.9642975663791598</v>
      </c>
      <c r="AR47" s="2">
        <v>7.7420072545352303</v>
      </c>
      <c r="AS47" s="3">
        <v>1292796</v>
      </c>
      <c r="AT47" s="23">
        <v>5.8943485523385197</v>
      </c>
      <c r="AU47" s="23">
        <v>5.0574873615929601</v>
      </c>
      <c r="AV47" s="17"/>
      <c r="AW47" s="18">
        <f t="shared" si="8"/>
        <v>0.52476730793477433</v>
      </c>
      <c r="AX47" s="18">
        <f t="shared" si="9"/>
        <v>0.47523269206522573</v>
      </c>
      <c r="AY47" s="18">
        <f t="shared" si="10"/>
        <v>0.18622645455488515</v>
      </c>
      <c r="AZ47" s="18">
        <f t="shared" si="11"/>
        <v>0.81377354544511482</v>
      </c>
      <c r="BA47" s="18">
        <v>19.76201</v>
      </c>
      <c r="BB47" s="18">
        <v>0.54842869999999999</v>
      </c>
      <c r="BC47" s="18">
        <v>0.45157130000000001</v>
      </c>
      <c r="BD47" s="18">
        <v>0.64724230000000005</v>
      </c>
      <c r="BE47" s="18">
        <v>0</v>
      </c>
      <c r="BF47" s="18">
        <v>4.8908050000000003</v>
      </c>
      <c r="BG47" s="18">
        <v>4.8908050000000003</v>
      </c>
      <c r="BH47" s="18">
        <v>1</v>
      </c>
      <c r="BI47" s="18">
        <v>0.83056479999999999</v>
      </c>
      <c r="BJ47" s="18">
        <v>0.2137781</v>
      </c>
      <c r="BK47" s="18">
        <v>0.78622190000000003</v>
      </c>
      <c r="BL47" s="18">
        <v>0.29117480000000001</v>
      </c>
      <c r="BM47" s="18">
        <v>3.9300000000000004E-15</v>
      </c>
      <c r="BN47" s="18">
        <v>4.2377609999999999</v>
      </c>
      <c r="BO47" s="18">
        <v>4.2377609999999999</v>
      </c>
      <c r="BP47" s="18">
        <v>1</v>
      </c>
      <c r="BQ47" s="18">
        <v>0.44890160000000001</v>
      </c>
      <c r="BR47" s="18">
        <v>0.18112120000000001</v>
      </c>
      <c r="BS47" s="18">
        <v>0.81887880000000002</v>
      </c>
      <c r="BT47" s="18">
        <v>0.55497370000000001</v>
      </c>
      <c r="BU47" s="18">
        <v>0.69686530000000002</v>
      </c>
      <c r="BV47" s="18">
        <v>0.44306980000000001</v>
      </c>
      <c r="BW47" s="18">
        <v>2.8360590000000001</v>
      </c>
      <c r="BX47" s="18">
        <v>4.9551939999999997</v>
      </c>
      <c r="BY47" s="18">
        <v>1.7472110000000001</v>
      </c>
      <c r="BZ47" s="18">
        <v>0</v>
      </c>
      <c r="CA47" s="18">
        <v>0.5270821</v>
      </c>
      <c r="CB47" s="18">
        <v>0.4729179</v>
      </c>
      <c r="CC47" s="18">
        <v>0.1884815</v>
      </c>
      <c r="CD47" s="18">
        <v>0.81151850000000003</v>
      </c>
      <c r="CE47" s="18">
        <v>5.5843100000000003</v>
      </c>
      <c r="CF47" s="18">
        <v>5.9350180000000003</v>
      </c>
      <c r="CG47" s="18">
        <v>3.0044110000000002</v>
      </c>
      <c r="CH47" s="18">
        <v>4.841126</v>
      </c>
      <c r="CI47" s="18">
        <v>1.510764</v>
      </c>
      <c r="CJ47" s="18">
        <v>1.308819</v>
      </c>
      <c r="CK47" s="18">
        <v>0.86632909999999996</v>
      </c>
      <c r="CL47" s="18">
        <v>1.1139159999999999</v>
      </c>
      <c r="CM47" s="18">
        <v>0.56350199999999995</v>
      </c>
      <c r="CN47" s="18">
        <v>0.60514999999999997</v>
      </c>
      <c r="CO47" s="18">
        <v>0.53786230000000002</v>
      </c>
      <c r="CP47" s="18">
        <v>1.97249E-2</v>
      </c>
      <c r="CQ47" s="18">
        <v>2.4693900000000001E-2</v>
      </c>
      <c r="CR47" s="18">
        <v>1.8054199999999999E-2</v>
      </c>
      <c r="CS47" s="18">
        <v>1.354762</v>
      </c>
      <c r="CT47" s="18">
        <v>1.4865272014737474</v>
      </c>
      <c r="CU47" s="18">
        <v>1.2612929555942809</v>
      </c>
      <c r="CV47" s="18">
        <v>1.020886</v>
      </c>
      <c r="CW47" s="18">
        <v>1.4288080000000001</v>
      </c>
      <c r="CX47" s="18">
        <v>1.3204629999999999</v>
      </c>
      <c r="CY47" s="18">
        <v>1.5418147636901136</v>
      </c>
      <c r="CZ47" s="17"/>
      <c r="DG47" s="17"/>
      <c r="DI47" s="11"/>
      <c r="DJ47" s="33"/>
    </row>
    <row r="48" spans="1:114" x14ac:dyDescent="0.3">
      <c r="A48" s="5">
        <v>1993</v>
      </c>
      <c r="B48" s="3">
        <v>260282</v>
      </c>
      <c r="C48" s="3">
        <v>6858559</v>
      </c>
      <c r="D48" s="35">
        <v>4.8906544573121504</v>
      </c>
      <c r="E48" s="2">
        <v>5.6181519367964698</v>
      </c>
      <c r="F48" s="3">
        <v>4451984</v>
      </c>
      <c r="G48" s="3">
        <v>1106826</v>
      </c>
      <c r="H48" s="3">
        <v>1073040</v>
      </c>
      <c r="I48" s="3">
        <v>291883</v>
      </c>
      <c r="J48" s="3">
        <v>-65173</v>
      </c>
      <c r="K48" s="3">
        <f t="shared" si="4"/>
        <v>6878726</v>
      </c>
      <c r="L48" s="3">
        <f t="shared" si="5"/>
        <v>1710260</v>
      </c>
      <c r="M48" s="3">
        <f t="shared" si="6"/>
        <v>5168466</v>
      </c>
      <c r="N48" s="23">
        <v>5.8893170356750488</v>
      </c>
      <c r="O48" s="23">
        <v>4.4226169586181641</v>
      </c>
      <c r="P48" s="23">
        <v>6.8217277526855469</v>
      </c>
      <c r="Q48" s="22">
        <v>719057</v>
      </c>
      <c r="R48" s="22">
        <v>991203</v>
      </c>
      <c r="S48" s="22">
        <v>658841</v>
      </c>
      <c r="T48" s="22">
        <v>4509625</v>
      </c>
      <c r="U48" s="3">
        <v>3962040.5</v>
      </c>
      <c r="V48" s="3">
        <v>1065297.375</v>
      </c>
      <c r="W48" s="3">
        <v>2896743</v>
      </c>
      <c r="X48" s="2">
        <v>0.58930790424346924</v>
      </c>
      <c r="Y48" s="2">
        <v>4.6596827507019043</v>
      </c>
      <c r="Z48" s="2">
        <v>3.7805240154266357</v>
      </c>
      <c r="AA48" s="2">
        <v>5.1351704597473145</v>
      </c>
      <c r="AB48" s="2">
        <v>6.783973217010498</v>
      </c>
      <c r="AC48" s="2">
        <v>5.581937313079834</v>
      </c>
      <c r="AD48" s="2">
        <v>7.2307853698730469</v>
      </c>
      <c r="AE48" s="2">
        <v>2.038607120513916</v>
      </c>
      <c r="AF48" s="2">
        <v>1.3728379011154175</v>
      </c>
      <c r="AG48" s="2">
        <v>2.621762752532959</v>
      </c>
      <c r="AH48" s="2">
        <v>0.630013108253479</v>
      </c>
      <c r="AI48" s="2">
        <v>0.57537245750427246</v>
      </c>
      <c r="AJ48" s="3">
        <f t="shared" si="7"/>
        <v>5480664</v>
      </c>
      <c r="AK48" s="3">
        <v>1538123</v>
      </c>
      <c r="AL48" s="3">
        <v>3942541</v>
      </c>
      <c r="AM48" s="2">
        <v>4.5971257098698999</v>
      </c>
      <c r="AN48" s="2">
        <v>5.7803607905678502</v>
      </c>
      <c r="AO48" s="2">
        <v>3.8977810215459701</v>
      </c>
      <c r="AP48" s="2">
        <v>3.6202550088790999</v>
      </c>
      <c r="AQ48" s="2">
        <v>5.0752812321337597</v>
      </c>
      <c r="AR48" s="2">
        <v>7.9880337928047398</v>
      </c>
      <c r="AS48" s="3">
        <v>1377895</v>
      </c>
      <c r="AT48" s="23">
        <v>6.1947383073496596</v>
      </c>
      <c r="AU48" s="23">
        <v>5.1290127611196903</v>
      </c>
      <c r="AV48" s="17"/>
      <c r="AW48" s="18">
        <f t="shared" si="8"/>
        <v>0.52185067399763985</v>
      </c>
      <c r="AX48" s="18">
        <f t="shared" si="9"/>
        <v>0.4781493260023601</v>
      </c>
      <c r="AY48" s="18">
        <f t="shared" si="10"/>
        <v>0.18019160024636291</v>
      </c>
      <c r="AZ48" s="18">
        <f t="shared" si="11"/>
        <v>0.81980839975363706</v>
      </c>
      <c r="BA48" s="18">
        <v>20.446169999999999</v>
      </c>
      <c r="BB48" s="18">
        <v>0.54328089999999996</v>
      </c>
      <c r="BC48" s="18">
        <v>0.45671909999999999</v>
      </c>
      <c r="BD48" s="18">
        <v>0.64724230000000005</v>
      </c>
      <c r="BE48" s="18">
        <v>0</v>
      </c>
      <c r="BF48" s="18">
        <v>5.0308070000000003</v>
      </c>
      <c r="BG48" s="18">
        <v>5.0308080000000004</v>
      </c>
      <c r="BH48" s="18">
        <v>1</v>
      </c>
      <c r="BI48" s="18">
        <v>0.83056479999999999</v>
      </c>
      <c r="BJ48" s="18">
        <v>0.21030860000000001</v>
      </c>
      <c r="BK48" s="18">
        <v>0.78969140000000004</v>
      </c>
      <c r="BL48" s="18">
        <v>0.29117480000000001</v>
      </c>
      <c r="BM48" s="18">
        <v>3.9300000000000004E-15</v>
      </c>
      <c r="BN48" s="18">
        <v>4.3289580000000001</v>
      </c>
      <c r="BO48" s="18">
        <v>4.3289580000000001</v>
      </c>
      <c r="BP48" s="18">
        <v>1</v>
      </c>
      <c r="BQ48" s="18">
        <v>0.44890160000000001</v>
      </c>
      <c r="BR48" s="18">
        <v>0.1781336</v>
      </c>
      <c r="BS48" s="18">
        <v>0.8218664</v>
      </c>
      <c r="BT48" s="18">
        <v>0.55497370000000001</v>
      </c>
      <c r="BU48" s="18">
        <v>0.69686530000000002</v>
      </c>
      <c r="BV48" s="18">
        <v>0.44306980000000001</v>
      </c>
      <c r="BW48" s="18">
        <v>2.8963079999999999</v>
      </c>
      <c r="BX48" s="18">
        <v>5.0579780000000003</v>
      </c>
      <c r="BY48" s="18">
        <v>1.746354</v>
      </c>
      <c r="BZ48" s="18">
        <v>0</v>
      </c>
      <c r="CA48" s="18">
        <v>0.52330880000000002</v>
      </c>
      <c r="CB48" s="18">
        <v>0.47669119999999998</v>
      </c>
      <c r="CC48" s="18">
        <v>0.18320900000000001</v>
      </c>
      <c r="CD48" s="18">
        <v>0.81679100000000004</v>
      </c>
      <c r="CE48" s="18">
        <v>5.8635989999999998</v>
      </c>
      <c r="CF48" s="18">
        <v>6.1755630000000004</v>
      </c>
      <c r="CG48" s="18">
        <v>3.0185979999999999</v>
      </c>
      <c r="CH48" s="18">
        <v>4.9600929999999996</v>
      </c>
      <c r="CI48" s="18">
        <v>1.5424640000000001</v>
      </c>
      <c r="CJ48" s="18">
        <v>1.33005</v>
      </c>
      <c r="CK48" s="18">
        <v>0.86228899999999997</v>
      </c>
      <c r="CL48" s="18">
        <v>1.127062</v>
      </c>
      <c r="CM48" s="18">
        <v>0.56350199999999995</v>
      </c>
      <c r="CN48" s="18">
        <v>0.60514999999999997</v>
      </c>
      <c r="CO48" s="18">
        <v>0.53786230000000002</v>
      </c>
      <c r="CP48" s="18">
        <v>-1.7447000000000001E-3</v>
      </c>
      <c r="CQ48" s="18">
        <v>3.3660000000000001E-3</v>
      </c>
      <c r="CR48" s="18">
        <v>-3.356E-3</v>
      </c>
      <c r="CS48" s="18">
        <v>1.3524</v>
      </c>
      <c r="CT48" s="18">
        <v>1.4915351323276824</v>
      </c>
      <c r="CU48" s="18">
        <v>1.2570566804401757</v>
      </c>
      <c r="CV48" s="18">
        <v>1.0262340000000001</v>
      </c>
      <c r="CW48" s="18">
        <v>1.437343</v>
      </c>
      <c r="CX48" s="18">
        <v>1.3183210000000001</v>
      </c>
      <c r="CY48" s="18">
        <v>1.5560883068225482</v>
      </c>
      <c r="CZ48" s="17"/>
      <c r="DG48" s="17"/>
      <c r="DI48" s="11"/>
      <c r="DJ48" s="33"/>
    </row>
    <row r="49" spans="1:114" x14ac:dyDescent="0.3">
      <c r="A49" s="5">
        <v>1994</v>
      </c>
      <c r="B49" s="3">
        <v>263455</v>
      </c>
      <c r="C49" s="3">
        <v>7287236</v>
      </c>
      <c r="D49" s="35">
        <v>5.0877098482808201</v>
      </c>
      <c r="E49" s="2">
        <v>5.7380995625429696</v>
      </c>
      <c r="F49" s="3">
        <v>4720965</v>
      </c>
      <c r="G49" s="3">
        <v>1256484</v>
      </c>
      <c r="H49" s="3">
        <v>1108101</v>
      </c>
      <c r="I49" s="3">
        <v>294173</v>
      </c>
      <c r="J49" s="3">
        <v>-92487</v>
      </c>
      <c r="K49" s="3">
        <f t="shared" si="4"/>
        <v>7308767.8100000005</v>
      </c>
      <c r="L49" s="3">
        <f t="shared" si="5"/>
        <v>1832533</v>
      </c>
      <c r="M49" s="3">
        <f t="shared" si="6"/>
        <v>5476234.8100000005</v>
      </c>
      <c r="N49" s="23">
        <v>6.010706901550293</v>
      </c>
      <c r="O49" s="23">
        <v>4.4542040824890137</v>
      </c>
      <c r="P49" s="23">
        <v>6.9938516616821289</v>
      </c>
      <c r="Q49" s="22">
        <v>784633.19</v>
      </c>
      <c r="R49" s="22">
        <v>1047899.81</v>
      </c>
      <c r="S49" s="22">
        <v>702236.81</v>
      </c>
      <c r="T49" s="22">
        <v>4773998</v>
      </c>
      <c r="U49" s="3">
        <v>4108492.75</v>
      </c>
      <c r="V49" s="3">
        <v>1109825.125</v>
      </c>
      <c r="W49" s="3">
        <v>2998667.5</v>
      </c>
      <c r="X49" s="2">
        <v>0.58458566665649414</v>
      </c>
      <c r="Y49" s="2">
        <v>4.8456635475158691</v>
      </c>
      <c r="Z49" s="2">
        <v>4.0222072601318359</v>
      </c>
      <c r="AA49" s="2">
        <v>5.2988419532775879</v>
      </c>
      <c r="AB49" s="2">
        <v>7.0274167060852051</v>
      </c>
      <c r="AC49" s="2">
        <v>5.7040791511535645</v>
      </c>
      <c r="AD49" s="2">
        <v>7.5210251808166504</v>
      </c>
      <c r="AE49" s="2">
        <v>2.0909013748168945</v>
      </c>
      <c r="AF49" s="2">
        <v>1.4140087366104126</v>
      </c>
      <c r="AG49" s="2">
        <v>2.6848328113555908</v>
      </c>
      <c r="AH49" s="2">
        <v>0.62101453542709351</v>
      </c>
      <c r="AI49" s="2">
        <v>0.57220572233200073</v>
      </c>
      <c r="AJ49" s="3">
        <f t="shared" si="7"/>
        <v>5800364</v>
      </c>
      <c r="AK49" s="3">
        <v>1651898</v>
      </c>
      <c r="AL49" s="3">
        <v>4148466</v>
      </c>
      <c r="AM49" s="2">
        <v>4.7584245668330398</v>
      </c>
      <c r="AN49" s="2">
        <v>5.9101721758289196</v>
      </c>
      <c r="AO49" s="2">
        <v>4.0321943264495896</v>
      </c>
      <c r="AP49" s="2">
        <v>3.7584372743965502</v>
      </c>
      <c r="AQ49" s="2">
        <v>5.2012085092692901</v>
      </c>
      <c r="AR49" s="2">
        <v>8.2017600249632601</v>
      </c>
      <c r="AS49" s="3">
        <v>1486873</v>
      </c>
      <c r="AT49" s="23">
        <v>6.5729398663697101</v>
      </c>
      <c r="AU49" s="23">
        <v>5.2162072225247096</v>
      </c>
      <c r="AV49" s="17"/>
      <c r="AW49" s="18">
        <f t="shared" si="8"/>
        <v>0.52770799733668705</v>
      </c>
      <c r="AX49" s="18">
        <f t="shared" si="9"/>
        <v>0.47229200266331289</v>
      </c>
      <c r="AY49" s="18">
        <f t="shared" si="10"/>
        <v>0.17999282093204585</v>
      </c>
      <c r="AZ49" s="18">
        <f t="shared" si="11"/>
        <v>0.82000717906795406</v>
      </c>
      <c r="BA49" s="18">
        <v>21.346340000000001</v>
      </c>
      <c r="BB49" s="18">
        <v>0.53886049999999996</v>
      </c>
      <c r="BC49" s="18">
        <v>0.46113949999999998</v>
      </c>
      <c r="BD49" s="18">
        <v>0.64724230000000005</v>
      </c>
      <c r="BE49" s="18">
        <v>0</v>
      </c>
      <c r="BF49" s="18">
        <v>5.2356720000000001</v>
      </c>
      <c r="BG49" s="18">
        <v>5.2356730000000002</v>
      </c>
      <c r="BH49" s="18">
        <v>1</v>
      </c>
      <c r="BI49" s="18">
        <v>0.83056479999999999</v>
      </c>
      <c r="BJ49" s="18">
        <v>0.2073673</v>
      </c>
      <c r="BK49" s="18">
        <v>0.79263269999999997</v>
      </c>
      <c r="BL49" s="18">
        <v>0.29117480000000001</v>
      </c>
      <c r="BM49" s="18">
        <v>3.9300000000000004E-15</v>
      </c>
      <c r="BN49" s="18">
        <v>4.4786739999999998</v>
      </c>
      <c r="BO49" s="18">
        <v>4.478675</v>
      </c>
      <c r="BP49" s="18">
        <v>1</v>
      </c>
      <c r="BQ49" s="18">
        <v>0.44890160000000001</v>
      </c>
      <c r="BR49" s="18">
        <v>0.17417260000000001</v>
      </c>
      <c r="BS49" s="18">
        <v>0.82582739999999999</v>
      </c>
      <c r="BT49" s="18">
        <v>0.55497370000000001</v>
      </c>
      <c r="BU49" s="18">
        <v>0.69686530000000002</v>
      </c>
      <c r="BV49" s="18">
        <v>0.44306980000000001</v>
      </c>
      <c r="BW49" s="18">
        <v>2.971403</v>
      </c>
      <c r="BX49" s="18">
        <v>5.2386160000000004</v>
      </c>
      <c r="BY49" s="18">
        <v>1.7630110000000001</v>
      </c>
      <c r="BZ49" s="18">
        <v>0</v>
      </c>
      <c r="CA49" s="18">
        <v>0.52477929999999995</v>
      </c>
      <c r="CB49" s="18">
        <v>0.4752207</v>
      </c>
      <c r="CC49" s="18">
        <v>0.1800921</v>
      </c>
      <c r="CD49" s="18">
        <v>0.81990779999999996</v>
      </c>
      <c r="CE49" s="18">
        <v>6.3530030000000002</v>
      </c>
      <c r="CF49" s="18">
        <v>6.4203530000000004</v>
      </c>
      <c r="CG49" s="18">
        <v>3.1637979999999999</v>
      </c>
      <c r="CH49" s="18">
        <v>5.1138349999999999</v>
      </c>
      <c r="CI49" s="18">
        <v>1.5701689999999999</v>
      </c>
      <c r="CJ49" s="18">
        <v>1.340813</v>
      </c>
      <c r="CK49" s="18">
        <v>0.85392900000000005</v>
      </c>
      <c r="CL49" s="18">
        <v>1.133095</v>
      </c>
      <c r="CM49" s="18">
        <v>0.56350199999999995</v>
      </c>
      <c r="CN49" s="18">
        <v>0.60514999999999997</v>
      </c>
      <c r="CO49" s="18">
        <v>0.53786230000000002</v>
      </c>
      <c r="CP49" s="18">
        <v>9.4748999999999996E-3</v>
      </c>
      <c r="CQ49" s="18">
        <v>3.5869199999999997E-2</v>
      </c>
      <c r="CR49" s="18">
        <v>8.0159999999999997E-4</v>
      </c>
      <c r="CS49" s="18">
        <v>1.365275</v>
      </c>
      <c r="CT49" s="18">
        <v>1.5460143435254508</v>
      </c>
      <c r="CU49" s="18">
        <v>1.2580519369842946</v>
      </c>
      <c r="CV49" s="18">
        <v>1.024918</v>
      </c>
      <c r="CW49" s="18">
        <v>1.467355</v>
      </c>
      <c r="CX49" s="18">
        <v>1.3311740000000001</v>
      </c>
      <c r="CY49" s="18">
        <v>1.5782089621684157</v>
      </c>
      <c r="CZ49" s="17"/>
      <c r="DG49" s="17"/>
      <c r="DI49" s="11"/>
      <c r="DJ49" s="33"/>
    </row>
    <row r="50" spans="1:114" x14ac:dyDescent="0.3">
      <c r="A50" s="5">
        <v>1995</v>
      </c>
      <c r="B50" s="3">
        <v>266588</v>
      </c>
      <c r="C50" s="3">
        <v>7639749</v>
      </c>
      <c r="D50" s="35">
        <v>5.2243468893078404</v>
      </c>
      <c r="E50" s="2">
        <v>5.85834123861948</v>
      </c>
      <c r="F50" s="3">
        <v>4962590</v>
      </c>
      <c r="G50" s="3">
        <v>1317489</v>
      </c>
      <c r="H50" s="3">
        <v>1141743</v>
      </c>
      <c r="I50" s="3">
        <v>307688</v>
      </c>
      <c r="J50" s="3">
        <v>-89761</v>
      </c>
      <c r="K50" s="3">
        <f t="shared" si="4"/>
        <v>7664066.8799999999</v>
      </c>
      <c r="L50" s="3">
        <f t="shared" si="5"/>
        <v>1906368</v>
      </c>
      <c r="M50" s="3">
        <f t="shared" si="6"/>
        <v>5757698.8799999999</v>
      </c>
      <c r="N50" s="23">
        <v>6.1708784103393555</v>
      </c>
      <c r="O50" s="23">
        <v>4.5414681434631348</v>
      </c>
      <c r="P50" s="23">
        <v>7.19708251953125</v>
      </c>
      <c r="Q50" s="22">
        <v>840546.12</v>
      </c>
      <c r="R50" s="22">
        <v>1065821.8799999999</v>
      </c>
      <c r="S50" s="22">
        <v>753439.88</v>
      </c>
      <c r="T50" s="22">
        <v>5004259</v>
      </c>
      <c r="U50" s="3">
        <v>4331886.5</v>
      </c>
      <c r="V50" s="3">
        <v>1137367.5</v>
      </c>
      <c r="W50" s="3">
        <v>3194519</v>
      </c>
      <c r="X50" s="2">
        <v>0.57902806997299194</v>
      </c>
      <c r="Y50" s="2">
        <v>4.9553332328796387</v>
      </c>
      <c r="Z50" s="2">
        <v>4.1044392585754395</v>
      </c>
      <c r="AA50" s="2">
        <v>5.4227166175842285</v>
      </c>
      <c r="AB50" s="2">
        <v>7.3009061813354492</v>
      </c>
      <c r="AC50" s="2">
        <v>5.8766236305236816</v>
      </c>
      <c r="AD50" s="2">
        <v>7.8340291976928711</v>
      </c>
      <c r="AE50" s="2">
        <v>2.1437845230102539</v>
      </c>
      <c r="AF50" s="2">
        <v>1.4318298101425171</v>
      </c>
      <c r="AG50" s="2">
        <v>2.7652108669281006</v>
      </c>
      <c r="AH50" s="2">
        <v>0.60768258571624756</v>
      </c>
      <c r="AI50" s="2">
        <v>0.5692715048789978</v>
      </c>
      <c r="AJ50" s="3">
        <f t="shared" si="7"/>
        <v>6045746</v>
      </c>
      <c r="AK50" s="3">
        <v>1681700</v>
      </c>
      <c r="AL50" s="3">
        <v>4364046</v>
      </c>
      <c r="AM50" s="2">
        <v>4.8561292059004</v>
      </c>
      <c r="AN50" s="2">
        <v>6.0362582540185796</v>
      </c>
      <c r="AO50" s="2">
        <v>4.1629885862583897</v>
      </c>
      <c r="AP50" s="2">
        <v>3.70602920518315</v>
      </c>
      <c r="AQ50" s="2">
        <v>5.3262578199607304</v>
      </c>
      <c r="AR50" s="2">
        <v>8.4254076427874391</v>
      </c>
      <c r="AS50" s="3">
        <v>1594003</v>
      </c>
      <c r="AT50" s="23">
        <v>6.9117483296213802</v>
      </c>
      <c r="AU50" s="23">
        <v>5.3179204708383603</v>
      </c>
      <c r="AV50" s="17"/>
      <c r="AW50" s="18">
        <f t="shared" si="8"/>
        <v>0.52732340183665349</v>
      </c>
      <c r="AX50" s="18">
        <f t="shared" si="9"/>
        <v>0.47267659816334651</v>
      </c>
      <c r="AY50" s="18">
        <f t="shared" si="10"/>
        <v>0.17558610850008968</v>
      </c>
      <c r="AZ50" s="18">
        <f t="shared" si="11"/>
        <v>0.82441389149991029</v>
      </c>
      <c r="BA50" s="18">
        <v>22.024149999999999</v>
      </c>
      <c r="BB50" s="18">
        <v>0.53656309999999996</v>
      </c>
      <c r="BC50" s="18">
        <v>0.46343689999999998</v>
      </c>
      <c r="BD50" s="18">
        <v>0.64724230000000005</v>
      </c>
      <c r="BE50" s="18">
        <v>0</v>
      </c>
      <c r="BF50" s="18">
        <v>5.3382719999999999</v>
      </c>
      <c r="BG50" s="18">
        <v>5.3382719999999999</v>
      </c>
      <c r="BH50" s="18">
        <v>1</v>
      </c>
      <c r="BI50" s="18">
        <v>0.83056479999999999</v>
      </c>
      <c r="BJ50" s="18">
        <v>0.20585229999999999</v>
      </c>
      <c r="BK50" s="18">
        <v>0.79414770000000001</v>
      </c>
      <c r="BL50" s="18">
        <v>0.29117480000000001</v>
      </c>
      <c r="BM50" s="18">
        <v>3.9300000000000004E-15</v>
      </c>
      <c r="BN50" s="18">
        <v>4.552486</v>
      </c>
      <c r="BO50" s="18">
        <v>4.552486</v>
      </c>
      <c r="BP50" s="18">
        <v>1</v>
      </c>
      <c r="BQ50" s="18">
        <v>0.44890160000000001</v>
      </c>
      <c r="BR50" s="18">
        <v>0.1728035</v>
      </c>
      <c r="BS50" s="18">
        <v>0.8271965</v>
      </c>
      <c r="BT50" s="18">
        <v>0.55497370000000001</v>
      </c>
      <c r="BU50" s="18">
        <v>0.69686530000000002</v>
      </c>
      <c r="BV50" s="18">
        <v>0.44306980000000001</v>
      </c>
      <c r="BW50" s="18">
        <v>3.0186860000000002</v>
      </c>
      <c r="BX50" s="18">
        <v>5.3236049999999997</v>
      </c>
      <c r="BY50" s="18">
        <v>1.7635510000000001</v>
      </c>
      <c r="BZ50" s="18">
        <v>0</v>
      </c>
      <c r="CA50" s="18">
        <v>0.52751579999999998</v>
      </c>
      <c r="CB50" s="18">
        <v>0.47248430000000002</v>
      </c>
      <c r="CC50" s="18">
        <v>0.17778939999999999</v>
      </c>
      <c r="CD50" s="18">
        <v>0.82221060000000001</v>
      </c>
      <c r="CE50" s="18">
        <v>6.675001</v>
      </c>
      <c r="CF50" s="18">
        <v>6.6940330000000001</v>
      </c>
      <c r="CG50" s="18">
        <v>3.1602969999999999</v>
      </c>
      <c r="CH50" s="18">
        <v>5.2160789999999997</v>
      </c>
      <c r="CI50" s="18">
        <v>1.584748</v>
      </c>
      <c r="CJ50" s="18">
        <v>1.353399</v>
      </c>
      <c r="CK50" s="18">
        <v>0.85401539999999998</v>
      </c>
      <c r="CL50" s="18">
        <v>1.135184</v>
      </c>
      <c r="CM50" s="18">
        <v>0.56350199999999995</v>
      </c>
      <c r="CN50" s="18">
        <v>0.60514999999999997</v>
      </c>
      <c r="CO50" s="18">
        <v>0.53786230000000002</v>
      </c>
      <c r="CP50" s="18">
        <v>-8.3598000000000006E-3</v>
      </c>
      <c r="CQ50" s="18">
        <v>1.727E-4</v>
      </c>
      <c r="CR50" s="18">
        <v>-1.13118E-2</v>
      </c>
      <c r="CS50" s="18">
        <v>1.353909</v>
      </c>
      <c r="CT50" s="18">
        <v>1.546263913509939</v>
      </c>
      <c r="CU50" s="18">
        <v>1.2438920824356732</v>
      </c>
      <c r="CV50" s="18">
        <v>1.0295080000000001</v>
      </c>
      <c r="CW50" s="18">
        <v>1.467381</v>
      </c>
      <c r="CX50" s="18">
        <v>1.319976</v>
      </c>
      <c r="CY50" s="18">
        <v>1.574122866948926</v>
      </c>
      <c r="CZ50" s="17"/>
      <c r="DG50" s="17"/>
      <c r="DI50" s="11"/>
      <c r="DJ50" s="33"/>
    </row>
    <row r="51" spans="1:114" x14ac:dyDescent="0.3">
      <c r="A51" s="5">
        <v>1996</v>
      </c>
      <c r="B51" s="3">
        <v>269714</v>
      </c>
      <c r="C51" s="3">
        <v>8073122</v>
      </c>
      <c r="D51" s="35">
        <v>5.4214022802765101</v>
      </c>
      <c r="E51" s="2">
        <v>5.96564576732725</v>
      </c>
      <c r="F51" s="3">
        <v>5244596</v>
      </c>
      <c r="G51" s="3">
        <v>1432055</v>
      </c>
      <c r="H51" s="3">
        <v>1172889</v>
      </c>
      <c r="I51" s="3">
        <v>319959</v>
      </c>
      <c r="J51" s="3">
        <v>-96376</v>
      </c>
      <c r="K51" s="3">
        <f t="shared" si="4"/>
        <v>8100231.8200000003</v>
      </c>
      <c r="L51" s="3">
        <f t="shared" si="5"/>
        <v>2008757.94</v>
      </c>
      <c r="M51" s="3">
        <f t="shared" si="6"/>
        <v>6091473.8799999999</v>
      </c>
      <c r="N51" s="23">
        <v>6.2631678581237793</v>
      </c>
      <c r="O51" s="23">
        <v>4.6086320877075195</v>
      </c>
      <c r="P51" s="23">
        <v>7.3051242828369141</v>
      </c>
      <c r="Q51" s="22">
        <v>896548.06</v>
      </c>
      <c r="R51" s="22">
        <v>1112209.8799999999</v>
      </c>
      <c r="S51" s="22">
        <v>824659.88</v>
      </c>
      <c r="T51" s="22">
        <v>5266814</v>
      </c>
      <c r="U51" s="3">
        <v>4551839.5</v>
      </c>
      <c r="V51" s="3">
        <v>1193016.5</v>
      </c>
      <c r="W51" s="3">
        <v>3358822.75</v>
      </c>
      <c r="X51" s="2">
        <v>0.57877403497695923</v>
      </c>
      <c r="Y51" s="2">
        <v>5.1566925048828125</v>
      </c>
      <c r="Z51" s="2">
        <v>4.2611603736877441</v>
      </c>
      <c r="AA51" s="2">
        <v>5.6475605964660645</v>
      </c>
      <c r="AB51" s="2">
        <v>7.6035518646240234</v>
      </c>
      <c r="AC51" s="2">
        <v>6.0986032485961914</v>
      </c>
      <c r="AD51" s="2">
        <v>8.1678256988525391</v>
      </c>
      <c r="AE51" s="2">
        <v>2.1777563095092773</v>
      </c>
      <c r="AF51" s="2">
        <v>1.4549505710601807</v>
      </c>
      <c r="AG51" s="2">
        <v>2.8087341785430908</v>
      </c>
      <c r="AH51" s="2">
        <v>0.60176742076873779</v>
      </c>
      <c r="AI51" s="2">
        <v>0.57101517915725708</v>
      </c>
      <c r="AJ51" s="3">
        <f t="shared" si="7"/>
        <v>6351908</v>
      </c>
      <c r="AK51" s="3">
        <v>1769807</v>
      </c>
      <c r="AL51" s="3">
        <v>4582101</v>
      </c>
      <c r="AM51" s="2">
        <v>4.9900483206532797</v>
      </c>
      <c r="AN51" s="2">
        <v>6.1717396382002301</v>
      </c>
      <c r="AO51" s="2">
        <v>4.3224634623546203</v>
      </c>
      <c r="AP51" s="2">
        <v>3.75629862288825</v>
      </c>
      <c r="AQ51" s="2">
        <v>5.4512938511741096</v>
      </c>
      <c r="AR51" s="2">
        <v>8.6434843906113308</v>
      </c>
      <c r="AS51" s="3">
        <v>1721214</v>
      </c>
      <c r="AT51" s="23">
        <v>7.4408407572383002</v>
      </c>
      <c r="AU51" s="23">
        <v>5.3340057519229802</v>
      </c>
      <c r="AV51" s="17"/>
      <c r="AW51" s="18">
        <f t="shared" si="8"/>
        <v>0.52088306076487201</v>
      </c>
      <c r="AX51" s="18">
        <f t="shared" si="9"/>
        <v>0.4791169392351281</v>
      </c>
      <c r="AY51" s="18">
        <f t="shared" si="10"/>
        <v>0.17435424305074085</v>
      </c>
      <c r="AZ51" s="18">
        <f t="shared" si="11"/>
        <v>0.82564575694925912</v>
      </c>
      <c r="BA51" s="18">
        <v>22.852740000000001</v>
      </c>
      <c r="BB51" s="18">
        <v>0.53650850000000005</v>
      </c>
      <c r="BC51" s="18">
        <v>0.4634915</v>
      </c>
      <c r="BD51" s="18">
        <v>0.64724230000000005</v>
      </c>
      <c r="BE51" s="18">
        <v>0</v>
      </c>
      <c r="BF51" s="18">
        <v>5.5218259999999999</v>
      </c>
      <c r="BG51" s="18">
        <v>5.5218259999999999</v>
      </c>
      <c r="BH51" s="18">
        <v>1</v>
      </c>
      <c r="BI51" s="18">
        <v>0.83056479999999999</v>
      </c>
      <c r="BJ51" s="18">
        <v>0.20581640000000001</v>
      </c>
      <c r="BK51" s="18">
        <v>0.79418359999999999</v>
      </c>
      <c r="BL51" s="18">
        <v>0.29117480000000001</v>
      </c>
      <c r="BM51" s="18">
        <v>3.9300000000000004E-15</v>
      </c>
      <c r="BN51" s="18">
        <v>4.7086800000000002</v>
      </c>
      <c r="BO51" s="18">
        <v>4.7086800000000002</v>
      </c>
      <c r="BP51" s="18">
        <v>1</v>
      </c>
      <c r="BQ51" s="18">
        <v>0.44890160000000001</v>
      </c>
      <c r="BR51" s="18">
        <v>0.17067740000000001</v>
      </c>
      <c r="BS51" s="18">
        <v>0.82932260000000002</v>
      </c>
      <c r="BT51" s="18">
        <v>0.55497370000000001</v>
      </c>
      <c r="BU51" s="18">
        <v>0.69686530000000002</v>
      </c>
      <c r="BV51" s="18">
        <v>0.44306980000000001</v>
      </c>
      <c r="BW51" s="18">
        <v>3.0843790000000002</v>
      </c>
      <c r="BX51" s="18">
        <v>5.5201580000000003</v>
      </c>
      <c r="BY51" s="18">
        <v>1.7897149999999999</v>
      </c>
      <c r="BZ51" s="18">
        <v>0</v>
      </c>
      <c r="CA51" s="18">
        <v>0.52410319999999999</v>
      </c>
      <c r="CB51" s="18">
        <v>0.47589690000000001</v>
      </c>
      <c r="CC51" s="18">
        <v>0.17497019999999999</v>
      </c>
      <c r="CD51" s="18">
        <v>0.82502980000000004</v>
      </c>
      <c r="CE51" s="18">
        <v>7.0159159999999998</v>
      </c>
      <c r="CF51" s="18">
        <v>7.2183830000000002</v>
      </c>
      <c r="CG51" s="18">
        <v>3.2463579999999999</v>
      </c>
      <c r="CH51" s="18">
        <v>5.402857</v>
      </c>
      <c r="CI51" s="18">
        <v>1.5850960000000001</v>
      </c>
      <c r="CJ51" s="18">
        <v>1.3695539999999999</v>
      </c>
      <c r="CK51" s="18">
        <v>0.8640198</v>
      </c>
      <c r="CL51" s="18">
        <v>1.1571279999999999</v>
      </c>
      <c r="CM51" s="18">
        <v>0.56350199999999995</v>
      </c>
      <c r="CN51" s="18">
        <v>0.60514999999999997</v>
      </c>
      <c r="CO51" s="18">
        <v>0.53786230000000002</v>
      </c>
      <c r="CP51" s="18">
        <v>1.32421E-2</v>
      </c>
      <c r="CQ51" s="18">
        <v>1.2261599999999999E-2</v>
      </c>
      <c r="CR51" s="18">
        <v>1.36133E-2</v>
      </c>
      <c r="CS51" s="18">
        <v>1.3719570000000001</v>
      </c>
      <c r="CT51" s="18">
        <v>1.5653186644776678</v>
      </c>
      <c r="CU51" s="18">
        <v>1.2609198073456052</v>
      </c>
      <c r="CV51" s="18">
        <v>1.041677</v>
      </c>
      <c r="CW51" s="18">
        <v>1.5038640000000001</v>
      </c>
      <c r="CX51" s="18">
        <v>1.3376189999999999</v>
      </c>
      <c r="CY51" s="18">
        <v>1.6151418350656104</v>
      </c>
      <c r="CZ51" s="17"/>
      <c r="DG51" s="17"/>
      <c r="DI51" s="11"/>
      <c r="DJ51" s="33"/>
    </row>
    <row r="52" spans="1:114" x14ac:dyDescent="0.3">
      <c r="A52" s="5">
        <v>1997</v>
      </c>
      <c r="B52" s="3">
        <v>272958</v>
      </c>
      <c r="C52" s="3">
        <v>8577552</v>
      </c>
      <c r="D52" s="35">
        <v>5.6625370320495598</v>
      </c>
      <c r="E52" s="2">
        <v>6.0684794390676302</v>
      </c>
      <c r="F52" s="3">
        <v>5536790</v>
      </c>
      <c r="G52" s="3">
        <v>1595600</v>
      </c>
      <c r="H52" s="3">
        <v>1220528</v>
      </c>
      <c r="I52" s="3">
        <v>326605</v>
      </c>
      <c r="J52" s="3">
        <v>-101971</v>
      </c>
      <c r="K52" s="3">
        <f t="shared" si="4"/>
        <v>8577570.8800000008</v>
      </c>
      <c r="L52" s="3">
        <f t="shared" si="5"/>
        <v>2097614.0699999998</v>
      </c>
      <c r="M52" s="3">
        <f t="shared" si="6"/>
        <v>6479956.8100000005</v>
      </c>
      <c r="N52" s="23">
        <v>6.3539657592773438</v>
      </c>
      <c r="O52" s="23">
        <v>4.601417064666748</v>
      </c>
      <c r="P52" s="23">
        <v>7.4506306648254395</v>
      </c>
      <c r="Q52" s="22">
        <v>961821.19</v>
      </c>
      <c r="R52" s="22">
        <v>1135792.8799999999</v>
      </c>
      <c r="S52" s="22">
        <v>889458.81</v>
      </c>
      <c r="T52" s="22">
        <v>5590498</v>
      </c>
      <c r="U52" s="3">
        <v>4892870.5</v>
      </c>
      <c r="V52" s="3">
        <v>1244620.375</v>
      </c>
      <c r="W52" s="3">
        <v>3648250.25</v>
      </c>
      <c r="X52" s="2">
        <v>0.58040636777877808</v>
      </c>
      <c r="Y52" s="2">
        <v>5.4053645133972168</v>
      </c>
      <c r="Z52" s="2">
        <v>4.4793763160705566</v>
      </c>
      <c r="AA52" s="2">
        <v>5.914280891418457</v>
      </c>
      <c r="AB52" s="2">
        <v>7.9690055847167969</v>
      </c>
      <c r="AC52" s="2">
        <v>6.350071907043457</v>
      </c>
      <c r="AD52" s="2">
        <v>8.5780401229858398</v>
      </c>
      <c r="AE52" s="2">
        <v>2.241417407989502</v>
      </c>
      <c r="AF52" s="2">
        <v>1.4870531558990479</v>
      </c>
      <c r="AG52" s="2">
        <v>2.8978822231292725</v>
      </c>
      <c r="AH52" s="2">
        <v>0.59864336252212524</v>
      </c>
      <c r="AI52" s="2">
        <v>0.57430177927017212</v>
      </c>
      <c r="AJ52" s="3">
        <f t="shared" si="7"/>
        <v>6726275</v>
      </c>
      <c r="AK52" s="3">
        <v>1891666</v>
      </c>
      <c r="AL52" s="3">
        <v>4834609</v>
      </c>
      <c r="AM52" s="2">
        <v>5.1753705319112999</v>
      </c>
      <c r="AN52" s="2">
        <v>6.3014600880976097</v>
      </c>
      <c r="AO52" s="2">
        <v>4.4882301772602702</v>
      </c>
      <c r="AP52" s="2">
        <v>3.86665006693244</v>
      </c>
      <c r="AQ52" s="2">
        <v>5.6025834739411904</v>
      </c>
      <c r="AR52" s="2">
        <v>8.8735378834823297</v>
      </c>
      <c r="AS52" s="3">
        <v>1851279</v>
      </c>
      <c r="AT52" s="23">
        <v>7.9750835189309504</v>
      </c>
      <c r="AU52" s="23">
        <v>5.3527536323138598</v>
      </c>
      <c r="AV52" s="17"/>
      <c r="AW52" s="18">
        <f t="shared" si="8"/>
        <v>0.51954387774944899</v>
      </c>
      <c r="AX52" s="18">
        <f t="shared" si="9"/>
        <v>0.48045612225055101</v>
      </c>
      <c r="AY52" s="18">
        <f t="shared" si="10"/>
        <v>0.16885872173283115</v>
      </c>
      <c r="AZ52" s="18">
        <f t="shared" si="11"/>
        <v>0.83114127826716888</v>
      </c>
      <c r="BA52" s="18">
        <v>23.936630000000001</v>
      </c>
      <c r="BB52" s="18">
        <v>0.53121059999999998</v>
      </c>
      <c r="BC52" s="18">
        <v>0.46878940000000002</v>
      </c>
      <c r="BD52" s="18">
        <v>0.64724230000000005</v>
      </c>
      <c r="BE52" s="18">
        <v>0</v>
      </c>
      <c r="BF52" s="18">
        <v>5.8045739999999997</v>
      </c>
      <c r="BG52" s="18">
        <v>5.8045749999999998</v>
      </c>
      <c r="BH52" s="18">
        <v>1</v>
      </c>
      <c r="BI52" s="18">
        <v>0.83056479999999999</v>
      </c>
      <c r="BJ52" s="18">
        <v>0.20235829999999999</v>
      </c>
      <c r="BK52" s="18">
        <v>0.79764159999999995</v>
      </c>
      <c r="BL52" s="18">
        <v>0.29117480000000001</v>
      </c>
      <c r="BM52" s="18">
        <v>3.9300000000000004E-15</v>
      </c>
      <c r="BN52" s="18">
        <v>4.9151619999999996</v>
      </c>
      <c r="BO52" s="18">
        <v>4.9151619999999996</v>
      </c>
      <c r="BP52" s="18">
        <v>0.99999990000000005</v>
      </c>
      <c r="BQ52" s="18">
        <v>0.44890160000000001</v>
      </c>
      <c r="BR52" s="18">
        <v>0.16569819999999999</v>
      </c>
      <c r="BS52" s="18">
        <v>0.83430179999999998</v>
      </c>
      <c r="BT52" s="18">
        <v>0.55497370000000001</v>
      </c>
      <c r="BU52" s="18">
        <v>0.69686530000000002</v>
      </c>
      <c r="BV52" s="18">
        <v>0.44306980000000001</v>
      </c>
      <c r="BW52" s="18">
        <v>3.1791209999999999</v>
      </c>
      <c r="BX52" s="18">
        <v>5.7716890000000003</v>
      </c>
      <c r="BY52" s="18">
        <v>1.8154980000000001</v>
      </c>
      <c r="BZ52" s="18">
        <v>0</v>
      </c>
      <c r="CA52" s="18">
        <v>0.52101129999999996</v>
      </c>
      <c r="CB52" s="18">
        <v>0.47898869999999999</v>
      </c>
      <c r="CC52" s="18">
        <v>0.17138590000000001</v>
      </c>
      <c r="CD52" s="18">
        <v>0.82861410000000002</v>
      </c>
      <c r="CE52" s="18">
        <v>7.5616380000000003</v>
      </c>
      <c r="CF52" s="18">
        <v>7.6081430000000001</v>
      </c>
      <c r="CG52" s="18">
        <v>3.3292679999999999</v>
      </c>
      <c r="CH52" s="18">
        <v>5.6557050000000002</v>
      </c>
      <c r="CI52" s="18">
        <v>1.6192040000000001</v>
      </c>
      <c r="CJ52" s="18">
        <v>1.391969</v>
      </c>
      <c r="CK52" s="18">
        <v>0.85966279999999995</v>
      </c>
      <c r="CL52" s="18">
        <v>1.1773530000000001</v>
      </c>
      <c r="CM52" s="18">
        <v>0.56350199999999995</v>
      </c>
      <c r="CN52" s="18">
        <v>0.60514999999999997</v>
      </c>
      <c r="CO52" s="18">
        <v>0.53786230000000002</v>
      </c>
      <c r="CP52" s="18">
        <v>1.0369099999999999E-2</v>
      </c>
      <c r="CQ52" s="18">
        <v>2.0006900000000001E-2</v>
      </c>
      <c r="CR52" s="18">
        <v>7.1492999999999999E-3</v>
      </c>
      <c r="CS52" s="18">
        <v>1.3862570000000001</v>
      </c>
      <c r="CT52" s="18">
        <v>1.5969317026779783</v>
      </c>
      <c r="CU52" s="18">
        <v>1.2699519827012127</v>
      </c>
      <c r="CV52" s="18">
        <v>1.0470470000000001</v>
      </c>
      <c r="CW52" s="18">
        <v>1.534151</v>
      </c>
      <c r="CX52" s="18">
        <v>1.3515079999999999</v>
      </c>
      <c r="CY52" s="18">
        <v>1.6428506284674627</v>
      </c>
      <c r="CZ52" s="17"/>
      <c r="DA52" s="18">
        <v>1</v>
      </c>
      <c r="DB52" s="18">
        <v>1</v>
      </c>
      <c r="DC52" s="18">
        <v>1</v>
      </c>
      <c r="DD52" s="18">
        <v>1</v>
      </c>
      <c r="DE52" s="18">
        <v>1</v>
      </c>
      <c r="DF52" s="18">
        <v>1</v>
      </c>
      <c r="DG52" s="17"/>
      <c r="DI52" s="11"/>
      <c r="DJ52" s="33"/>
    </row>
    <row r="53" spans="1:114" x14ac:dyDescent="0.3">
      <c r="A53" s="5">
        <v>1998</v>
      </c>
      <c r="B53" s="3">
        <v>276154</v>
      </c>
      <c r="C53" s="3">
        <v>9062817</v>
      </c>
      <c r="D53" s="35">
        <v>5.9164197863363004</v>
      </c>
      <c r="E53" s="2">
        <v>6.1366564439090903</v>
      </c>
      <c r="F53" s="3">
        <v>5877248</v>
      </c>
      <c r="G53" s="3">
        <v>1736671</v>
      </c>
      <c r="H53" s="3">
        <v>1267607</v>
      </c>
      <c r="I53" s="3">
        <v>344001</v>
      </c>
      <c r="J53" s="3">
        <v>-162711</v>
      </c>
      <c r="K53" s="3">
        <f t="shared" si="4"/>
        <v>9062819.9399999995</v>
      </c>
      <c r="L53" s="3">
        <f t="shared" si="5"/>
        <v>2156512</v>
      </c>
      <c r="M53" s="3">
        <f t="shared" si="6"/>
        <v>6906307.9399999995</v>
      </c>
      <c r="N53" s="23">
        <v>6.4304647445678711</v>
      </c>
      <c r="O53" s="23">
        <v>4.571800708770752</v>
      </c>
      <c r="P53" s="23">
        <v>7.585667610168457</v>
      </c>
      <c r="Q53" s="22">
        <v>1035481.62</v>
      </c>
      <c r="R53" s="22">
        <v>1121030.3799999999</v>
      </c>
      <c r="S53" s="22">
        <v>981469.44</v>
      </c>
      <c r="T53" s="22">
        <v>5924838.5</v>
      </c>
      <c r="U53" s="3">
        <v>5330721.5</v>
      </c>
      <c r="V53" s="3">
        <v>1311015.375</v>
      </c>
      <c r="W53" s="3">
        <v>4019706</v>
      </c>
      <c r="X53" s="2">
        <v>0.59316498041152954</v>
      </c>
      <c r="Y53" s="2">
        <v>5.6329693794250488</v>
      </c>
      <c r="Z53" s="2">
        <v>4.6318740844726563</v>
      </c>
      <c r="AA53" s="2">
        <v>6.1789097785949707</v>
      </c>
      <c r="AB53" s="2">
        <v>8.406916618347168</v>
      </c>
      <c r="AC53" s="2">
        <v>6.6430439949035645</v>
      </c>
      <c r="AD53" s="2">
        <v>9.0732622146606445</v>
      </c>
      <c r="AE53" s="2">
        <v>2.3065404891967773</v>
      </c>
      <c r="AF53" s="2">
        <v>1.4983969926834106</v>
      </c>
      <c r="AG53" s="2">
        <v>3.0030844211578369</v>
      </c>
      <c r="AH53" s="2">
        <v>0.60437792539596558</v>
      </c>
      <c r="AI53" s="2">
        <v>0.5895046591758728</v>
      </c>
      <c r="AJ53" s="3">
        <f t="shared" si="7"/>
        <v>7045863</v>
      </c>
      <c r="AK53" s="3">
        <v>1933972</v>
      </c>
      <c r="AL53" s="3">
        <v>5111891</v>
      </c>
      <c r="AM53" s="2">
        <v>5.3395045373616599</v>
      </c>
      <c r="AN53" s="2">
        <v>6.3979588823361402</v>
      </c>
      <c r="AO53" s="2">
        <v>4.6022842852656201</v>
      </c>
      <c r="AP53" s="2">
        <v>3.8551588155885699</v>
      </c>
      <c r="AQ53" s="2">
        <v>5.8019940600902</v>
      </c>
      <c r="AR53" s="2">
        <v>9.0599978054274395</v>
      </c>
      <c r="AS53" s="3">
        <v>2016953</v>
      </c>
      <c r="AT53" s="23">
        <v>8.7163140311803993</v>
      </c>
      <c r="AU53" s="23">
        <v>5.3358489837822098</v>
      </c>
      <c r="AV53" s="17"/>
      <c r="AW53" s="18">
        <f t="shared" si="8"/>
        <v>0.51338956137091396</v>
      </c>
      <c r="AX53" s="18">
        <f t="shared" si="9"/>
        <v>0.48661043862908598</v>
      </c>
      <c r="AY53" s="18">
        <f t="shared" si="10"/>
        <v>0.15910463267093894</v>
      </c>
      <c r="AZ53" s="18">
        <f t="shared" si="11"/>
        <v>0.84089536732906112</v>
      </c>
      <c r="BA53" s="18">
        <v>24.719149999999999</v>
      </c>
      <c r="BB53" s="18">
        <v>0.52512530000000002</v>
      </c>
      <c r="BC53" s="18">
        <v>0.47487469999999998</v>
      </c>
      <c r="BD53" s="18">
        <v>0.64724230000000005</v>
      </c>
      <c r="BE53" s="18">
        <v>0</v>
      </c>
      <c r="BF53" s="18">
        <v>6.0338820000000002</v>
      </c>
      <c r="BG53" s="18">
        <v>6.0338830000000003</v>
      </c>
      <c r="BH53" s="18">
        <v>1</v>
      </c>
      <c r="BI53" s="18">
        <v>0.83056479999999999</v>
      </c>
      <c r="BJ53" s="18">
        <v>0.1984455</v>
      </c>
      <c r="BK53" s="18">
        <v>0.80155449999999995</v>
      </c>
      <c r="BL53" s="18">
        <v>0.29117480000000001</v>
      </c>
      <c r="BM53" s="18">
        <v>3.9300000000000004E-15</v>
      </c>
      <c r="BN53" s="18">
        <v>5.0686020000000003</v>
      </c>
      <c r="BO53" s="18">
        <v>5.0686030000000004</v>
      </c>
      <c r="BP53" s="18">
        <v>1</v>
      </c>
      <c r="BQ53" s="18">
        <v>0.44890160000000001</v>
      </c>
      <c r="BR53" s="18">
        <v>0.16162309999999999</v>
      </c>
      <c r="BS53" s="18">
        <v>0.83837689999999998</v>
      </c>
      <c r="BT53" s="18">
        <v>0.55497370000000001</v>
      </c>
      <c r="BU53" s="18">
        <v>0.69686530000000002</v>
      </c>
      <c r="BV53" s="18">
        <v>0.44306980000000001</v>
      </c>
      <c r="BW53" s="18">
        <v>3.2607910000000002</v>
      </c>
      <c r="BX53" s="18">
        <v>5.9517429999999996</v>
      </c>
      <c r="BY53" s="18">
        <v>1.825245</v>
      </c>
      <c r="BZ53" s="18">
        <v>0</v>
      </c>
      <c r="CA53" s="18">
        <v>0.51783590000000002</v>
      </c>
      <c r="CB53" s="18">
        <v>0.48216409999999998</v>
      </c>
      <c r="CC53" s="18">
        <v>0.16352800000000001</v>
      </c>
      <c r="CD53" s="18">
        <v>0.83647199999999999</v>
      </c>
      <c r="CE53" s="18">
        <v>8.1865780000000008</v>
      </c>
      <c r="CF53" s="18">
        <v>8.2537929999999999</v>
      </c>
      <c r="CG53" s="18">
        <v>3.2976160000000001</v>
      </c>
      <c r="CH53" s="18">
        <v>5.8720439999999998</v>
      </c>
      <c r="CI53" s="18">
        <v>1.65923</v>
      </c>
      <c r="CJ53" s="18">
        <v>1.4216759999999999</v>
      </c>
      <c r="CK53" s="18">
        <v>0.85682899999999995</v>
      </c>
      <c r="CL53" s="18">
        <v>1.199184</v>
      </c>
      <c r="CM53" s="18">
        <v>0.56350199999999995</v>
      </c>
      <c r="CN53" s="18">
        <v>0.60514999999999997</v>
      </c>
      <c r="CO53" s="18">
        <v>0.53786230000000002</v>
      </c>
      <c r="CP53" s="18">
        <v>1.7554999999999999E-3</v>
      </c>
      <c r="CQ53" s="18">
        <v>9.5075999999999997E-3</v>
      </c>
      <c r="CR53" s="18">
        <v>-8.2140000000000002E-4</v>
      </c>
      <c r="CS53" s="18">
        <v>1.388692</v>
      </c>
      <c r="CT53" s="18">
        <v>1.6121473569733598</v>
      </c>
      <c r="CU53" s="18">
        <v>1.2688921744033097</v>
      </c>
      <c r="CV53" s="18">
        <v>1.055955</v>
      </c>
      <c r="CW53" s="18">
        <v>1.5554159999999999</v>
      </c>
      <c r="CX53" s="18">
        <v>1.353823</v>
      </c>
      <c r="CY53" s="18">
        <v>1.6738392211225741</v>
      </c>
      <c r="CZ53" s="17"/>
      <c r="DA53" s="18">
        <v>1.057350304237723</v>
      </c>
      <c r="DB53" s="18">
        <v>1.0216532577649851</v>
      </c>
      <c r="DC53" s="18">
        <v>1.051866834270073</v>
      </c>
      <c r="DD53" s="18">
        <v>0.99618819045986406</v>
      </c>
      <c r="DE53" s="18">
        <v>1.0590935324949831</v>
      </c>
      <c r="DF53" s="18">
        <v>1.029849928102379</v>
      </c>
      <c r="DG53" s="17"/>
      <c r="DI53" s="11"/>
      <c r="DJ53" s="33"/>
    </row>
    <row r="54" spans="1:114" x14ac:dyDescent="0.3">
      <c r="A54" s="5">
        <v>1999</v>
      </c>
      <c r="B54" s="3">
        <v>279328</v>
      </c>
      <c r="C54" s="3">
        <v>9631172</v>
      </c>
      <c r="D54" s="35">
        <v>6.1996588562707604</v>
      </c>
      <c r="E54" s="2">
        <v>6.2235606581332101</v>
      </c>
      <c r="F54" s="3">
        <v>6283758</v>
      </c>
      <c r="G54" s="3">
        <v>1887059</v>
      </c>
      <c r="H54" s="3">
        <v>1351427</v>
      </c>
      <c r="I54" s="3">
        <v>368478</v>
      </c>
      <c r="J54" s="3">
        <v>-259550</v>
      </c>
      <c r="K54" s="3">
        <f t="shared" si="4"/>
        <v>9631159.75</v>
      </c>
      <c r="L54" s="3">
        <f t="shared" si="5"/>
        <v>2265199</v>
      </c>
      <c r="M54" s="3">
        <f t="shared" si="6"/>
        <v>7365960.75</v>
      </c>
      <c r="N54" s="23">
        <v>6.5414767265319824</v>
      </c>
      <c r="O54" s="23">
        <v>4.5739893913269043</v>
      </c>
      <c r="P54" s="23">
        <v>7.7574663162231445</v>
      </c>
      <c r="Q54" s="22">
        <v>1116566.75</v>
      </c>
      <c r="R54" s="22">
        <v>1148632.25</v>
      </c>
      <c r="S54" s="22">
        <v>1078162.25</v>
      </c>
      <c r="T54" s="22">
        <v>6287798.5</v>
      </c>
      <c r="U54" s="3">
        <v>5614821.5</v>
      </c>
      <c r="V54" s="3">
        <v>1375409.25</v>
      </c>
      <c r="W54" s="3">
        <v>4239412</v>
      </c>
      <c r="X54" s="2">
        <v>0.5997549295425415</v>
      </c>
      <c r="Y54" s="2">
        <v>5.8920474052429199</v>
      </c>
      <c r="Z54" s="2">
        <v>4.8693370819091797</v>
      </c>
      <c r="AA54" s="2">
        <v>6.4527912139892578</v>
      </c>
      <c r="AB54" s="2">
        <v>8.909672737121582</v>
      </c>
      <c r="AC54" s="2">
        <v>6.9041862487792969</v>
      </c>
      <c r="AD54" s="2">
        <v>9.6734066009521484</v>
      </c>
      <c r="AE54" s="2">
        <v>2.3501489162445068</v>
      </c>
      <c r="AF54" s="2">
        <v>1.5101708173751831</v>
      </c>
      <c r="AG54" s="2">
        <v>3.0707335472106934</v>
      </c>
      <c r="AH54" s="2">
        <v>0.61114561557769775</v>
      </c>
      <c r="AI54" s="2">
        <v>0.59614604711532593</v>
      </c>
      <c r="AJ54" s="3">
        <f t="shared" si="7"/>
        <v>7436451</v>
      </c>
      <c r="AK54" s="3">
        <v>2008392</v>
      </c>
      <c r="AL54" s="3">
        <v>5428059</v>
      </c>
      <c r="AM54" s="2">
        <v>5.5413807125321597</v>
      </c>
      <c r="AN54" s="2">
        <v>6.5066265405565504</v>
      </c>
      <c r="AO54" s="2">
        <v>4.79092741468593</v>
      </c>
      <c r="AP54" s="2">
        <v>3.8458684520974198</v>
      </c>
      <c r="AQ54" s="2">
        <v>6.0206728561205596</v>
      </c>
      <c r="AR54" s="2">
        <v>9.27093032821249</v>
      </c>
      <c r="AS54" s="3">
        <v>2194721</v>
      </c>
      <c r="AT54" s="23">
        <v>9.4419543429844097</v>
      </c>
      <c r="AU54" s="23">
        <v>5.3599167356289801</v>
      </c>
      <c r="AV54" s="17"/>
      <c r="AW54" s="18">
        <f t="shared" si="8"/>
        <v>0.50874925788104131</v>
      </c>
      <c r="AX54" s="18">
        <f t="shared" si="9"/>
        <v>0.49125074211895864</v>
      </c>
      <c r="AY54" s="18">
        <f t="shared" si="10"/>
        <v>0.15446015549865774</v>
      </c>
      <c r="AZ54" s="18">
        <f t="shared" si="11"/>
        <v>0.84553984450134223</v>
      </c>
      <c r="BA54" s="18">
        <v>25.829630000000002</v>
      </c>
      <c r="BB54" s="18">
        <v>0.51965720000000004</v>
      </c>
      <c r="BC54" s="18">
        <v>0.48034280000000001</v>
      </c>
      <c r="BD54" s="18">
        <v>0.64724230000000005</v>
      </c>
      <c r="BE54" s="18">
        <v>0</v>
      </c>
      <c r="BF54" s="18">
        <v>6.3079869999999998</v>
      </c>
      <c r="BG54" s="18">
        <v>6.3079869999999998</v>
      </c>
      <c r="BH54" s="18">
        <v>1</v>
      </c>
      <c r="BI54" s="18">
        <v>0.83056479999999999</v>
      </c>
      <c r="BJ54" s="18">
        <v>0.1949824</v>
      </c>
      <c r="BK54" s="18">
        <v>0.80501769999999995</v>
      </c>
      <c r="BL54" s="18">
        <v>0.29117480000000001</v>
      </c>
      <c r="BM54" s="18">
        <v>3.9300000000000004E-15</v>
      </c>
      <c r="BN54" s="18">
        <v>5.2611689999999998</v>
      </c>
      <c r="BO54" s="18">
        <v>5.2611689999999998</v>
      </c>
      <c r="BP54" s="18">
        <v>1</v>
      </c>
      <c r="BQ54" s="18">
        <v>0.44890160000000001</v>
      </c>
      <c r="BR54" s="18">
        <v>0.15728120000000001</v>
      </c>
      <c r="BS54" s="18">
        <v>0.84271879999999999</v>
      </c>
      <c r="BT54" s="18">
        <v>0.55497370000000001</v>
      </c>
      <c r="BU54" s="18">
        <v>0.69686530000000002</v>
      </c>
      <c r="BV54" s="18">
        <v>0.44306980000000001</v>
      </c>
      <c r="BW54" s="18">
        <v>3.352249</v>
      </c>
      <c r="BX54" s="18">
        <v>6.1831440000000004</v>
      </c>
      <c r="BY54" s="18">
        <v>1.844476</v>
      </c>
      <c r="BZ54" s="18">
        <v>0</v>
      </c>
      <c r="CA54" s="18">
        <v>0.51229499999999994</v>
      </c>
      <c r="CB54" s="18">
        <v>0.487705</v>
      </c>
      <c r="CC54" s="18">
        <v>0.1562489</v>
      </c>
      <c r="CD54" s="18">
        <v>0.84375109999999998</v>
      </c>
      <c r="CE54" s="18">
        <v>8.8264320000000005</v>
      </c>
      <c r="CF54" s="18">
        <v>8.8632930000000005</v>
      </c>
      <c r="CG54" s="18">
        <v>3.3787470000000002</v>
      </c>
      <c r="CH54" s="18">
        <v>6.1033869999999997</v>
      </c>
      <c r="CI54" s="18">
        <v>1.6959960000000001</v>
      </c>
      <c r="CJ54" s="18">
        <v>1.447344</v>
      </c>
      <c r="CK54" s="18">
        <v>0.8533887</v>
      </c>
      <c r="CL54" s="18">
        <v>1.21397</v>
      </c>
      <c r="CM54" s="18">
        <v>0.56350199999999995</v>
      </c>
      <c r="CN54" s="18">
        <v>0.60514999999999997</v>
      </c>
      <c r="CO54" s="18">
        <v>0.53786230000000002</v>
      </c>
      <c r="CP54" s="18">
        <v>9.0594999999999998E-3</v>
      </c>
      <c r="CQ54" s="18">
        <v>2.87554E-2</v>
      </c>
      <c r="CR54" s="18">
        <v>2.8609E-3</v>
      </c>
      <c r="CS54" s="18">
        <v>1.40133</v>
      </c>
      <c r="CT54" s="18">
        <v>1.6591448720685078</v>
      </c>
      <c r="CU54" s="18">
        <v>1.2724927142725269</v>
      </c>
      <c r="CV54" s="18">
        <v>1.0630170000000001</v>
      </c>
      <c r="CW54" s="18">
        <v>1.5943830000000001</v>
      </c>
      <c r="CX54" s="18">
        <v>1.366233</v>
      </c>
      <c r="CY54" s="18">
        <v>1.7083186712916045</v>
      </c>
      <c r="CZ54" s="17"/>
      <c r="DA54" s="18">
        <v>1.122984575741157</v>
      </c>
      <c r="DB54" s="18">
        <v>1.045864436859228</v>
      </c>
      <c r="DC54" s="18">
        <v>1.098089171859044</v>
      </c>
      <c r="DD54" s="18">
        <v>1.0109589849239911</v>
      </c>
      <c r="DE54" s="18">
        <v>1.1308666183731051</v>
      </c>
      <c r="DF54" s="18">
        <v>1.0571089847338619</v>
      </c>
      <c r="DG54" s="17"/>
      <c r="DI54" s="11"/>
      <c r="DJ54" s="33"/>
    </row>
    <row r="55" spans="1:114" x14ac:dyDescent="0.3">
      <c r="A55" s="5">
        <v>2000</v>
      </c>
      <c r="B55" s="3">
        <v>282398</v>
      </c>
      <c r="C55" s="3">
        <v>10250952</v>
      </c>
      <c r="D55" s="35">
        <v>6.4524643145704301</v>
      </c>
      <c r="E55" s="2">
        <v>6.3645275255991303</v>
      </c>
      <c r="F55" s="3">
        <v>6767179</v>
      </c>
      <c r="G55" s="3">
        <v>2038408</v>
      </c>
      <c r="H55" s="3">
        <v>1437588</v>
      </c>
      <c r="I55" s="3">
        <v>388850</v>
      </c>
      <c r="J55" s="3">
        <v>-381073</v>
      </c>
      <c r="K55" s="3">
        <f t="shared" si="4"/>
        <v>10250953.76</v>
      </c>
      <c r="L55" s="3">
        <f t="shared" si="5"/>
        <v>2400553.88</v>
      </c>
      <c r="M55" s="3">
        <f t="shared" si="6"/>
        <v>7850399.8799999999</v>
      </c>
      <c r="N55" s="23">
        <v>6.7005219459533691</v>
      </c>
      <c r="O55" s="23">
        <v>4.6246662139892578</v>
      </c>
      <c r="P55" s="23">
        <v>7.9786086082458496</v>
      </c>
      <c r="Q55" s="22">
        <v>1209483</v>
      </c>
      <c r="R55" s="22">
        <v>1191070.8799999999</v>
      </c>
      <c r="S55" s="22">
        <v>1163229.8799999999</v>
      </c>
      <c r="T55" s="22">
        <v>6687170</v>
      </c>
      <c r="U55" s="3">
        <v>6093353.5</v>
      </c>
      <c r="V55" s="3">
        <v>1480172.5</v>
      </c>
      <c r="W55" s="3">
        <v>4613181.5</v>
      </c>
      <c r="X55" s="2">
        <v>0.60233354568481445</v>
      </c>
      <c r="Y55" s="2">
        <v>6.1269140243530273</v>
      </c>
      <c r="Z55" s="2">
        <v>5.1124029159545898</v>
      </c>
      <c r="AA55" s="2">
        <v>6.6897516250610352</v>
      </c>
      <c r="AB55" s="2">
        <v>9.4075469970703125</v>
      </c>
      <c r="AC55" s="2">
        <v>7.0885787010192871</v>
      </c>
      <c r="AD55" s="2">
        <v>10.300636291503906</v>
      </c>
      <c r="AE55" s="2">
        <v>2.3958287239074707</v>
      </c>
      <c r="AF55" s="2">
        <v>1.5151858329772949</v>
      </c>
      <c r="AG55" s="2">
        <v>3.1465556621551514</v>
      </c>
      <c r="AH55" s="2">
        <v>0.61457669734954834</v>
      </c>
      <c r="AI55" s="2">
        <v>0.59848588705062866</v>
      </c>
      <c r="AJ55" s="3">
        <f t="shared" si="7"/>
        <v>7878238</v>
      </c>
      <c r="AK55" s="3">
        <v>2051597</v>
      </c>
      <c r="AL55" s="3">
        <v>5826641</v>
      </c>
      <c r="AM55" s="2">
        <v>5.7295739255163403</v>
      </c>
      <c r="AN55" s="2">
        <v>6.6667614858112403</v>
      </c>
      <c r="AO55" s="2">
        <v>4.9114044664428098</v>
      </c>
      <c r="AP55" s="2">
        <v>3.8322328374691801</v>
      </c>
      <c r="AQ55" s="2">
        <v>6.2493666729610098</v>
      </c>
      <c r="AR55" s="2">
        <v>9.5875146575990495</v>
      </c>
      <c r="AS55" s="3">
        <v>2372714</v>
      </c>
      <c r="AT55" s="23">
        <v>10.045935412026701</v>
      </c>
      <c r="AU55" s="23">
        <v>5.4462256492026899</v>
      </c>
      <c r="AV55" s="17"/>
      <c r="AW55" s="18">
        <f t="shared" si="8"/>
        <v>0.5097468851772744</v>
      </c>
      <c r="AX55" s="18">
        <f t="shared" si="9"/>
        <v>0.4902531148227256</v>
      </c>
      <c r="AY55" s="18">
        <f t="shared" si="10"/>
        <v>0.15118487720065751</v>
      </c>
      <c r="AZ55" s="18">
        <f t="shared" si="11"/>
        <v>0.84881512279934246</v>
      </c>
      <c r="BA55" s="18">
        <v>27.089179999999999</v>
      </c>
      <c r="BB55" s="18">
        <v>0.51539000000000001</v>
      </c>
      <c r="BC55" s="18">
        <v>0.48460999999999999</v>
      </c>
      <c r="BD55" s="18">
        <v>0.64724230000000005</v>
      </c>
      <c r="BE55" s="18">
        <v>0</v>
      </c>
      <c r="BF55" s="18">
        <v>6.5606879999999999</v>
      </c>
      <c r="BG55" s="18">
        <v>6.560689</v>
      </c>
      <c r="BH55" s="18">
        <v>1</v>
      </c>
      <c r="BI55" s="18">
        <v>0.83056479999999999</v>
      </c>
      <c r="BJ55" s="18">
        <v>0.19231380000000001</v>
      </c>
      <c r="BK55" s="18">
        <v>0.80768620000000002</v>
      </c>
      <c r="BL55" s="18">
        <v>0.29117480000000001</v>
      </c>
      <c r="BM55" s="18">
        <v>3.9300000000000004E-15</v>
      </c>
      <c r="BN55" s="18">
        <v>5.4417309999999999</v>
      </c>
      <c r="BO55" s="18">
        <v>5.4417309999999999</v>
      </c>
      <c r="BP55" s="18">
        <v>1</v>
      </c>
      <c r="BQ55" s="18">
        <v>0.44890160000000001</v>
      </c>
      <c r="BR55" s="18">
        <v>0.15374599999999999</v>
      </c>
      <c r="BS55" s="18">
        <v>0.84625399999999995</v>
      </c>
      <c r="BT55" s="18">
        <v>0.55497370000000001</v>
      </c>
      <c r="BU55" s="18">
        <v>0.69686530000000002</v>
      </c>
      <c r="BV55" s="18">
        <v>0.44306980000000001</v>
      </c>
      <c r="BW55" s="18">
        <v>3.4363929999999998</v>
      </c>
      <c r="BX55" s="18">
        <v>6.400957</v>
      </c>
      <c r="BY55" s="18">
        <v>1.8626959999999999</v>
      </c>
      <c r="BZ55" s="18">
        <v>0</v>
      </c>
      <c r="CA55" s="18">
        <v>0.51032420000000001</v>
      </c>
      <c r="CB55" s="18">
        <v>0.48967579999999999</v>
      </c>
      <c r="CC55" s="18">
        <v>0.15238119999999999</v>
      </c>
      <c r="CD55" s="18">
        <v>0.84761880000000001</v>
      </c>
      <c r="CE55" s="18">
        <v>9.4475479999999994</v>
      </c>
      <c r="CF55" s="18">
        <v>9.3064</v>
      </c>
      <c r="CG55" s="18">
        <v>3.4751159999999999</v>
      </c>
      <c r="CH55" s="18">
        <v>6.3139789999999998</v>
      </c>
      <c r="CI55" s="18">
        <v>1.7252289999999999</v>
      </c>
      <c r="CJ55" s="18">
        <v>1.465015</v>
      </c>
      <c r="CK55" s="18">
        <v>0.84917100000000001</v>
      </c>
      <c r="CL55" s="18">
        <v>1.2241359999999999</v>
      </c>
      <c r="CM55" s="18">
        <v>0.56350199999999995</v>
      </c>
      <c r="CN55" s="18">
        <v>0.60514999999999997</v>
      </c>
      <c r="CO55" s="18">
        <v>0.53786230000000002</v>
      </c>
      <c r="CP55" s="18">
        <v>4.5055E-3</v>
      </c>
      <c r="CQ55" s="18">
        <v>3.5338799999999997E-2</v>
      </c>
      <c r="CR55" s="18">
        <v>-5.104E-3</v>
      </c>
      <c r="CS55" s="18">
        <v>1.4076580000000001</v>
      </c>
      <c r="CT55" s="18">
        <v>1.7187993679832165</v>
      </c>
      <c r="CU55" s="18">
        <v>1.2659825494811239</v>
      </c>
      <c r="CV55" s="18">
        <v>1.0666530000000001</v>
      </c>
      <c r="CW55" s="18">
        <v>1.6294420000000001</v>
      </c>
      <c r="CX55" s="18">
        <v>1.372306</v>
      </c>
      <c r="CY55" s="18">
        <v>1.7285746554404666</v>
      </c>
      <c r="CZ55" s="17"/>
      <c r="DA55" s="18">
        <v>1.1918403443201819</v>
      </c>
      <c r="DB55" s="18">
        <v>1.058392022940926</v>
      </c>
      <c r="DC55" s="18">
        <v>1.13903405935603</v>
      </c>
      <c r="DD55" s="18">
        <v>1.005095093483682</v>
      </c>
      <c r="DE55" s="18">
        <v>1.208740849358644</v>
      </c>
      <c r="DF55" s="18">
        <v>1.0756548137040891</v>
      </c>
      <c r="DG55" s="17"/>
      <c r="DI55" s="11"/>
      <c r="DJ55" s="33"/>
    </row>
    <row r="56" spans="1:114" x14ac:dyDescent="0.3">
      <c r="A56" s="5">
        <v>2001</v>
      </c>
      <c r="B56" s="3">
        <v>285225</v>
      </c>
      <c r="C56" s="3">
        <v>10581929</v>
      </c>
      <c r="D56" s="35">
        <v>6.5141395098303301</v>
      </c>
      <c r="E56" s="2">
        <v>6.5078175444415196</v>
      </c>
      <c r="F56" s="3">
        <v>7073801</v>
      </c>
      <c r="G56" s="3">
        <v>1934842</v>
      </c>
      <c r="H56" s="3">
        <v>1538151</v>
      </c>
      <c r="I56" s="3">
        <v>411883</v>
      </c>
      <c r="J56" s="3">
        <v>-376747</v>
      </c>
      <c r="K56" s="3">
        <f t="shared" si="4"/>
        <v>10581947</v>
      </c>
      <c r="L56" s="3">
        <f t="shared" si="5"/>
        <v>2365877.88</v>
      </c>
      <c r="M56" s="3">
        <f t="shared" si="6"/>
        <v>8216069.1200000001</v>
      </c>
      <c r="N56" s="23">
        <v>6.8692564964294434</v>
      </c>
      <c r="O56" s="23">
        <v>4.7482309341430664</v>
      </c>
      <c r="P56" s="23">
        <v>8.17578125</v>
      </c>
      <c r="Q56" s="22">
        <v>1181984.8799999999</v>
      </c>
      <c r="R56" s="22">
        <v>1183893</v>
      </c>
      <c r="S56" s="22">
        <v>1203026.1200000001</v>
      </c>
      <c r="T56" s="22">
        <v>7013043</v>
      </c>
      <c r="U56" s="3">
        <v>6282005.5</v>
      </c>
      <c r="V56" s="3">
        <v>1428762.5</v>
      </c>
      <c r="W56" s="3">
        <v>4853243</v>
      </c>
      <c r="X56" s="2">
        <v>0.60718041658401489</v>
      </c>
      <c r="Y56" s="2">
        <v>6.1772627830505371</v>
      </c>
      <c r="Z56" s="2">
        <v>4.9205679893493652</v>
      </c>
      <c r="AA56" s="2">
        <v>6.8407597541809082</v>
      </c>
      <c r="AB56" s="2">
        <v>9.8063392639160156</v>
      </c>
      <c r="AC56" s="2">
        <v>7.229860782623291</v>
      </c>
      <c r="AD56" s="2">
        <v>10.807653427124023</v>
      </c>
      <c r="AE56" s="2">
        <v>2.3863615989685059</v>
      </c>
      <c r="AF56" s="2">
        <v>1.4681128263473511</v>
      </c>
      <c r="AG56" s="2">
        <v>3.160834789276123</v>
      </c>
      <c r="AH56" s="2">
        <v>0.61160194873809814</v>
      </c>
      <c r="AI56" s="2">
        <v>0.60577666759490967</v>
      </c>
      <c r="AJ56" s="3">
        <f t="shared" si="7"/>
        <v>8196921</v>
      </c>
      <c r="AK56" s="3">
        <v>2050689</v>
      </c>
      <c r="AL56" s="3">
        <v>6146232</v>
      </c>
      <c r="AM56" s="2">
        <v>5.8079289549560098</v>
      </c>
      <c r="AN56" s="2">
        <v>6.8428583450324396</v>
      </c>
      <c r="AO56" s="2">
        <v>5.0670473131402503</v>
      </c>
      <c r="AP56" s="2">
        <v>3.7128754063976701</v>
      </c>
      <c r="AQ56" s="2">
        <v>6.3892758325500303</v>
      </c>
      <c r="AR56" s="2">
        <v>9.8919314786116193</v>
      </c>
      <c r="AS56" s="3">
        <v>2385009</v>
      </c>
      <c r="AT56" s="23">
        <v>10.0034799554565</v>
      </c>
      <c r="AU56" s="23">
        <v>5.4976809929621799</v>
      </c>
      <c r="AV56" s="17"/>
      <c r="AW56" s="18">
        <f t="shared" si="8"/>
        <v>0.49558885891930893</v>
      </c>
      <c r="AX56" s="18">
        <f t="shared" si="9"/>
        <v>0.50441114108069107</v>
      </c>
      <c r="AY56" s="18">
        <f t="shared" si="10"/>
        <v>0.14443116305897716</v>
      </c>
      <c r="AZ56" s="18">
        <f t="shared" si="11"/>
        <v>0.85556883694102281</v>
      </c>
      <c r="BA56" s="18">
        <v>27.958500000000001</v>
      </c>
      <c r="BB56" s="18">
        <v>0.51587839999999996</v>
      </c>
      <c r="BC56" s="18">
        <v>0.48412159999999999</v>
      </c>
      <c r="BD56" s="18">
        <v>0.64724230000000005</v>
      </c>
      <c r="BE56" s="18">
        <v>0</v>
      </c>
      <c r="BF56" s="18">
        <v>6.6673530000000003</v>
      </c>
      <c r="BG56" s="18">
        <v>6.6673539999999996</v>
      </c>
      <c r="BH56" s="18">
        <v>1</v>
      </c>
      <c r="BI56" s="18">
        <v>0.83056479999999999</v>
      </c>
      <c r="BJ56" s="18">
        <v>0.19261780000000001</v>
      </c>
      <c r="BK56" s="18">
        <v>0.80738220000000005</v>
      </c>
      <c r="BL56" s="18">
        <v>0.29117480000000001</v>
      </c>
      <c r="BM56" s="18">
        <v>3.9300000000000004E-15</v>
      </c>
      <c r="BN56" s="18">
        <v>5.5336999999999996</v>
      </c>
      <c r="BO56" s="18">
        <v>5.5336999999999996</v>
      </c>
      <c r="BP56" s="18">
        <v>1</v>
      </c>
      <c r="BQ56" s="18">
        <v>0.44890160000000001</v>
      </c>
      <c r="BR56" s="18">
        <v>0.1533438</v>
      </c>
      <c r="BS56" s="18">
        <v>0.84665619999999997</v>
      </c>
      <c r="BT56" s="18">
        <v>0.55497370000000001</v>
      </c>
      <c r="BU56" s="18">
        <v>0.69686530000000002</v>
      </c>
      <c r="BV56" s="18">
        <v>0.44306980000000001</v>
      </c>
      <c r="BW56" s="18">
        <v>3.4798300000000002</v>
      </c>
      <c r="BX56" s="18">
        <v>6.5146819999999996</v>
      </c>
      <c r="BY56" s="18">
        <v>1.8721270000000001</v>
      </c>
      <c r="BZ56" s="18">
        <v>0</v>
      </c>
      <c r="CA56" s="18">
        <v>0.50367870000000003</v>
      </c>
      <c r="CB56" s="18">
        <v>0.49632130000000002</v>
      </c>
      <c r="CC56" s="18">
        <v>0.14746880000000001</v>
      </c>
      <c r="CD56" s="18">
        <v>0.85253120000000004</v>
      </c>
      <c r="CE56" s="18">
        <v>8.9989629999999998</v>
      </c>
      <c r="CF56" s="18">
        <v>9.38687</v>
      </c>
      <c r="CG56" s="18">
        <v>3.3676759999999999</v>
      </c>
      <c r="CH56" s="18">
        <v>6.4750649999999998</v>
      </c>
      <c r="CI56" s="18">
        <v>1.7218580000000001</v>
      </c>
      <c r="CJ56" s="18">
        <v>1.487168</v>
      </c>
      <c r="CK56" s="18">
        <v>0.86369929999999995</v>
      </c>
      <c r="CL56" s="18">
        <v>1.2447410000000001</v>
      </c>
      <c r="CM56" s="18">
        <v>0.56350199999999995</v>
      </c>
      <c r="CN56" s="18">
        <v>0.60514999999999997</v>
      </c>
      <c r="CO56" s="18">
        <v>0.53786230000000002</v>
      </c>
      <c r="CP56" s="18">
        <v>-7.7069E-3</v>
      </c>
      <c r="CQ56" s="18">
        <v>-2.9075500000000001E-2</v>
      </c>
      <c r="CR56" s="18">
        <v>-1.2026000000000001E-3</v>
      </c>
      <c r="CS56" s="18">
        <v>1.3968510000000001</v>
      </c>
      <c r="CT56" s="18">
        <v>1.6694877314800012</v>
      </c>
      <c r="CU56" s="18">
        <v>1.264424919847527</v>
      </c>
      <c r="CV56" s="18">
        <v>1.0838490000000001</v>
      </c>
      <c r="CW56" s="18">
        <v>1.6272899999999999</v>
      </c>
      <c r="CX56" s="18">
        <v>1.361718</v>
      </c>
      <c r="CY56" s="18">
        <v>1.7397676545511394</v>
      </c>
      <c r="CZ56" s="17"/>
      <c r="DA56" s="18">
        <v>1.251468518685583</v>
      </c>
      <c r="DB56" s="18">
        <v>1.0462768848560271</v>
      </c>
      <c r="DC56" s="18">
        <v>1.168914336068112</v>
      </c>
      <c r="DD56" s="18">
        <v>0.96550665786447809</v>
      </c>
      <c r="DE56" s="18">
        <v>1.2779075868388841</v>
      </c>
      <c r="DF56" s="18">
        <v>1.0724832747059121</v>
      </c>
      <c r="DG56" s="17"/>
      <c r="DI56" s="11"/>
      <c r="DJ56" s="33"/>
    </row>
    <row r="57" spans="1:114" x14ac:dyDescent="0.3">
      <c r="A57" s="5">
        <v>2002</v>
      </c>
      <c r="B57" s="3">
        <v>287955</v>
      </c>
      <c r="C57" s="3">
        <v>10929108</v>
      </c>
      <c r="D57" s="35">
        <v>6.6249214471676101</v>
      </c>
      <c r="E57" s="2">
        <v>6.6089362851148996</v>
      </c>
      <c r="F57" s="3">
        <v>7348941</v>
      </c>
      <c r="G57" s="3">
        <v>1930417</v>
      </c>
      <c r="H57" s="3">
        <v>1645819</v>
      </c>
      <c r="I57" s="3">
        <v>443676</v>
      </c>
      <c r="J57" s="3">
        <v>-439745</v>
      </c>
      <c r="K57" s="3">
        <f t="shared" si="4"/>
        <v>10929099</v>
      </c>
      <c r="L57" s="3">
        <f t="shared" si="5"/>
        <v>2348490</v>
      </c>
      <c r="M57" s="3">
        <f t="shared" si="6"/>
        <v>8580609</v>
      </c>
      <c r="N57" s="23">
        <v>6.9550905227661133</v>
      </c>
      <c r="O57" s="23">
        <v>4.6597409248352051</v>
      </c>
      <c r="P57" s="23">
        <v>8.3525514602661133</v>
      </c>
      <c r="Q57" s="22">
        <v>1151161.5</v>
      </c>
      <c r="R57" s="22">
        <v>1197328.5</v>
      </c>
      <c r="S57" s="22">
        <v>1202957.5</v>
      </c>
      <c r="T57" s="22">
        <v>7377651.5</v>
      </c>
      <c r="U57" s="3">
        <v>6338332</v>
      </c>
      <c r="V57" s="3">
        <v>1394944.125</v>
      </c>
      <c r="W57" s="3">
        <v>4943388</v>
      </c>
      <c r="X57" s="2">
        <v>0.59937584400177002</v>
      </c>
      <c r="Y57" s="2">
        <v>6.3017654418945313</v>
      </c>
      <c r="Z57" s="2">
        <v>4.9539484977722168</v>
      </c>
      <c r="AA57" s="2">
        <v>7.0051445960998535</v>
      </c>
      <c r="AB57" s="2">
        <v>10.08292293548584</v>
      </c>
      <c r="AC57" s="2">
        <v>7.331575870513916</v>
      </c>
      <c r="AD57" s="2">
        <v>11.156585693359375</v>
      </c>
      <c r="AE57" s="2">
        <v>2.3727443218231201</v>
      </c>
      <c r="AF57" s="2">
        <v>1.4039397239685059</v>
      </c>
      <c r="AG57" s="2">
        <v>3.1783039569854736</v>
      </c>
      <c r="AH57" s="2">
        <v>0.6008484959602356</v>
      </c>
      <c r="AI57" s="2">
        <v>0.59898090362548828</v>
      </c>
      <c r="AJ57" s="3">
        <f t="shared" si="7"/>
        <v>8574990</v>
      </c>
      <c r="AK57" s="3">
        <v>2126510</v>
      </c>
      <c r="AL57" s="3">
        <v>6448480</v>
      </c>
      <c r="AM57" s="2">
        <v>5.9636878182947202</v>
      </c>
      <c r="AN57" s="2">
        <v>6.9715094232518</v>
      </c>
      <c r="AO57" s="2">
        <v>5.1375630589329297</v>
      </c>
      <c r="AP57" s="2">
        <v>3.7973077643316402</v>
      </c>
      <c r="AQ57" s="2">
        <v>6.5339044530930002</v>
      </c>
      <c r="AR57" s="2">
        <v>10.1486521074303</v>
      </c>
      <c r="AS57" s="3">
        <v>2354119</v>
      </c>
      <c r="AT57" s="23">
        <v>9.8337973273941994</v>
      </c>
      <c r="AU57" s="23">
        <v>5.5201105992094304</v>
      </c>
      <c r="AV57" s="17"/>
      <c r="AW57" s="18">
        <f t="shared" si="8"/>
        <v>0.48899885689720868</v>
      </c>
      <c r="AX57" s="18">
        <f t="shared" si="9"/>
        <v>0.51100114310279132</v>
      </c>
      <c r="AY57" s="18">
        <f t="shared" si="10"/>
        <v>0.13963047144133281</v>
      </c>
      <c r="AZ57" s="18">
        <f t="shared" si="11"/>
        <v>0.86036952855866722</v>
      </c>
      <c r="BA57" s="18">
        <v>28.984400000000001</v>
      </c>
      <c r="BB57" s="18">
        <v>0.50583270000000002</v>
      </c>
      <c r="BC57" s="18">
        <v>0.49416729999999998</v>
      </c>
      <c r="BD57" s="18">
        <v>0.64724230000000005</v>
      </c>
      <c r="BE57" s="18">
        <v>0</v>
      </c>
      <c r="BF57" s="18">
        <v>6.9722119999999999</v>
      </c>
      <c r="BG57" s="18">
        <v>6.972213</v>
      </c>
      <c r="BH57" s="18">
        <v>1</v>
      </c>
      <c r="BI57" s="18">
        <v>0.83056479999999999</v>
      </c>
      <c r="BJ57" s="18">
        <v>0.18644269999999999</v>
      </c>
      <c r="BK57" s="18">
        <v>0.81355730000000004</v>
      </c>
      <c r="BL57" s="18">
        <v>0.29117480000000001</v>
      </c>
      <c r="BM57" s="18">
        <v>3.9300000000000004E-15</v>
      </c>
      <c r="BN57" s="18">
        <v>5.7124459999999999</v>
      </c>
      <c r="BO57" s="18">
        <v>5.7124470000000001</v>
      </c>
      <c r="BP57" s="18">
        <v>1</v>
      </c>
      <c r="BQ57" s="18">
        <v>0.44890160000000001</v>
      </c>
      <c r="BR57" s="18">
        <v>0.14790030000000001</v>
      </c>
      <c r="BS57" s="18">
        <v>0.85209970000000002</v>
      </c>
      <c r="BT57" s="18">
        <v>0.55497370000000001</v>
      </c>
      <c r="BU57" s="18">
        <v>0.69686530000000002</v>
      </c>
      <c r="BV57" s="18">
        <v>0.44306980000000001</v>
      </c>
      <c r="BW57" s="18">
        <v>3.5794670000000002</v>
      </c>
      <c r="BX57" s="18">
        <v>6.7169809999999996</v>
      </c>
      <c r="BY57" s="18">
        <v>1.8765309999999999</v>
      </c>
      <c r="BZ57" s="18">
        <v>0</v>
      </c>
      <c r="CA57" s="18">
        <v>0.49300240000000001</v>
      </c>
      <c r="CB57" s="18">
        <v>0.50699749999999999</v>
      </c>
      <c r="CC57" s="18">
        <v>0.1416946</v>
      </c>
      <c r="CD57" s="18">
        <v>0.85830550000000005</v>
      </c>
      <c r="CE57" s="18">
        <v>8.913907</v>
      </c>
      <c r="CF57" s="18">
        <v>9.2048989999999993</v>
      </c>
      <c r="CG57" s="18">
        <v>3.4749029999999999</v>
      </c>
      <c r="CH57" s="18">
        <v>6.669753</v>
      </c>
      <c r="CI57" s="18">
        <v>1.7924929999999999</v>
      </c>
      <c r="CJ57" s="18">
        <v>1.5131600000000001</v>
      </c>
      <c r="CK57" s="18">
        <v>0.84416539999999995</v>
      </c>
      <c r="CL57" s="18">
        <v>1.2630760000000001</v>
      </c>
      <c r="CM57" s="18">
        <v>0.56350199999999995</v>
      </c>
      <c r="CN57" s="18">
        <v>0.60514999999999997</v>
      </c>
      <c r="CO57" s="18">
        <v>0.53786230000000002</v>
      </c>
      <c r="CP57" s="18">
        <v>1.10385E-2</v>
      </c>
      <c r="CQ57" s="18">
        <v>2.5848699999999999E-2</v>
      </c>
      <c r="CR57" s="18">
        <v>6.7702999999999999E-3</v>
      </c>
      <c r="CS57" s="18">
        <v>1.4123559999999999</v>
      </c>
      <c r="CT57" s="18">
        <v>1.7131385201246963</v>
      </c>
      <c r="CU57" s="18">
        <v>1.2729926197229378</v>
      </c>
      <c r="CV57" s="18">
        <v>1.0811500000000001</v>
      </c>
      <c r="CW57" s="18">
        <v>1.6524220000000001</v>
      </c>
      <c r="CX57" s="18">
        <v>1.377143</v>
      </c>
      <c r="CY57" s="18">
        <v>1.7736177072199617</v>
      </c>
      <c r="CZ57" s="17"/>
      <c r="DA57" s="18">
        <v>1.2989998888594829</v>
      </c>
      <c r="DB57" s="18">
        <v>1.0418323032528081</v>
      </c>
      <c r="DC57" s="18">
        <v>1.188814459690831</v>
      </c>
      <c r="DD57" s="18">
        <v>0.92240048826246757</v>
      </c>
      <c r="DE57" s="18">
        <v>1.3339992254365249</v>
      </c>
      <c r="DF57" s="18">
        <v>1.0803112942008031</v>
      </c>
      <c r="DG57" s="17"/>
      <c r="DI57" s="11"/>
      <c r="DJ57" s="33"/>
    </row>
    <row r="58" spans="1:114" x14ac:dyDescent="0.3">
      <c r="A58" s="5">
        <v>2003</v>
      </c>
      <c r="B58" s="3">
        <v>290626</v>
      </c>
      <c r="C58" s="3">
        <v>11456450</v>
      </c>
      <c r="D58" s="35">
        <v>6.81012658227848</v>
      </c>
      <c r="E58" s="2">
        <v>6.73941903388139</v>
      </c>
      <c r="F58" s="3">
        <v>7740749</v>
      </c>
      <c r="G58" s="3">
        <v>2027056</v>
      </c>
      <c r="H58" s="3">
        <v>1746378</v>
      </c>
      <c r="I58" s="3">
        <v>464221</v>
      </c>
      <c r="J58" s="3">
        <v>-521955</v>
      </c>
      <c r="K58" s="3">
        <f t="shared" si="4"/>
        <v>11456471.379999999</v>
      </c>
      <c r="L58" s="3">
        <f t="shared" si="5"/>
        <v>2487408.13</v>
      </c>
      <c r="M58" s="3">
        <f t="shared" si="6"/>
        <v>8969063.25</v>
      </c>
      <c r="N58" s="23">
        <v>7.0987176895141602</v>
      </c>
      <c r="O58" s="23">
        <v>4.8006815910339355</v>
      </c>
      <c r="P58" s="23">
        <v>8.5026121139526367</v>
      </c>
      <c r="Q58" s="22">
        <v>1216191.3799999999</v>
      </c>
      <c r="R58" s="22">
        <v>1271216.75</v>
      </c>
      <c r="S58" s="22">
        <v>1260988.75</v>
      </c>
      <c r="T58" s="22">
        <v>7708074.5</v>
      </c>
      <c r="U58" s="3">
        <v>6580236.5</v>
      </c>
      <c r="V58" s="3">
        <v>1440760.25</v>
      </c>
      <c r="W58" s="3">
        <v>5139476</v>
      </c>
      <c r="X58" s="2">
        <v>0.58939480781555176</v>
      </c>
      <c r="Y58" s="2">
        <v>6.4744992256164551</v>
      </c>
      <c r="Z58" s="2">
        <v>5.1064586639404297</v>
      </c>
      <c r="AA58" s="2">
        <v>7.1905169486999512</v>
      </c>
      <c r="AB58" s="2">
        <v>10.365086555480957</v>
      </c>
      <c r="AC58" s="2">
        <v>7.382317066192627</v>
      </c>
      <c r="AD58" s="2">
        <v>11.535887718200684</v>
      </c>
      <c r="AE58" s="2">
        <v>2.3683497905731201</v>
      </c>
      <c r="AF58" s="2">
        <v>1.3568639755249023</v>
      </c>
      <c r="AG58" s="2">
        <v>3.2013266086578369</v>
      </c>
      <c r="AH58" s="2">
        <v>0.58908402919769287</v>
      </c>
      <c r="AI58" s="2">
        <v>0.58949416875839233</v>
      </c>
      <c r="AJ58" s="3">
        <f t="shared" si="7"/>
        <v>8979266</v>
      </c>
      <c r="AK58" s="3">
        <v>2171530</v>
      </c>
      <c r="AL58" s="3">
        <v>6807736</v>
      </c>
      <c r="AM58" s="2">
        <v>6.1069650858365199</v>
      </c>
      <c r="AN58" s="2">
        <v>7.1289176328933399</v>
      </c>
      <c r="AO58" s="2">
        <v>5.3186619579099403</v>
      </c>
      <c r="AP58" s="2">
        <v>3.7456653939793298</v>
      </c>
      <c r="AQ58" s="2">
        <v>6.6697229533172697</v>
      </c>
      <c r="AR58" s="2">
        <v>10.495876178022099</v>
      </c>
      <c r="AS58" s="3">
        <v>2477183</v>
      </c>
      <c r="AT58" s="23">
        <v>10.250417594654699</v>
      </c>
      <c r="AU58" s="23">
        <v>5.5725907838044</v>
      </c>
      <c r="AV58" s="17"/>
      <c r="AW58" s="18">
        <f t="shared" si="8"/>
        <v>0.49095799101214327</v>
      </c>
      <c r="AX58" s="18">
        <f t="shared" si="9"/>
        <v>0.50904200898785668</v>
      </c>
      <c r="AY58" s="18">
        <f t="shared" si="10"/>
        <v>0.14157205893059766</v>
      </c>
      <c r="AZ58" s="18">
        <f t="shared" si="11"/>
        <v>0.85842794106940234</v>
      </c>
      <c r="BA58" s="18">
        <v>30.08494</v>
      </c>
      <c r="BB58" s="18">
        <v>0.50883</v>
      </c>
      <c r="BC58" s="18">
        <v>0.49117</v>
      </c>
      <c r="BD58" s="18">
        <v>0.64724230000000005</v>
      </c>
      <c r="BE58" s="18">
        <v>0</v>
      </c>
      <c r="BF58" s="18">
        <v>7.1316470000000001</v>
      </c>
      <c r="BG58" s="18">
        <v>7.1316470000000001</v>
      </c>
      <c r="BH58" s="18">
        <v>1</v>
      </c>
      <c r="BI58" s="18">
        <v>0.83056479999999999</v>
      </c>
      <c r="BJ58" s="18">
        <v>0.18826850000000001</v>
      </c>
      <c r="BK58" s="18">
        <v>0.81173150000000005</v>
      </c>
      <c r="BL58" s="18">
        <v>0.29117480000000001</v>
      </c>
      <c r="BM58" s="18">
        <v>3.9300000000000004E-15</v>
      </c>
      <c r="BN58" s="18">
        <v>5.8655369999999998</v>
      </c>
      <c r="BO58" s="18">
        <v>5.8655369999999998</v>
      </c>
      <c r="BP58" s="18">
        <v>1</v>
      </c>
      <c r="BQ58" s="18">
        <v>0.44890160000000001</v>
      </c>
      <c r="BR58" s="18">
        <v>0.14753939999999999</v>
      </c>
      <c r="BS58" s="18">
        <v>0.85246060000000001</v>
      </c>
      <c r="BT58" s="18">
        <v>0.55497370000000001</v>
      </c>
      <c r="BU58" s="18">
        <v>0.69686530000000002</v>
      </c>
      <c r="BV58" s="18">
        <v>0.44306980000000001</v>
      </c>
      <c r="BW58" s="18">
        <v>3.6308699999999998</v>
      </c>
      <c r="BX58" s="18">
        <v>6.9154340000000003</v>
      </c>
      <c r="BY58" s="18">
        <v>1.904622</v>
      </c>
      <c r="BZ58" s="18">
        <v>0</v>
      </c>
      <c r="CA58" s="18">
        <v>0.49017630000000001</v>
      </c>
      <c r="CB58" s="18">
        <v>0.50982369999999999</v>
      </c>
      <c r="CC58" s="18">
        <v>0.14037289999999999</v>
      </c>
      <c r="CD58" s="18">
        <v>0.85962709999999998</v>
      </c>
      <c r="CE58" s="18">
        <v>9.1394400000000005</v>
      </c>
      <c r="CF58" s="18">
        <v>9.4801819999999992</v>
      </c>
      <c r="CG58" s="18">
        <v>3.5850659999999999</v>
      </c>
      <c r="CH58" s="18">
        <v>6.8476600000000003</v>
      </c>
      <c r="CI58" s="18">
        <v>1.771126</v>
      </c>
      <c r="CJ58" s="18">
        <v>1.5258339999999999</v>
      </c>
      <c r="CK58" s="18">
        <v>0.86150519999999997</v>
      </c>
      <c r="CL58" s="18">
        <v>1.2794239999999999</v>
      </c>
      <c r="CM58" s="18">
        <v>0.56350199999999995</v>
      </c>
      <c r="CN58" s="18">
        <v>0.60514999999999997</v>
      </c>
      <c r="CO58" s="18">
        <v>0.53786230000000002</v>
      </c>
      <c r="CP58" s="18">
        <v>1.6038799999999999E-2</v>
      </c>
      <c r="CQ58" s="18">
        <v>4.6529599999999997E-2</v>
      </c>
      <c r="CR58" s="18">
        <v>7.4577000000000003E-3</v>
      </c>
      <c r="CS58" s="18">
        <v>1.4351910000000001</v>
      </c>
      <c r="CT58" s="18">
        <v>1.7946854356355924</v>
      </c>
      <c r="CU58" s="18">
        <v>1.2824996986868225</v>
      </c>
      <c r="CV58" s="18">
        <v>1.096633</v>
      </c>
      <c r="CW58" s="18">
        <v>1.726799</v>
      </c>
      <c r="CX58" s="18">
        <v>1.3999950000000001</v>
      </c>
      <c r="CY58" s="18">
        <v>1.8215049782454418</v>
      </c>
      <c r="CZ58" s="17"/>
      <c r="DA58" s="18">
        <v>1.343755361301801</v>
      </c>
      <c r="DB58" s="18">
        <v>1.0478369140160171</v>
      </c>
      <c r="DC58" s="18">
        <v>1.2017939388855361</v>
      </c>
      <c r="DD58" s="18">
        <v>0.8890832396739613</v>
      </c>
      <c r="DE58" s="18">
        <v>1.3885985247238439</v>
      </c>
      <c r="DF58" s="18">
        <v>1.0991404721351079</v>
      </c>
      <c r="DG58" s="17"/>
      <c r="DI58" s="11"/>
      <c r="DJ58" s="33"/>
    </row>
    <row r="59" spans="1:114" x14ac:dyDescent="0.3">
      <c r="A59" s="5">
        <v>2004</v>
      </c>
      <c r="B59" s="3">
        <v>293262</v>
      </c>
      <c r="C59" s="3">
        <v>12217196</v>
      </c>
      <c r="D59" s="35">
        <v>7.0721788311338498</v>
      </c>
      <c r="E59" s="2">
        <v>6.9206340922901397</v>
      </c>
      <c r="F59" s="3">
        <v>8231960</v>
      </c>
      <c r="G59" s="3">
        <v>2281253</v>
      </c>
      <c r="H59" s="3">
        <v>1851920</v>
      </c>
      <c r="I59" s="3">
        <v>486204</v>
      </c>
      <c r="J59" s="3">
        <v>-634141</v>
      </c>
      <c r="K59" s="3">
        <f t="shared" si="4"/>
        <v>12217199</v>
      </c>
      <c r="L59" s="3">
        <f t="shared" si="5"/>
        <v>2702457</v>
      </c>
      <c r="M59" s="3">
        <f t="shared" si="6"/>
        <v>9514742</v>
      </c>
      <c r="N59" s="23">
        <v>7.3051166534423828</v>
      </c>
      <c r="O59" s="23">
        <v>4.9487428665161133</v>
      </c>
      <c r="P59" s="23">
        <v>8.7455205917358398</v>
      </c>
      <c r="Q59" s="22">
        <v>1344135.12</v>
      </c>
      <c r="R59" s="22">
        <v>1358321.88</v>
      </c>
      <c r="S59" s="22">
        <v>1359256</v>
      </c>
      <c r="T59" s="22">
        <v>8155486</v>
      </c>
      <c r="U59" s="3">
        <v>6947251</v>
      </c>
      <c r="V59" s="3">
        <v>1512635.5</v>
      </c>
      <c r="W59" s="3">
        <v>5434615</v>
      </c>
      <c r="X59" s="2">
        <v>0.58355438709259033</v>
      </c>
      <c r="Y59" s="2">
        <v>6.7085018157958984</v>
      </c>
      <c r="Z59" s="2">
        <v>5.3833255767822266</v>
      </c>
      <c r="AA59" s="2">
        <v>7.4134716987609863</v>
      </c>
      <c r="AB59" s="2">
        <v>10.680783271789551</v>
      </c>
      <c r="AC59" s="2">
        <v>7.4532208442687988</v>
      </c>
      <c r="AD59" s="2">
        <v>11.960007667541504</v>
      </c>
      <c r="AE59" s="2">
        <v>2.3992338180541992</v>
      </c>
      <c r="AF59" s="2">
        <v>1.3787628412246704</v>
      </c>
      <c r="AG59" s="2">
        <v>3.2403068542480469</v>
      </c>
      <c r="AH59" s="2">
        <v>0.57104784250259399</v>
      </c>
      <c r="AI59" s="2">
        <v>0.58717173337936401</v>
      </c>
      <c r="AJ59" s="3">
        <f t="shared" si="7"/>
        <v>9513808</v>
      </c>
      <c r="AK59" s="3">
        <v>2280444</v>
      </c>
      <c r="AL59" s="3">
        <v>7233364</v>
      </c>
      <c r="AM59" s="2">
        <v>6.30576401686585</v>
      </c>
      <c r="AN59" s="2">
        <v>7.3151758640728701</v>
      </c>
      <c r="AO59" s="2">
        <v>5.4619896692629402</v>
      </c>
      <c r="AP59" s="2">
        <v>3.8303112931746899</v>
      </c>
      <c r="AQ59" s="2">
        <v>6.8538526577201599</v>
      </c>
      <c r="AR59" s="2">
        <v>10.8524887421092</v>
      </c>
      <c r="AS59" s="3">
        <v>2703389</v>
      </c>
      <c r="AT59" s="23">
        <v>10.864699331848501</v>
      </c>
      <c r="AU59" s="23">
        <v>5.7376156189952496</v>
      </c>
      <c r="AV59" s="17"/>
      <c r="AW59" s="18">
        <f t="shared" si="8"/>
        <v>0.49720334954714213</v>
      </c>
      <c r="AX59" s="18">
        <f t="shared" si="9"/>
        <v>0.50279665045285782</v>
      </c>
      <c r="AY59" s="18">
        <f t="shared" si="10"/>
        <v>0.14277373446393371</v>
      </c>
      <c r="AZ59" s="18">
        <f t="shared" si="11"/>
        <v>0.8572262655360664</v>
      </c>
      <c r="BA59" s="18">
        <v>31.578710000000001</v>
      </c>
      <c r="BB59" s="18">
        <v>0.50938170000000005</v>
      </c>
      <c r="BC59" s="18">
        <v>0.49061830000000001</v>
      </c>
      <c r="BD59" s="18">
        <v>0.64724230000000005</v>
      </c>
      <c r="BE59" s="18">
        <v>0</v>
      </c>
      <c r="BF59" s="18">
        <v>7.3355889999999997</v>
      </c>
      <c r="BG59" s="18">
        <v>7.3355899999999998</v>
      </c>
      <c r="BH59" s="18">
        <v>1</v>
      </c>
      <c r="BI59" s="18">
        <v>0.83056479999999999</v>
      </c>
      <c r="BJ59" s="18">
        <v>0.1886061</v>
      </c>
      <c r="BK59" s="18">
        <v>0.8113939</v>
      </c>
      <c r="BL59" s="18">
        <v>0.29117480000000001</v>
      </c>
      <c r="BM59" s="18">
        <v>3.9300000000000004E-15</v>
      </c>
      <c r="BN59" s="18">
        <v>6.0375449999999997</v>
      </c>
      <c r="BO59" s="18">
        <v>6.0375449999999997</v>
      </c>
      <c r="BP59" s="18">
        <v>1</v>
      </c>
      <c r="BQ59" s="18">
        <v>0.44890160000000001</v>
      </c>
      <c r="BR59" s="18">
        <v>0.14611189999999999</v>
      </c>
      <c r="BS59" s="18">
        <v>0.85388810000000004</v>
      </c>
      <c r="BT59" s="18">
        <v>0.55497370000000001</v>
      </c>
      <c r="BU59" s="18">
        <v>0.69686530000000002</v>
      </c>
      <c r="BV59" s="18">
        <v>0.44306980000000001</v>
      </c>
      <c r="BW59" s="18">
        <v>3.6945619999999999</v>
      </c>
      <c r="BX59" s="18">
        <v>7.1331170000000004</v>
      </c>
      <c r="BY59" s="18">
        <v>1.930707</v>
      </c>
      <c r="BZ59" s="18">
        <v>0</v>
      </c>
      <c r="CA59" s="18">
        <v>0.49419229999999997</v>
      </c>
      <c r="CB59" s="18">
        <v>0.50580769999999997</v>
      </c>
      <c r="CC59" s="18">
        <v>0.1420447</v>
      </c>
      <c r="CD59" s="18">
        <v>0.85795529999999998</v>
      </c>
      <c r="CE59" s="18">
        <v>9.7968679999999999</v>
      </c>
      <c r="CF59" s="18">
        <v>9.9368510000000008</v>
      </c>
      <c r="CG59" s="18">
        <v>3.7176459999999998</v>
      </c>
      <c r="CH59" s="18">
        <v>7.0406680000000001</v>
      </c>
      <c r="CI59" s="18">
        <v>1.7672209999999999</v>
      </c>
      <c r="CJ59" s="18">
        <v>1.5242960000000001</v>
      </c>
      <c r="CK59" s="18">
        <v>0.86253849999999999</v>
      </c>
      <c r="CL59" s="18">
        <v>1.27502</v>
      </c>
      <c r="CM59" s="18">
        <v>0.56350199999999995</v>
      </c>
      <c r="CN59" s="18">
        <v>0.60514999999999997</v>
      </c>
      <c r="CO59" s="18">
        <v>0.53786230000000002</v>
      </c>
      <c r="CP59" s="18">
        <v>1.51074E-2</v>
      </c>
      <c r="CQ59" s="18">
        <v>3.9605899999999999E-2</v>
      </c>
      <c r="CR59" s="18">
        <v>7.9559000000000001E-3</v>
      </c>
      <c r="CS59" s="18">
        <v>1.4570369999999999</v>
      </c>
      <c r="CT59" s="18">
        <v>1.8671998117343687</v>
      </c>
      <c r="CU59" s="18">
        <v>1.2927234259291263</v>
      </c>
      <c r="CV59" s="18">
        <v>1.0967229999999999</v>
      </c>
      <c r="CW59" s="18">
        <v>1.772051</v>
      </c>
      <c r="CX59" s="18">
        <v>1.4212229999999999</v>
      </c>
      <c r="CY59" s="18">
        <v>1.8484753570307095</v>
      </c>
      <c r="CZ59" s="17"/>
      <c r="DA59" s="18">
        <v>1.3901465829587809</v>
      </c>
      <c r="DB59" s="18">
        <v>1.0630496061059569</v>
      </c>
      <c r="DC59" s="18">
        <v>1.2185285579435989</v>
      </c>
      <c r="DD59" s="18">
        <v>0.91061581890079257</v>
      </c>
      <c r="DE59" s="18">
        <v>1.444504792123438</v>
      </c>
      <c r="DF59" s="18">
        <v>1.112182430317084</v>
      </c>
      <c r="DG59" s="17"/>
      <c r="DI59" s="11"/>
      <c r="DJ59" s="33"/>
    </row>
    <row r="60" spans="1:114" x14ac:dyDescent="0.3">
      <c r="A60" s="5">
        <v>2005</v>
      </c>
      <c r="B60" s="3">
        <v>295993</v>
      </c>
      <c r="C60" s="3">
        <v>13039197</v>
      </c>
      <c r="D60" s="35">
        <v>7.31852051351109</v>
      </c>
      <c r="E60" s="2">
        <v>7.1376481042216904</v>
      </c>
      <c r="F60" s="3">
        <v>8769066</v>
      </c>
      <c r="G60" s="3">
        <v>2534720</v>
      </c>
      <c r="H60" s="3">
        <v>1962027</v>
      </c>
      <c r="I60" s="3">
        <v>513286</v>
      </c>
      <c r="J60" s="3">
        <v>-739903</v>
      </c>
      <c r="K60" s="3">
        <f t="shared" si="4"/>
        <v>13039207.120000001</v>
      </c>
      <c r="L60" s="3">
        <f t="shared" si="5"/>
        <v>2897595</v>
      </c>
      <c r="M60" s="3">
        <f t="shared" si="6"/>
        <v>10141612.120000001</v>
      </c>
      <c r="N60" s="23">
        <v>7.5520882606506348</v>
      </c>
      <c r="O60" s="23">
        <v>5.2669796943664551</v>
      </c>
      <c r="P60" s="23">
        <v>8.9647617340087891</v>
      </c>
      <c r="Q60" s="22">
        <v>1499106.88</v>
      </c>
      <c r="R60" s="22">
        <v>1398488.12</v>
      </c>
      <c r="S60" s="22">
        <v>1491384.12</v>
      </c>
      <c r="T60" s="22">
        <v>8650228</v>
      </c>
      <c r="U60" s="3">
        <v>7261420</v>
      </c>
      <c r="V60" s="3">
        <v>1548997.375</v>
      </c>
      <c r="W60" s="3">
        <v>5712423</v>
      </c>
      <c r="X60" s="2">
        <v>0.57479071617126465</v>
      </c>
      <c r="Y60" s="2">
        <v>6.9227242469787598</v>
      </c>
      <c r="Z60" s="2">
        <v>5.4303011894226074</v>
      </c>
      <c r="AA60" s="2">
        <v>7.7011833190917969</v>
      </c>
      <c r="AB60" s="2">
        <v>11.027340888977051</v>
      </c>
      <c r="AC60" s="2">
        <v>7.5717296600341797</v>
      </c>
      <c r="AD60" s="2">
        <v>12.411257743835449</v>
      </c>
      <c r="AE60" s="2">
        <v>2.4361965656280518</v>
      </c>
      <c r="AF60" s="2">
        <v>1.4021952152252197</v>
      </c>
      <c r="AG60" s="2">
        <v>3.2888140678405762</v>
      </c>
      <c r="AH60" s="2">
        <v>0.54824817180633545</v>
      </c>
      <c r="AI60" s="2">
        <v>0.5825493335723877</v>
      </c>
      <c r="AJ60" s="3">
        <f t="shared" si="7"/>
        <v>10048703</v>
      </c>
      <c r="AK60" s="3">
        <v>2337029</v>
      </c>
      <c r="AL60" s="3">
        <v>7711674</v>
      </c>
      <c r="AM60" s="2">
        <v>6.4789023704356801</v>
      </c>
      <c r="AN60" s="2">
        <v>7.5199813995276301</v>
      </c>
      <c r="AO60" s="2">
        <v>5.6495654486636404</v>
      </c>
      <c r="AP60" s="2">
        <v>3.7950245595795602</v>
      </c>
      <c r="AQ60" s="2">
        <v>7.0376126116328601</v>
      </c>
      <c r="AR60" s="2">
        <v>11.268006590813901</v>
      </c>
      <c r="AS60" s="3">
        <v>2990493</v>
      </c>
      <c r="AT60" s="23">
        <v>11.5231069042316</v>
      </c>
      <c r="AU60" s="23">
        <v>5.9843063670644199</v>
      </c>
      <c r="AV60" s="17"/>
      <c r="AW60" s="18">
        <f t="shared" si="8"/>
        <v>0.5012912194017638</v>
      </c>
      <c r="AX60" s="18">
        <f t="shared" si="9"/>
        <v>0.49870878059823626</v>
      </c>
      <c r="AY60" s="18">
        <f t="shared" si="10"/>
        <v>0.13917082573529801</v>
      </c>
      <c r="AZ60" s="18">
        <f t="shared" si="11"/>
        <v>0.86082917426470185</v>
      </c>
      <c r="BA60" s="18">
        <v>33.01831</v>
      </c>
      <c r="BB60" s="18">
        <v>0.51876489999999997</v>
      </c>
      <c r="BC60" s="18">
        <v>0.48123510000000003</v>
      </c>
      <c r="BD60" s="18">
        <v>0.64724230000000005</v>
      </c>
      <c r="BE60" s="18">
        <v>0</v>
      </c>
      <c r="BF60" s="18">
        <v>7.4076690000000003</v>
      </c>
      <c r="BG60" s="18">
        <v>7.4076700000000004</v>
      </c>
      <c r="BH60" s="18">
        <v>1</v>
      </c>
      <c r="BI60" s="18">
        <v>0.83056479999999999</v>
      </c>
      <c r="BJ60" s="18">
        <v>0.19442190000000001</v>
      </c>
      <c r="BK60" s="18">
        <v>0.80557809999999996</v>
      </c>
      <c r="BL60" s="18">
        <v>0.29117480000000001</v>
      </c>
      <c r="BM60" s="18">
        <v>3.9300000000000004E-15</v>
      </c>
      <c r="BN60" s="18">
        <v>6.1711960000000001</v>
      </c>
      <c r="BO60" s="18">
        <v>6.1711960000000001</v>
      </c>
      <c r="BP60" s="18">
        <v>1</v>
      </c>
      <c r="BQ60" s="18">
        <v>0.44890160000000001</v>
      </c>
      <c r="BR60" s="18">
        <v>0.14834649999999999</v>
      </c>
      <c r="BS60" s="18">
        <v>0.85165349999999995</v>
      </c>
      <c r="BT60" s="18">
        <v>0.55497370000000001</v>
      </c>
      <c r="BU60" s="18">
        <v>0.69686530000000002</v>
      </c>
      <c r="BV60" s="18">
        <v>0.44306980000000001</v>
      </c>
      <c r="BW60" s="18">
        <v>3.719408</v>
      </c>
      <c r="BX60" s="18">
        <v>7.3244389999999999</v>
      </c>
      <c r="BY60" s="18">
        <v>1.9692480000000001</v>
      </c>
      <c r="BZ60" s="18">
        <v>0</v>
      </c>
      <c r="CA60" s="18">
        <v>0.49936920000000001</v>
      </c>
      <c r="CB60" s="18">
        <v>0.50063080000000004</v>
      </c>
      <c r="CC60" s="18">
        <v>0.1409173</v>
      </c>
      <c r="CD60" s="18">
        <v>0.85908280000000004</v>
      </c>
      <c r="CE60" s="18">
        <v>10.26848</v>
      </c>
      <c r="CF60" s="18">
        <v>10.63378</v>
      </c>
      <c r="CG60" s="18">
        <v>3.5942569999999998</v>
      </c>
      <c r="CH60" s="18">
        <v>7.2785950000000001</v>
      </c>
      <c r="CI60" s="18">
        <v>1.7020690000000001</v>
      </c>
      <c r="CJ60" s="18">
        <v>1.4980789999999999</v>
      </c>
      <c r="CK60" s="18">
        <v>0.88015209999999999</v>
      </c>
      <c r="CL60" s="18">
        <v>1.256664</v>
      </c>
      <c r="CM60" s="18">
        <v>0.56350199999999995</v>
      </c>
      <c r="CN60" s="18">
        <v>0.60514999999999997</v>
      </c>
      <c r="CO60" s="18">
        <v>0.53786230000000002</v>
      </c>
      <c r="CP60" s="18">
        <v>8.8804999999999995E-3</v>
      </c>
      <c r="CQ60" s="18">
        <v>-7.6940000000000003E-3</v>
      </c>
      <c r="CR60" s="18">
        <v>1.3536100000000001E-2</v>
      </c>
      <c r="CS60" s="18">
        <v>1.4700340000000001</v>
      </c>
      <c r="CT60" s="18">
        <v>1.852890085339016</v>
      </c>
      <c r="CU60" s="18">
        <v>1.3103217988547473</v>
      </c>
      <c r="CV60" s="18">
        <v>1.0982700000000001</v>
      </c>
      <c r="CW60" s="18">
        <v>1.777398</v>
      </c>
      <c r="CX60" s="18">
        <v>1.433781</v>
      </c>
      <c r="CY60" s="18">
        <v>1.8493169670000826</v>
      </c>
      <c r="CZ60" s="17"/>
      <c r="DA60" s="18">
        <v>1.4420185100387359</v>
      </c>
      <c r="DB60" s="18">
        <v>1.073992663183112</v>
      </c>
      <c r="DC60" s="18">
        <v>1.2483991091460469</v>
      </c>
      <c r="DD60" s="18">
        <v>0.91105355468523708</v>
      </c>
      <c r="DE60" s="18">
        <v>1.503573910184322</v>
      </c>
      <c r="DF60" s="18">
        <v>1.1266775790328349</v>
      </c>
      <c r="DG60" s="17"/>
      <c r="DI60" s="11"/>
      <c r="DJ60" s="33"/>
    </row>
    <row r="61" spans="1:114" x14ac:dyDescent="0.3">
      <c r="A61" s="5">
        <v>2006</v>
      </c>
      <c r="B61" s="3">
        <v>298818</v>
      </c>
      <c r="C61" s="3">
        <v>13815583</v>
      </c>
      <c r="D61" s="35">
        <v>7.5223090043989602</v>
      </c>
      <c r="E61" s="2">
        <v>7.3577601625187699</v>
      </c>
      <c r="F61" s="3">
        <v>9277236</v>
      </c>
      <c r="G61" s="3">
        <v>2700954</v>
      </c>
      <c r="H61" s="3">
        <v>2072953</v>
      </c>
      <c r="I61" s="3">
        <v>550893</v>
      </c>
      <c r="J61" s="3">
        <v>-786453</v>
      </c>
      <c r="K61" s="3">
        <f t="shared" si="4"/>
        <v>13815577.379999999</v>
      </c>
      <c r="L61" s="3">
        <f t="shared" si="5"/>
        <v>3117501</v>
      </c>
      <c r="M61" s="3">
        <f t="shared" si="6"/>
        <v>10698076.379999999</v>
      </c>
      <c r="N61" s="23">
        <v>7.7677679061889648</v>
      </c>
      <c r="O61" s="23">
        <v>5.43829345703125</v>
      </c>
      <c r="P61" s="23">
        <v>9.2102899551391602</v>
      </c>
      <c r="Q61" s="22">
        <v>1619944.62</v>
      </c>
      <c r="R61" s="22">
        <v>1497556.38</v>
      </c>
      <c r="S61" s="22">
        <v>1562914.38</v>
      </c>
      <c r="T61" s="22">
        <v>9135162</v>
      </c>
      <c r="U61" s="3">
        <v>7746959.5</v>
      </c>
      <c r="V61" s="3">
        <v>1637687.75</v>
      </c>
      <c r="W61" s="3">
        <v>6109271.5</v>
      </c>
      <c r="X61" s="2">
        <v>0.57143062353134155</v>
      </c>
      <c r="Y61" s="2">
        <v>7.1175456047058105</v>
      </c>
      <c r="Z61" s="2">
        <v>5.6408205032348633</v>
      </c>
      <c r="AA61" s="2">
        <v>7.8938612937927246</v>
      </c>
      <c r="AB61" s="2">
        <v>11.394719123840332</v>
      </c>
      <c r="AC61" s="2">
        <v>7.7608857154846191</v>
      </c>
      <c r="AD61" s="2">
        <v>12.859340667724609</v>
      </c>
      <c r="AE61" s="2">
        <v>2.5069975852966309</v>
      </c>
      <c r="AF61" s="2">
        <v>1.4398348331451416</v>
      </c>
      <c r="AG61" s="2">
        <v>3.3863639831542969</v>
      </c>
      <c r="AH61" s="2">
        <v>0.53147870302200317</v>
      </c>
      <c r="AI61" s="2">
        <v>0.58326923847198486</v>
      </c>
      <c r="AJ61" s="3">
        <f t="shared" si="7"/>
        <v>10632724</v>
      </c>
      <c r="AK61" s="3">
        <v>2451088</v>
      </c>
      <c r="AL61" s="3">
        <v>8181636</v>
      </c>
      <c r="AM61" s="2">
        <v>6.6614410821893904</v>
      </c>
      <c r="AN61" s="2">
        <v>7.7389945175201698</v>
      </c>
      <c r="AO61" s="2">
        <v>5.9017547099352203</v>
      </c>
      <c r="AP61" s="2">
        <v>3.81016060103771</v>
      </c>
      <c r="AQ61" s="2">
        <v>7.1913546446820398</v>
      </c>
      <c r="AR61" s="2">
        <v>11.699121051148801</v>
      </c>
      <c r="AS61" s="3">
        <v>3182858</v>
      </c>
      <c r="AT61" s="23">
        <v>11.831291759465399</v>
      </c>
      <c r="AU61" s="23">
        <v>6.2033419158008298</v>
      </c>
      <c r="AV61" s="17"/>
      <c r="AW61" s="18">
        <f t="shared" si="8"/>
        <v>0.50895896425195086</v>
      </c>
      <c r="AX61" s="18">
        <f t="shared" si="9"/>
        <v>0.49104103574804914</v>
      </c>
      <c r="AY61" s="18">
        <f t="shared" si="10"/>
        <v>0.14084416858222101</v>
      </c>
      <c r="AZ61" s="18">
        <f t="shared" si="11"/>
        <v>0.85915583141777907</v>
      </c>
      <c r="BA61" s="18">
        <v>34.51867</v>
      </c>
      <c r="BB61" s="18">
        <v>0.52001010000000003</v>
      </c>
      <c r="BC61" s="18">
        <v>0.47998990000000002</v>
      </c>
      <c r="BD61" s="18">
        <v>0.64724230000000005</v>
      </c>
      <c r="BE61" s="18">
        <v>0</v>
      </c>
      <c r="BF61" s="18">
        <v>7.5900790000000002</v>
      </c>
      <c r="BG61" s="18">
        <v>7.5900800000000004</v>
      </c>
      <c r="BH61" s="18">
        <v>1</v>
      </c>
      <c r="BI61" s="18">
        <v>0.83056479999999999</v>
      </c>
      <c r="BJ61" s="18">
        <v>0.1952044</v>
      </c>
      <c r="BK61" s="18">
        <v>0.80479560000000006</v>
      </c>
      <c r="BL61" s="18">
        <v>0.29117480000000001</v>
      </c>
      <c r="BM61" s="18">
        <v>3.9300000000000004E-15</v>
      </c>
      <c r="BN61" s="18">
        <v>6.3334039999999998</v>
      </c>
      <c r="BO61" s="18">
        <v>6.3334039999999998</v>
      </c>
      <c r="BP61" s="18">
        <v>1</v>
      </c>
      <c r="BQ61" s="18">
        <v>0.44890160000000001</v>
      </c>
      <c r="BR61" s="18">
        <v>0.14743100000000001</v>
      </c>
      <c r="BS61" s="18">
        <v>0.85256900000000002</v>
      </c>
      <c r="BT61" s="18">
        <v>0.55497370000000001</v>
      </c>
      <c r="BU61" s="18">
        <v>0.69686530000000002</v>
      </c>
      <c r="BV61" s="18">
        <v>0.44306980000000001</v>
      </c>
      <c r="BW61" s="18">
        <v>3.7784080000000002</v>
      </c>
      <c r="BX61" s="18">
        <v>7.5323560000000001</v>
      </c>
      <c r="BY61" s="18">
        <v>1.9935259999999999</v>
      </c>
      <c r="BZ61" s="18">
        <v>0</v>
      </c>
      <c r="CA61" s="18">
        <v>0.50549069999999996</v>
      </c>
      <c r="CB61" s="18">
        <v>0.49450929999999998</v>
      </c>
      <c r="CC61" s="18">
        <v>0.13985359999999999</v>
      </c>
      <c r="CD61" s="18">
        <v>0.86014639999999998</v>
      </c>
      <c r="CE61" s="18">
        <v>10.754519999999999</v>
      </c>
      <c r="CF61" s="18">
        <v>10.838340000000001</v>
      </c>
      <c r="CG61" s="18">
        <v>3.7118280000000001</v>
      </c>
      <c r="CH61" s="18">
        <v>7.4647129999999997</v>
      </c>
      <c r="CI61" s="18">
        <v>1.6935990000000001</v>
      </c>
      <c r="CJ61" s="18">
        <v>1.484758</v>
      </c>
      <c r="CK61" s="18">
        <v>0.87668809999999997</v>
      </c>
      <c r="CL61" s="18">
        <v>1.2476240000000001</v>
      </c>
      <c r="CM61" s="18">
        <v>0.56350199999999995</v>
      </c>
      <c r="CN61" s="18">
        <v>0.60514999999999997</v>
      </c>
      <c r="CO61" s="18">
        <v>0.53786230000000002</v>
      </c>
      <c r="CP61" s="18">
        <v>-2.6946000000000001E-3</v>
      </c>
      <c r="CQ61" s="18">
        <v>1.2337600000000001E-2</v>
      </c>
      <c r="CR61" s="18">
        <v>-7.2407000000000001E-3</v>
      </c>
      <c r="CS61" s="18">
        <v>1.4660789999999999</v>
      </c>
      <c r="CT61" s="18">
        <v>1.8758940441800505</v>
      </c>
      <c r="CU61" s="18">
        <v>1.3008631415934628</v>
      </c>
      <c r="CV61" s="18">
        <v>1.0912520000000001</v>
      </c>
      <c r="CW61" s="18">
        <v>1.772707</v>
      </c>
      <c r="CX61" s="18">
        <v>1.4296759999999999</v>
      </c>
      <c r="CY61" s="18">
        <v>1.8335496523126125</v>
      </c>
      <c r="CZ61" s="17"/>
      <c r="DA61" s="18">
        <v>1.4976287275874101</v>
      </c>
      <c r="DB61" s="18">
        <v>1.0964323016673601</v>
      </c>
      <c r="DC61" s="18">
        <v>1.2815284339804081</v>
      </c>
      <c r="DD61" s="18">
        <v>0.9388015147471731</v>
      </c>
      <c r="DE61" s="18">
        <v>1.5666294267769321</v>
      </c>
      <c r="DF61" s="18">
        <v>1.147235282291444</v>
      </c>
      <c r="DG61" s="17"/>
      <c r="DI61" s="11"/>
      <c r="DJ61" s="33"/>
    </row>
    <row r="62" spans="1:114" x14ac:dyDescent="0.3">
      <c r="A62" s="5">
        <v>2007</v>
      </c>
      <c r="B62" s="3">
        <v>301696</v>
      </c>
      <c r="C62" s="3">
        <v>14474228</v>
      </c>
      <c r="D62" s="35">
        <v>7.6730406679235097</v>
      </c>
      <c r="E62" s="2">
        <v>7.5571055820575097</v>
      </c>
      <c r="F62" s="3">
        <v>9746594</v>
      </c>
      <c r="G62" s="3">
        <v>2673011</v>
      </c>
      <c r="H62" s="3">
        <v>2198532</v>
      </c>
      <c r="I62" s="3">
        <v>592024</v>
      </c>
      <c r="J62" s="3">
        <v>-735933</v>
      </c>
      <c r="K62" s="3">
        <f t="shared" si="4"/>
        <v>14474231.379999999</v>
      </c>
      <c r="L62" s="3">
        <f t="shared" si="5"/>
        <v>3253758</v>
      </c>
      <c r="M62" s="3">
        <f t="shared" si="6"/>
        <v>11220473.379999999</v>
      </c>
      <c r="N62" s="23">
        <v>8.0017738342285156</v>
      </c>
      <c r="O62" s="23">
        <v>5.5929722785949707</v>
      </c>
      <c r="P62" s="23">
        <v>9.492365837097168</v>
      </c>
      <c r="Q62" s="22">
        <v>1646062.5</v>
      </c>
      <c r="R62" s="22">
        <v>1607695.5</v>
      </c>
      <c r="S62" s="22">
        <v>1585016.38</v>
      </c>
      <c r="T62" s="22">
        <v>9635457</v>
      </c>
      <c r="U62" s="3">
        <v>8060485.5</v>
      </c>
      <c r="V62" s="3">
        <v>1713762.125</v>
      </c>
      <c r="W62" s="3">
        <v>6346723.5</v>
      </c>
      <c r="X62" s="2">
        <v>0.57245612144470215</v>
      </c>
      <c r="Y62" s="2">
        <v>7.2266082763671875</v>
      </c>
      <c r="Z62" s="2">
        <v>5.7021651268005371</v>
      </c>
      <c r="AA62" s="2">
        <v>8.0252933502197266</v>
      </c>
      <c r="AB62" s="2">
        <v>11.674237251281738</v>
      </c>
      <c r="AC62" s="2">
        <v>7.9950990676879883</v>
      </c>
      <c r="AD62" s="2">
        <v>13.150361061096191</v>
      </c>
      <c r="AE62" s="2">
        <v>2.5517029762268066</v>
      </c>
      <c r="AF62" s="2">
        <v>1.4242894649505615</v>
      </c>
      <c r="AG62" s="2">
        <v>3.4733090400695801</v>
      </c>
      <c r="AH62" s="2">
        <v>0.52939337491989136</v>
      </c>
      <c r="AI62" s="2">
        <v>0.58526849746704102</v>
      </c>
      <c r="AJ62" s="3">
        <f t="shared" si="7"/>
        <v>11243144</v>
      </c>
      <c r="AK62" s="3">
        <v>2557995</v>
      </c>
      <c r="AL62" s="3">
        <v>8685149</v>
      </c>
      <c r="AM62" s="2">
        <v>6.8462264189505504</v>
      </c>
      <c r="AN62" s="2">
        <v>7.9624123276675602</v>
      </c>
      <c r="AO62" s="2">
        <v>6.2180636441105603</v>
      </c>
      <c r="AP62" s="2">
        <v>3.77407096245827</v>
      </c>
      <c r="AQ62" s="2">
        <v>7.3696002793752502</v>
      </c>
      <c r="AR62" s="2">
        <v>12.118730516559101</v>
      </c>
      <c r="AS62" s="3">
        <v>3231084</v>
      </c>
      <c r="AT62" s="23">
        <v>11.762806236080101</v>
      </c>
      <c r="AU62" s="23">
        <v>6.3339980540450096</v>
      </c>
      <c r="AV62" s="17"/>
      <c r="AW62" s="18">
        <f t="shared" si="8"/>
        <v>0.50944670840100326</v>
      </c>
      <c r="AX62" s="18">
        <f t="shared" si="9"/>
        <v>0.4905532915989968</v>
      </c>
      <c r="AY62" s="18">
        <f t="shared" si="10"/>
        <v>0.14299330192310386</v>
      </c>
      <c r="AZ62" s="18">
        <f t="shared" si="11"/>
        <v>0.85700669807689611</v>
      </c>
      <c r="BA62" s="18">
        <v>36.083500000000001</v>
      </c>
      <c r="BB62" s="18">
        <v>0.51948070000000002</v>
      </c>
      <c r="BC62" s="18">
        <v>0.48051929999999998</v>
      </c>
      <c r="BD62" s="18">
        <v>0.64724230000000005</v>
      </c>
      <c r="BE62" s="18">
        <v>0</v>
      </c>
      <c r="BF62" s="18">
        <v>7.7811079999999997</v>
      </c>
      <c r="BG62" s="18">
        <v>7.7811079999999997</v>
      </c>
      <c r="BH62" s="18">
        <v>1</v>
      </c>
      <c r="BI62" s="18">
        <v>0.83056479999999999</v>
      </c>
      <c r="BJ62" s="18">
        <v>0.1948714</v>
      </c>
      <c r="BK62" s="18">
        <v>0.80512859999999997</v>
      </c>
      <c r="BL62" s="18">
        <v>0.29117480000000001</v>
      </c>
      <c r="BM62" s="18">
        <v>3.9300000000000004E-15</v>
      </c>
      <c r="BN62" s="18">
        <v>6.488334</v>
      </c>
      <c r="BO62" s="18">
        <v>6.488334</v>
      </c>
      <c r="BP62" s="18">
        <v>1</v>
      </c>
      <c r="BQ62" s="18">
        <v>0.44890160000000001</v>
      </c>
      <c r="BR62" s="18">
        <v>0.1460602</v>
      </c>
      <c r="BS62" s="18">
        <v>0.85393980000000003</v>
      </c>
      <c r="BT62" s="18">
        <v>0.55497370000000001</v>
      </c>
      <c r="BU62" s="18">
        <v>0.69686530000000002</v>
      </c>
      <c r="BV62" s="18">
        <v>0.44306980000000001</v>
      </c>
      <c r="BW62" s="18">
        <v>3.841399</v>
      </c>
      <c r="BX62" s="18">
        <v>7.7258269999999998</v>
      </c>
      <c r="BY62" s="18">
        <v>2.0112009999999998</v>
      </c>
      <c r="BZ62" s="18">
        <v>0</v>
      </c>
      <c r="CA62" s="18">
        <v>0.50983409999999996</v>
      </c>
      <c r="CB62" s="18">
        <v>0.49016589999999999</v>
      </c>
      <c r="CC62" s="18">
        <v>0.14165559999999999</v>
      </c>
      <c r="CD62" s="18">
        <v>0.85834440000000001</v>
      </c>
      <c r="CE62" s="18">
        <v>10.62893</v>
      </c>
      <c r="CF62" s="18">
        <v>10.661619999999999</v>
      </c>
      <c r="CG62" s="18">
        <v>3.867909</v>
      </c>
      <c r="CH62" s="18">
        <v>7.62486</v>
      </c>
      <c r="CI62" s="18">
        <v>1.697195</v>
      </c>
      <c r="CJ62" s="18">
        <v>1.498667</v>
      </c>
      <c r="CK62" s="18">
        <v>0.88302550000000002</v>
      </c>
      <c r="CL62" s="18">
        <v>1.257066</v>
      </c>
      <c r="CM62" s="18">
        <v>0.56350199999999995</v>
      </c>
      <c r="CN62" s="18">
        <v>0.60514999999999997</v>
      </c>
      <c r="CO62" s="18">
        <v>0.53786230000000002</v>
      </c>
      <c r="CP62" s="18">
        <v>-5.3314E-3</v>
      </c>
      <c r="CQ62" s="18">
        <v>3.9553000000000001E-3</v>
      </c>
      <c r="CR62" s="18">
        <v>-7.5408000000000003E-3</v>
      </c>
      <c r="CS62" s="18">
        <v>1.458283</v>
      </c>
      <c r="CT62" s="18">
        <v>1.8832783956123547</v>
      </c>
      <c r="CU62" s="18">
        <v>1.2910930062302641</v>
      </c>
      <c r="CV62" s="18">
        <v>1.100284</v>
      </c>
      <c r="CW62" s="18">
        <v>1.785377</v>
      </c>
      <c r="CX62" s="18">
        <v>1.4225399999999999</v>
      </c>
      <c r="CY62" s="18">
        <v>1.8430852381279481</v>
      </c>
      <c r="CZ62" s="17"/>
      <c r="DA62" s="18">
        <v>1.5465944765387829</v>
      </c>
      <c r="DB62" s="18">
        <v>1.104791033959132</v>
      </c>
      <c r="DC62" s="18">
        <v>1.310136441875942</v>
      </c>
      <c r="DD62" s="18">
        <v>0.94089881847120083</v>
      </c>
      <c r="DE62" s="18">
        <v>1.622420078846045</v>
      </c>
      <c r="DF62" s="18">
        <v>1.1577149896482839</v>
      </c>
      <c r="DG62" s="17"/>
      <c r="DI62" s="11"/>
      <c r="DJ62" s="33"/>
    </row>
    <row r="63" spans="1:114" x14ac:dyDescent="0.3">
      <c r="A63" s="5">
        <v>2008</v>
      </c>
      <c r="B63" s="3">
        <v>304543</v>
      </c>
      <c r="C63" s="3">
        <v>14769862</v>
      </c>
      <c r="D63" s="35">
        <v>7.6817488104856801</v>
      </c>
      <c r="E63" s="2">
        <v>7.7027165417972601</v>
      </c>
      <c r="F63" s="3">
        <v>10050083</v>
      </c>
      <c r="G63" s="3">
        <v>2477613</v>
      </c>
      <c r="H63" s="3">
        <v>2353440</v>
      </c>
      <c r="I63" s="3">
        <v>629595</v>
      </c>
      <c r="J63" s="3">
        <v>-740870</v>
      </c>
      <c r="K63" s="3">
        <f t="shared" si="4"/>
        <v>14769881.879999999</v>
      </c>
      <c r="L63" s="3">
        <f t="shared" si="5"/>
        <v>3229592</v>
      </c>
      <c r="M63" s="3">
        <f t="shared" si="6"/>
        <v>11540289.879999999</v>
      </c>
      <c r="N63" s="23">
        <v>8.1826372146606445</v>
      </c>
      <c r="O63" s="23">
        <v>5.7639245986938477</v>
      </c>
      <c r="P63" s="23">
        <v>9.6849002838134766</v>
      </c>
      <c r="Q63" s="22">
        <v>1580098.12</v>
      </c>
      <c r="R63" s="22">
        <v>1649493.88</v>
      </c>
      <c r="S63" s="22">
        <v>1556345.88</v>
      </c>
      <c r="T63" s="22">
        <v>9983944</v>
      </c>
      <c r="U63" s="3">
        <v>8103027</v>
      </c>
      <c r="V63" s="3">
        <v>1707546.375</v>
      </c>
      <c r="W63" s="3">
        <v>6395480.5</v>
      </c>
      <c r="X63" s="2">
        <v>0.56755262613296509</v>
      </c>
      <c r="Y63" s="2">
        <v>7.1900858879089355</v>
      </c>
      <c r="Z63" s="2">
        <v>5.5270705223083496</v>
      </c>
      <c r="AA63" s="2">
        <v>8.0460367202758789</v>
      </c>
      <c r="AB63" s="2">
        <v>11.996634483337402</v>
      </c>
      <c r="AC63" s="2">
        <v>8.2383127212524414</v>
      </c>
      <c r="AD63" s="2">
        <v>13.501516342163086</v>
      </c>
      <c r="AE63" s="2">
        <v>2.542844295501709</v>
      </c>
      <c r="AF63" s="2">
        <v>1.3953673839569092</v>
      </c>
      <c r="AG63" s="2">
        <v>3.4771215915679932</v>
      </c>
      <c r="AH63" s="2">
        <v>0.53044825792312622</v>
      </c>
      <c r="AI63" s="2">
        <v>0.57842636108398438</v>
      </c>
      <c r="AJ63" s="3">
        <f t="shared" si="7"/>
        <v>11633412</v>
      </c>
      <c r="AK63" s="3">
        <v>2476327</v>
      </c>
      <c r="AL63" s="3">
        <v>9157085</v>
      </c>
      <c r="AM63" s="2">
        <v>6.9386578436599304</v>
      </c>
      <c r="AN63" s="2">
        <v>8.1290498200644095</v>
      </c>
      <c r="AO63" s="2">
        <v>6.3078096170672397</v>
      </c>
      <c r="AP63" s="2">
        <v>3.6015956190998399</v>
      </c>
      <c r="AQ63" s="2">
        <v>7.5249786753834904</v>
      </c>
      <c r="AR63" s="2">
        <v>12.513412450409399</v>
      </c>
      <c r="AS63" s="3">
        <v>3136450</v>
      </c>
      <c r="AT63" s="23">
        <v>11.268095768374099</v>
      </c>
      <c r="AU63" s="23">
        <v>6.4184248281964997</v>
      </c>
      <c r="AV63" s="17"/>
      <c r="AW63" s="18">
        <f t="shared" si="8"/>
        <v>0.50378649196351033</v>
      </c>
      <c r="AX63" s="18">
        <f t="shared" si="9"/>
        <v>0.49621350803648967</v>
      </c>
      <c r="AY63" s="18">
        <f t="shared" si="10"/>
        <v>0.14178903063863699</v>
      </c>
      <c r="AZ63" s="18">
        <f t="shared" si="11"/>
        <v>0.8582109693613631</v>
      </c>
      <c r="BA63" s="18">
        <v>36.865119999999997</v>
      </c>
      <c r="BB63" s="18">
        <v>0.52198330000000004</v>
      </c>
      <c r="BC63" s="18">
        <v>0.47801670000000002</v>
      </c>
      <c r="BD63" s="18">
        <v>0.64724230000000005</v>
      </c>
      <c r="BE63" s="18">
        <v>0</v>
      </c>
      <c r="BF63" s="18">
        <v>7.8241829999999997</v>
      </c>
      <c r="BG63" s="18">
        <v>7.8241839999999998</v>
      </c>
      <c r="BH63" s="18">
        <v>1</v>
      </c>
      <c r="BI63" s="18">
        <v>0.83056479999999999</v>
      </c>
      <c r="BJ63" s="18">
        <v>0.1964495</v>
      </c>
      <c r="BK63" s="18">
        <v>0.80355049999999995</v>
      </c>
      <c r="BL63" s="18">
        <v>0.29117480000000001</v>
      </c>
      <c r="BM63" s="18">
        <v>3.9300000000000004E-15</v>
      </c>
      <c r="BN63" s="18">
        <v>6.5455550000000002</v>
      </c>
      <c r="BO63" s="18">
        <v>6.5455550000000002</v>
      </c>
      <c r="BP63" s="18">
        <v>1</v>
      </c>
      <c r="BQ63" s="18">
        <v>0.44890160000000001</v>
      </c>
      <c r="BR63" s="18">
        <v>0.1469742</v>
      </c>
      <c r="BS63" s="18">
        <v>0.85302579999999995</v>
      </c>
      <c r="BT63" s="18">
        <v>0.55497370000000001</v>
      </c>
      <c r="BU63" s="18">
        <v>0.69686530000000002</v>
      </c>
      <c r="BV63" s="18">
        <v>0.44306980000000001</v>
      </c>
      <c r="BW63" s="18">
        <v>3.8682029999999998</v>
      </c>
      <c r="BX63" s="18">
        <v>7.8009089999999999</v>
      </c>
      <c r="BY63" s="18">
        <v>2.0166750000000002</v>
      </c>
      <c r="BZ63" s="18">
        <v>0</v>
      </c>
      <c r="CA63" s="18">
        <v>0.50859489999999996</v>
      </c>
      <c r="CB63" s="18">
        <v>0.49140509999999998</v>
      </c>
      <c r="CC63" s="18">
        <v>0.1422274</v>
      </c>
      <c r="CD63" s="18">
        <v>0.8577726</v>
      </c>
      <c r="CE63" s="18">
        <v>9.9503629999999994</v>
      </c>
      <c r="CF63" s="18">
        <v>10.20824</v>
      </c>
      <c r="CG63" s="18">
        <v>3.8428620000000002</v>
      </c>
      <c r="CH63" s="18">
        <v>7.7164320000000002</v>
      </c>
      <c r="CI63" s="18">
        <v>1.680261</v>
      </c>
      <c r="CJ63" s="18">
        <v>1.508961</v>
      </c>
      <c r="CK63" s="18">
        <v>0.89805109999999999</v>
      </c>
      <c r="CL63" s="18">
        <v>1.2663530000000001</v>
      </c>
      <c r="CM63" s="18">
        <v>0.56350199999999995</v>
      </c>
      <c r="CN63" s="18">
        <v>0.60514999999999997</v>
      </c>
      <c r="CO63" s="18">
        <v>0.53786230000000002</v>
      </c>
      <c r="CP63" s="18">
        <v>-1.49979E-2</v>
      </c>
      <c r="CQ63" s="18">
        <v>-3.2708000000000001E-2</v>
      </c>
      <c r="CR63" s="18">
        <v>-9.5396999999999999E-3</v>
      </c>
      <c r="CS63" s="18">
        <v>1.4365749999999999</v>
      </c>
      <c r="CT63" s="18">
        <v>1.8226161653853967</v>
      </c>
      <c r="CU63" s="18">
        <v>1.2788137081860154</v>
      </c>
      <c r="CV63" s="18">
        <v>1.1135060000000001</v>
      </c>
      <c r="CW63" s="18">
        <v>1.7666120000000001</v>
      </c>
      <c r="CX63" s="18">
        <v>1.401815</v>
      </c>
      <c r="CY63" s="18">
        <v>1.8376151511131944</v>
      </c>
      <c r="CZ63" s="17"/>
      <c r="DA63" s="18">
        <v>1.587470078406201</v>
      </c>
      <c r="DB63" s="18">
        <v>1.1007114274163501</v>
      </c>
      <c r="DC63" s="18">
        <v>1.328584931791019</v>
      </c>
      <c r="DD63" s="18">
        <v>0.92383371065383879</v>
      </c>
      <c r="DE63" s="18">
        <v>1.670836930198579</v>
      </c>
      <c r="DF63" s="18">
        <v>1.1580774301467791</v>
      </c>
      <c r="DG63" s="17"/>
      <c r="DI63" s="11"/>
      <c r="DJ63" s="33"/>
    </row>
    <row r="64" spans="1:114" x14ac:dyDescent="0.3">
      <c r="A64" s="5">
        <v>2009</v>
      </c>
      <c r="B64" s="3">
        <v>307240</v>
      </c>
      <c r="C64" s="3">
        <v>14478067</v>
      </c>
      <c r="D64" s="35">
        <v>7.4837956728611204</v>
      </c>
      <c r="E64" s="2">
        <v>7.7502594433936096</v>
      </c>
      <c r="F64" s="3">
        <v>9891218</v>
      </c>
      <c r="G64" s="3">
        <v>1929664</v>
      </c>
      <c r="H64" s="3">
        <v>2433429</v>
      </c>
      <c r="I64" s="3">
        <v>642909</v>
      </c>
      <c r="J64" s="3">
        <v>-419153</v>
      </c>
      <c r="K64" s="3">
        <f t="shared" si="4"/>
        <v>14478059.879999999</v>
      </c>
      <c r="L64" s="3">
        <f t="shared" si="5"/>
        <v>2923786</v>
      </c>
      <c r="M64" s="3">
        <f t="shared" si="6"/>
        <v>11554273.879999999</v>
      </c>
      <c r="N64" s="23">
        <v>8.2320652008056641</v>
      </c>
      <c r="O64" s="23">
        <v>5.5774502754211426</v>
      </c>
      <c r="P64" s="23">
        <v>9.8488588333129883</v>
      </c>
      <c r="Q64" s="22">
        <v>1301271.1200000001</v>
      </c>
      <c r="R64" s="22">
        <v>1622514.88</v>
      </c>
      <c r="S64" s="22">
        <v>1422072.88</v>
      </c>
      <c r="T64" s="22">
        <v>10132201</v>
      </c>
      <c r="U64" s="3">
        <v>7824084.5</v>
      </c>
      <c r="V64" s="3">
        <v>1506983.375</v>
      </c>
      <c r="W64" s="3">
        <v>6317101.5</v>
      </c>
      <c r="X64" s="2">
        <v>0.5601380467414856</v>
      </c>
      <c r="Y64" s="2">
        <v>7.0002403259277344</v>
      </c>
      <c r="Z64" s="2">
        <v>5.2170701026916504</v>
      </c>
      <c r="AA64" s="2">
        <v>7.9010329246520996</v>
      </c>
      <c r="AB64" s="2">
        <v>12.125386238098145</v>
      </c>
      <c r="AC64" s="2">
        <v>8.3436031341552734</v>
      </c>
      <c r="AD64" s="2">
        <v>13.637883186340332</v>
      </c>
      <c r="AE64" s="2">
        <v>2.4314415454864502</v>
      </c>
      <c r="AF64" s="2">
        <v>1.237369179725647</v>
      </c>
      <c r="AG64" s="2">
        <v>3.388697624206543</v>
      </c>
      <c r="AH64" s="2">
        <v>0.52082961797714233</v>
      </c>
      <c r="AI64" s="2">
        <v>0.5709647536277771</v>
      </c>
      <c r="AJ64" s="3">
        <f t="shared" si="7"/>
        <v>11754721</v>
      </c>
      <c r="AK64" s="3">
        <v>2498526</v>
      </c>
      <c r="AL64" s="3">
        <v>9256195</v>
      </c>
      <c r="AM64" s="2">
        <v>6.9443181554822102</v>
      </c>
      <c r="AN64" s="2">
        <v>8.2071229192923507</v>
      </c>
      <c r="AO64" s="2">
        <v>6.4570343120936204</v>
      </c>
      <c r="AP64" s="2">
        <v>3.5499015784460801</v>
      </c>
      <c r="AQ64" s="2">
        <v>7.5805000834471699</v>
      </c>
      <c r="AR64" s="2">
        <v>12.5562058177089</v>
      </c>
      <c r="AS64" s="3">
        <v>2723344</v>
      </c>
      <c r="AT64" s="23">
        <v>9.8570434298440901</v>
      </c>
      <c r="AU64" s="23">
        <v>6.3708364007648699</v>
      </c>
      <c r="AV64" s="17"/>
      <c r="AW64" s="18">
        <f t="shared" si="8"/>
        <v>0.47782106116597833</v>
      </c>
      <c r="AX64" s="18">
        <f t="shared" si="9"/>
        <v>0.52217893883402167</v>
      </c>
      <c r="AY64" s="18">
        <f t="shared" si="10"/>
        <v>0.13803097382903312</v>
      </c>
      <c r="AZ64" s="18">
        <f t="shared" si="11"/>
        <v>0.86196902617096693</v>
      </c>
      <c r="BA64" s="18">
        <v>36.926650000000002</v>
      </c>
      <c r="BB64" s="18">
        <v>0.50957770000000002</v>
      </c>
      <c r="BC64" s="18">
        <v>0.49042229999999998</v>
      </c>
      <c r="BD64" s="18">
        <v>0.64724230000000005</v>
      </c>
      <c r="BE64" s="18">
        <v>0</v>
      </c>
      <c r="BF64" s="18">
        <v>7.976801</v>
      </c>
      <c r="BG64" s="18">
        <v>7.976801</v>
      </c>
      <c r="BH64" s="18">
        <v>1</v>
      </c>
      <c r="BI64" s="18">
        <v>0.83056479999999999</v>
      </c>
      <c r="BJ64" s="18">
        <v>0.18872610000000001</v>
      </c>
      <c r="BK64" s="18">
        <v>0.81127389999999999</v>
      </c>
      <c r="BL64" s="18">
        <v>0.29117480000000001</v>
      </c>
      <c r="BM64" s="18">
        <v>3.9300000000000004E-15</v>
      </c>
      <c r="BN64" s="18">
        <v>6.5669459999999997</v>
      </c>
      <c r="BO64" s="18">
        <v>6.5669459999999997</v>
      </c>
      <c r="BP64" s="18">
        <v>0.99999990000000005</v>
      </c>
      <c r="BQ64" s="18">
        <v>0.44890160000000001</v>
      </c>
      <c r="BR64" s="18">
        <v>0.14316989999999999</v>
      </c>
      <c r="BS64" s="18">
        <v>0.85683010000000004</v>
      </c>
      <c r="BT64" s="18">
        <v>0.55497370000000001</v>
      </c>
      <c r="BU64" s="18">
        <v>0.69686530000000002</v>
      </c>
      <c r="BV64" s="18">
        <v>0.44306980000000001</v>
      </c>
      <c r="BW64" s="18">
        <v>3.9350999999999998</v>
      </c>
      <c r="BX64" s="18">
        <v>7.7864659999999999</v>
      </c>
      <c r="BY64" s="18">
        <v>1.978721</v>
      </c>
      <c r="BZ64" s="18">
        <v>0</v>
      </c>
      <c r="CA64" s="18">
        <v>0.494896</v>
      </c>
      <c r="CB64" s="18">
        <v>0.505104</v>
      </c>
      <c r="CC64" s="18">
        <v>0.13981399999999999</v>
      </c>
      <c r="CD64" s="18">
        <v>0.86018600000000001</v>
      </c>
      <c r="CE64" s="18">
        <v>8.5011430000000008</v>
      </c>
      <c r="CF64" s="18">
        <v>9.1453790000000001</v>
      </c>
      <c r="CG64" s="18">
        <v>3.9055559999999998</v>
      </c>
      <c r="CH64" s="18">
        <v>7.7019070000000003</v>
      </c>
      <c r="CI64" s="18">
        <v>1.765835</v>
      </c>
      <c r="CJ64" s="18">
        <v>1.5459700000000001</v>
      </c>
      <c r="CK64" s="18">
        <v>0.87548919999999997</v>
      </c>
      <c r="CL64" s="18">
        <v>1.288443</v>
      </c>
      <c r="CM64" s="18">
        <v>0.56350199999999995</v>
      </c>
      <c r="CN64" s="18">
        <v>0.60514999999999997</v>
      </c>
      <c r="CO64" s="18">
        <v>0.53786230000000002</v>
      </c>
      <c r="CP64" s="18">
        <v>-6.1739999999999998E-3</v>
      </c>
      <c r="CQ64" s="18">
        <v>4.4508999999999998E-3</v>
      </c>
      <c r="CR64" s="18">
        <v>-8.0573999999999993E-3</v>
      </c>
      <c r="CS64" s="18">
        <v>1.4277329999999999</v>
      </c>
      <c r="CT64" s="18">
        <v>1.8305868604300122</v>
      </c>
      <c r="CU64" s="18">
        <v>1.2685214393898894</v>
      </c>
      <c r="CV64" s="18">
        <v>1.1131120000000001</v>
      </c>
      <c r="CW64" s="18">
        <v>1.7641560000000001</v>
      </c>
      <c r="CX64" s="18">
        <v>1.3944430000000001</v>
      </c>
      <c r="CY64" s="18">
        <v>1.8524389159947183</v>
      </c>
      <c r="CZ64" s="17"/>
      <c r="DA64" s="18">
        <v>1.611133891019739</v>
      </c>
      <c r="DB64" s="18">
        <v>1.053766466243079</v>
      </c>
      <c r="DC64" s="18">
        <v>1.327848347672401</v>
      </c>
      <c r="DD64" s="18">
        <v>0.83027138821154711</v>
      </c>
      <c r="DE64" s="18">
        <v>1.702479272522982</v>
      </c>
      <c r="DF64" s="18">
        <v>1.126925124459214</v>
      </c>
      <c r="DG64" s="17"/>
      <c r="DI64" s="11"/>
      <c r="DJ64" s="33"/>
    </row>
    <row r="65" spans="1:114" x14ac:dyDescent="0.3">
      <c r="A65" s="5">
        <v>2010</v>
      </c>
      <c r="B65" s="3">
        <v>309839</v>
      </c>
      <c r="C65" s="3">
        <v>15048971</v>
      </c>
      <c r="D65" s="35">
        <v>7.6855193464404303</v>
      </c>
      <c r="E65" s="2">
        <v>7.84442591301696</v>
      </c>
      <c r="F65" s="3">
        <v>10260256</v>
      </c>
      <c r="G65" s="3">
        <v>2165473</v>
      </c>
      <c r="H65" s="3">
        <v>2511047</v>
      </c>
      <c r="I65" s="3">
        <v>644504</v>
      </c>
      <c r="J65" s="3">
        <v>-532309</v>
      </c>
      <c r="K65" s="3">
        <f t="shared" si="4"/>
        <v>15048961.120000001</v>
      </c>
      <c r="L65" s="3">
        <f t="shared" si="5"/>
        <v>3045253</v>
      </c>
      <c r="M65" s="3">
        <f t="shared" si="6"/>
        <v>12003708.120000001</v>
      </c>
      <c r="N65" s="23">
        <v>8.3588285446166992</v>
      </c>
      <c r="O65" s="23">
        <v>5.7139382362365723</v>
      </c>
      <c r="P65" s="23">
        <v>9.9768390655517578</v>
      </c>
      <c r="Q65" s="22">
        <v>1310087.8799999999</v>
      </c>
      <c r="R65" s="22">
        <v>1735165.12</v>
      </c>
      <c r="S65" s="22">
        <v>1445970.12</v>
      </c>
      <c r="T65" s="22">
        <v>10557738</v>
      </c>
      <c r="U65" s="3">
        <v>7872716</v>
      </c>
      <c r="V65" s="3">
        <v>1529352.5</v>
      </c>
      <c r="W65" s="3">
        <v>6343363.5</v>
      </c>
      <c r="X65" s="2">
        <v>0.5474889874458313</v>
      </c>
      <c r="Y65" s="2">
        <v>7.1595339775085449</v>
      </c>
      <c r="Z65" s="2">
        <v>5.348121166229248</v>
      </c>
      <c r="AA65" s="2">
        <v>8.0758533477783203</v>
      </c>
      <c r="AB65" s="2">
        <v>12.158876419067383</v>
      </c>
      <c r="AC65" s="2">
        <v>8.3235874176025391</v>
      </c>
      <c r="AD65" s="2">
        <v>13.696765899658203</v>
      </c>
      <c r="AE65" s="2">
        <v>2.4317371845245361</v>
      </c>
      <c r="AF65" s="2">
        <v>1.2237251996994019</v>
      </c>
      <c r="AG65" s="2">
        <v>3.3982329368591309</v>
      </c>
      <c r="AH65" s="2">
        <v>0.50327014923095703</v>
      </c>
      <c r="AI65" s="2">
        <v>0.55927431583404541</v>
      </c>
      <c r="AJ65" s="3">
        <f t="shared" si="7"/>
        <v>12292911</v>
      </c>
      <c r="AK65" s="3">
        <v>2697618</v>
      </c>
      <c r="AL65" s="3">
        <v>9595293</v>
      </c>
      <c r="AM65" s="2">
        <v>7.1384419589309003</v>
      </c>
      <c r="AN65" s="2">
        <v>8.3494811472092199</v>
      </c>
      <c r="AO65" s="2">
        <v>6.4642783599050198</v>
      </c>
      <c r="AP65" s="2">
        <v>3.8284760517802501</v>
      </c>
      <c r="AQ65" s="2">
        <v>7.6815057580833903</v>
      </c>
      <c r="AR65" s="2">
        <v>12.845046117044101</v>
      </c>
      <c r="AS65" s="3">
        <v>2756059</v>
      </c>
      <c r="AT65" s="23">
        <v>10.0796213808463</v>
      </c>
      <c r="AU65" s="23">
        <v>6.3049973934837604</v>
      </c>
      <c r="AV65" s="17"/>
      <c r="AW65" s="18">
        <f t="shared" si="8"/>
        <v>0.47534844332013326</v>
      </c>
      <c r="AX65" s="18">
        <f t="shared" si="9"/>
        <v>0.52465155667986674</v>
      </c>
      <c r="AY65" s="18">
        <f t="shared" si="10"/>
        <v>0.14115177701001844</v>
      </c>
      <c r="AZ65" s="18">
        <f t="shared" si="11"/>
        <v>0.85884822298998154</v>
      </c>
      <c r="BA65" s="18">
        <v>38.25967</v>
      </c>
      <c r="BB65" s="18">
        <v>0.51239279999999998</v>
      </c>
      <c r="BC65" s="18">
        <v>0.48760720000000002</v>
      </c>
      <c r="BD65" s="18">
        <v>0.64724230000000005</v>
      </c>
      <c r="BE65" s="18">
        <v>0</v>
      </c>
      <c r="BF65" s="18">
        <v>8.1805269999999997</v>
      </c>
      <c r="BG65" s="18">
        <v>8.1805269999999997</v>
      </c>
      <c r="BH65" s="18">
        <v>1</v>
      </c>
      <c r="BI65" s="18">
        <v>0.83056479999999999</v>
      </c>
      <c r="BJ65" s="18">
        <v>0.19045709999999999</v>
      </c>
      <c r="BK65" s="18">
        <v>0.80954289999999995</v>
      </c>
      <c r="BL65" s="18">
        <v>0.29117480000000001</v>
      </c>
      <c r="BM65" s="18">
        <v>3.9300000000000004E-15</v>
      </c>
      <c r="BN65" s="18">
        <v>6.759093</v>
      </c>
      <c r="BO65" s="18">
        <v>6.759093</v>
      </c>
      <c r="BP65" s="18">
        <v>0.99999990000000005</v>
      </c>
      <c r="BQ65" s="18">
        <v>0.44890160000000001</v>
      </c>
      <c r="BR65" s="18">
        <v>0.14250360000000001</v>
      </c>
      <c r="BS65" s="18">
        <v>0.85749640000000005</v>
      </c>
      <c r="BT65" s="18">
        <v>0.55497370000000001</v>
      </c>
      <c r="BU65" s="18">
        <v>0.69686530000000002</v>
      </c>
      <c r="BV65" s="18">
        <v>0.44306980000000001</v>
      </c>
      <c r="BW65" s="18">
        <v>3.9947499999999998</v>
      </c>
      <c r="BX65" s="18">
        <v>8.0376779999999997</v>
      </c>
      <c r="BY65" s="18">
        <v>2.01206</v>
      </c>
      <c r="BZ65" s="18">
        <v>0</v>
      </c>
      <c r="CA65" s="18">
        <v>0.48056490000000002</v>
      </c>
      <c r="CB65" s="18">
        <v>0.51943510000000004</v>
      </c>
      <c r="CC65" s="18">
        <v>0.1398411</v>
      </c>
      <c r="CD65" s="18">
        <v>0.86015889999999995</v>
      </c>
      <c r="CE65" s="18">
        <v>8.3214760000000005</v>
      </c>
      <c r="CF65" s="18">
        <v>9.2139810000000004</v>
      </c>
      <c r="CG65" s="18">
        <v>4.0946449999999999</v>
      </c>
      <c r="CH65" s="18">
        <v>7.9086869999999996</v>
      </c>
      <c r="CI65" s="18">
        <v>1.7460530000000001</v>
      </c>
      <c r="CJ65" s="18">
        <v>1.582017</v>
      </c>
      <c r="CK65" s="18">
        <v>0.90605340000000001</v>
      </c>
      <c r="CL65" s="18">
        <v>1.323866</v>
      </c>
      <c r="CM65" s="18">
        <v>0.56350199999999995</v>
      </c>
      <c r="CN65" s="18">
        <v>0.60514999999999997</v>
      </c>
      <c r="CO65" s="18">
        <v>0.53786230000000002</v>
      </c>
      <c r="CP65" s="18">
        <v>2.1228E-2</v>
      </c>
      <c r="CQ65" s="18">
        <v>3.2105799999999997E-2</v>
      </c>
      <c r="CR65" s="18">
        <v>1.8421099999999999E-2</v>
      </c>
      <c r="CS65" s="18">
        <v>1.4583649999999999</v>
      </c>
      <c r="CT65" s="18">
        <v>1.8903021236011681</v>
      </c>
      <c r="CU65" s="18">
        <v>1.2921042755549561</v>
      </c>
      <c r="CV65" s="18">
        <v>1.145251</v>
      </c>
      <c r="CW65" s="18">
        <v>1.8630089999999999</v>
      </c>
      <c r="CX65" s="18">
        <v>1.424658</v>
      </c>
      <c r="CY65" s="18">
        <v>1.9431137220755132</v>
      </c>
      <c r="CZ65" s="17"/>
      <c r="DA65" s="18">
        <v>1.6308052387133281</v>
      </c>
      <c r="DB65" s="18">
        <v>1.054838655389974</v>
      </c>
      <c r="DC65" s="18">
        <v>1.3147207309412789</v>
      </c>
      <c r="DD65" s="18">
        <v>0.82594503631302763</v>
      </c>
      <c r="DE65" s="18">
        <v>1.732679856491474</v>
      </c>
      <c r="DF65" s="18">
        <v>1.129810340400927</v>
      </c>
      <c r="DG65" s="17"/>
      <c r="DI65" s="11"/>
      <c r="DJ65" s="33"/>
    </row>
    <row r="66" spans="1:114" x14ac:dyDescent="0.3">
      <c r="A66" s="5">
        <v>2011</v>
      </c>
      <c r="B66" s="3">
        <v>312295</v>
      </c>
      <c r="C66" s="3">
        <v>15599732</v>
      </c>
      <c r="D66" s="35">
        <v>7.8057276236646</v>
      </c>
      <c r="E66" s="2">
        <v>8.0062901513444498</v>
      </c>
      <c r="F66" s="3">
        <v>10698857</v>
      </c>
      <c r="G66" s="3">
        <v>2332562</v>
      </c>
      <c r="H66" s="3">
        <v>2511311</v>
      </c>
      <c r="I66" s="3">
        <v>636618</v>
      </c>
      <c r="J66" s="3">
        <v>-579617</v>
      </c>
      <c r="K66" s="3">
        <f t="shared" si="4"/>
        <v>15599742.620000001</v>
      </c>
      <c r="L66" s="3">
        <f t="shared" si="5"/>
        <v>3214644</v>
      </c>
      <c r="M66" s="3">
        <f t="shared" si="6"/>
        <v>12385098.620000001</v>
      </c>
      <c r="N66" s="23">
        <v>8.5303897857666016</v>
      </c>
      <c r="O66" s="23">
        <v>6.0097932815551758</v>
      </c>
      <c r="P66" s="23">
        <v>10.098367691040039</v>
      </c>
      <c r="Q66" s="22">
        <v>1387022.25</v>
      </c>
      <c r="R66" s="22">
        <v>1827621.75</v>
      </c>
      <c r="S66" s="22">
        <v>1535900.62</v>
      </c>
      <c r="T66" s="22">
        <v>10849198</v>
      </c>
      <c r="U66" s="3">
        <v>8269258</v>
      </c>
      <c r="V66" s="3">
        <v>1583466.875</v>
      </c>
      <c r="W66" s="3">
        <v>6685791</v>
      </c>
      <c r="X66" s="2">
        <v>0.54236811399459839</v>
      </c>
      <c r="Y66" s="2">
        <v>7.2737507820129395</v>
      </c>
      <c r="Z66" s="2">
        <v>5.3872261047363281</v>
      </c>
      <c r="AA66" s="2">
        <v>8.2237834930419922</v>
      </c>
      <c r="AB66" s="2">
        <v>12.277114868164063</v>
      </c>
      <c r="AC66" s="2">
        <v>8.4123077392578125</v>
      </c>
      <c r="AD66" s="2">
        <v>13.825942039489746</v>
      </c>
      <c r="AE66" s="2">
        <v>2.4856657981872559</v>
      </c>
      <c r="AF66" s="2">
        <v>1.2480484247207642</v>
      </c>
      <c r="AG66" s="2">
        <v>3.4754660129547119</v>
      </c>
      <c r="AH66" s="2">
        <v>0.48902973532676697</v>
      </c>
      <c r="AI66" s="2">
        <v>0.55691879987716675</v>
      </c>
      <c r="AJ66" s="3">
        <f t="shared" si="7"/>
        <v>12676813</v>
      </c>
      <c r="AK66" s="3">
        <v>2801707</v>
      </c>
      <c r="AL66" s="3">
        <v>9875106</v>
      </c>
      <c r="AM66" s="2">
        <v>7.2012897754124303</v>
      </c>
      <c r="AN66" s="2">
        <v>8.5350868635962591</v>
      </c>
      <c r="AO66" s="2">
        <v>6.6104866668410702</v>
      </c>
      <c r="AP66" s="2">
        <v>3.88825567932725</v>
      </c>
      <c r="AQ66" s="2">
        <v>7.72589641175907</v>
      </c>
      <c r="AR66" s="2">
        <v>13.143670787031301</v>
      </c>
      <c r="AS66" s="3">
        <v>2922919</v>
      </c>
      <c r="AT66" s="23">
        <v>10.545935412026701</v>
      </c>
      <c r="AU66" s="23">
        <v>6.3910511467576496</v>
      </c>
      <c r="AV66" s="17"/>
      <c r="AW66" s="18">
        <f t="shared" ref="AW66:AW73" si="12">Q66/(Q66+S66)</f>
        <v>0.47453262083511633</v>
      </c>
      <c r="AX66" s="18">
        <f t="shared" ref="AX66:AX78" si="13">S66/(S66+Q66)</f>
        <v>0.52546737916488373</v>
      </c>
      <c r="AY66" s="18">
        <f t="shared" ref="AY66:AY73" si="14">R66/(R66+T66)</f>
        <v>0.14417036654638873</v>
      </c>
      <c r="AZ66" s="18">
        <f t="shared" ref="AZ66:AZ73" si="15">T66/(T66+R66)</f>
        <v>0.85582963345361129</v>
      </c>
      <c r="BA66" s="18">
        <v>39.146369999999997</v>
      </c>
      <c r="BB66" s="18">
        <v>0.52197479999999996</v>
      </c>
      <c r="BC66" s="18">
        <v>0.47802519999999998</v>
      </c>
      <c r="BD66" s="18">
        <v>0.64724230000000005</v>
      </c>
      <c r="BE66" s="18">
        <v>0</v>
      </c>
      <c r="BF66" s="18">
        <v>8.1711449999999992</v>
      </c>
      <c r="BG66" s="18">
        <v>8.1711460000000002</v>
      </c>
      <c r="BH66" s="18">
        <v>1</v>
      </c>
      <c r="BI66" s="18">
        <v>0.83056479999999999</v>
      </c>
      <c r="BJ66" s="18">
        <v>0.19644420000000001</v>
      </c>
      <c r="BK66" s="18">
        <v>0.80355580000000004</v>
      </c>
      <c r="BL66" s="18">
        <v>0.29117480000000001</v>
      </c>
      <c r="BM66" s="18">
        <v>3.9300000000000004E-15</v>
      </c>
      <c r="BN66" s="18">
        <v>6.8357409999999996</v>
      </c>
      <c r="BO66" s="18">
        <v>6.8357409999999996</v>
      </c>
      <c r="BP66" s="18">
        <v>1</v>
      </c>
      <c r="BQ66" s="18">
        <v>0.44890160000000001</v>
      </c>
      <c r="BR66" s="18">
        <v>0.1454908</v>
      </c>
      <c r="BS66" s="18">
        <v>0.85450919999999997</v>
      </c>
      <c r="BT66" s="18">
        <v>0.55497370000000001</v>
      </c>
      <c r="BU66" s="18">
        <v>0.69686530000000002</v>
      </c>
      <c r="BV66" s="18">
        <v>0.44306980000000001</v>
      </c>
      <c r="BW66" s="18">
        <v>3.9990299999999999</v>
      </c>
      <c r="BX66" s="18">
        <v>8.1608610000000006</v>
      </c>
      <c r="BY66" s="18">
        <v>2.0407099999999998</v>
      </c>
      <c r="BZ66" s="18">
        <v>0</v>
      </c>
      <c r="CA66" s="18">
        <v>0.47751310000000002</v>
      </c>
      <c r="CB66" s="18">
        <v>0.52248689999999998</v>
      </c>
      <c r="CC66" s="18">
        <v>0.14313090000000001</v>
      </c>
      <c r="CD66" s="18">
        <v>0.85686910000000005</v>
      </c>
      <c r="CE66" s="18">
        <v>8.3606859999999994</v>
      </c>
      <c r="CF66" s="18">
        <v>9.6860239999999997</v>
      </c>
      <c r="CG66" s="18">
        <v>4.0920259999999997</v>
      </c>
      <c r="CH66" s="18">
        <v>8.0323849999999997</v>
      </c>
      <c r="CI66" s="18">
        <v>1.6803189999999999</v>
      </c>
      <c r="CJ66" s="18">
        <v>1.5789759999999999</v>
      </c>
      <c r="CK66" s="18">
        <v>0.93968859999999999</v>
      </c>
      <c r="CL66" s="18">
        <v>1.334527</v>
      </c>
      <c r="CM66" s="18">
        <v>0.56350199999999995</v>
      </c>
      <c r="CN66" s="18">
        <v>0.60514999999999997</v>
      </c>
      <c r="CO66" s="18">
        <v>0.53786230000000002</v>
      </c>
      <c r="CP66" s="18">
        <v>-7.5719999999999997E-4</v>
      </c>
      <c r="CQ66" s="18">
        <v>-8.4332000000000001E-3</v>
      </c>
      <c r="CR66" s="18">
        <v>1.3909E-3</v>
      </c>
      <c r="CS66" s="18">
        <v>1.4572609999999999</v>
      </c>
      <c r="CT66" s="18">
        <v>1.8744390397414965</v>
      </c>
      <c r="CU66" s="18">
        <v>1.293913790996124</v>
      </c>
      <c r="CV66" s="18">
        <v>1.164188</v>
      </c>
      <c r="CW66" s="18">
        <v>1.8860920000000001</v>
      </c>
      <c r="CX66" s="18">
        <v>1.4235599999999999</v>
      </c>
      <c r="CY66" s="18">
        <v>1.9544416935018152</v>
      </c>
      <c r="CZ66" s="17"/>
      <c r="DA66" s="18">
        <v>1.655230903052207</v>
      </c>
      <c r="DB66" s="18">
        <v>1.073006120760754</v>
      </c>
      <c r="DC66" s="18">
        <v>1.3222990085816799</v>
      </c>
      <c r="DD66" s="18">
        <v>0.84722763915199339</v>
      </c>
      <c r="DE66" s="18">
        <v>1.762641874528232</v>
      </c>
      <c r="DF66" s="18">
        <v>1.146867045162117</v>
      </c>
      <c r="DG66" s="17"/>
      <c r="DI66" s="11"/>
      <c r="DJ66" s="33"/>
    </row>
    <row r="67" spans="1:114" x14ac:dyDescent="0.3">
      <c r="A67" s="5">
        <v>2012</v>
      </c>
      <c r="B67" s="3">
        <v>314725</v>
      </c>
      <c r="C67" s="3">
        <v>16253970</v>
      </c>
      <c r="D67" s="35">
        <v>7.9844689828530404</v>
      </c>
      <c r="E67" s="2">
        <v>8.1553198038838506</v>
      </c>
      <c r="F67" s="3">
        <v>11047363</v>
      </c>
      <c r="G67" s="3">
        <v>2621754</v>
      </c>
      <c r="H67" s="3">
        <v>2515439</v>
      </c>
      <c r="I67" s="3">
        <v>621031</v>
      </c>
      <c r="J67" s="3">
        <v>-551617</v>
      </c>
      <c r="K67" s="3">
        <f t="shared" ref="K67:K72" si="16">L67+M67</f>
        <v>16253952.25</v>
      </c>
      <c r="L67" s="3">
        <f t="shared" ref="L67:L78" si="17">+Q67+R67</f>
        <v>3296883</v>
      </c>
      <c r="M67" s="3">
        <f t="shared" ref="M67:M78" si="18">+S67+T67</f>
        <v>12957069.25</v>
      </c>
      <c r="N67" s="23">
        <v>8.7006368637084961</v>
      </c>
      <c r="O67" s="23">
        <v>6.1097354888916016</v>
      </c>
      <c r="P67" s="23">
        <v>10.309144020080566</v>
      </c>
      <c r="Q67" s="22">
        <v>1488078.75</v>
      </c>
      <c r="R67" s="22">
        <v>1808804.25</v>
      </c>
      <c r="S67" s="22">
        <v>1683496.25</v>
      </c>
      <c r="T67" s="22">
        <v>11273573</v>
      </c>
      <c r="U67" s="3">
        <v>8658893</v>
      </c>
      <c r="V67" s="3">
        <v>1640924.125</v>
      </c>
      <c r="W67" s="3">
        <v>7017969</v>
      </c>
      <c r="X67" s="2">
        <v>0.54756641387939453</v>
      </c>
      <c r="Y67" s="2">
        <v>7.421938419342041</v>
      </c>
      <c r="Z67" s="2">
        <v>5.4642338752746582</v>
      </c>
      <c r="AA67" s="2">
        <v>8.4050893783569336</v>
      </c>
      <c r="AB67" s="2">
        <v>12.420253753662109</v>
      </c>
      <c r="AC67" s="2">
        <v>8.5398530960083008</v>
      </c>
      <c r="AD67" s="2">
        <v>13.971443176269531</v>
      </c>
      <c r="AE67" s="2">
        <v>2.5379433631896973</v>
      </c>
      <c r="AF67" s="2">
        <v>1.2823357582092285</v>
      </c>
      <c r="AG67" s="2">
        <v>3.5433132648468018</v>
      </c>
      <c r="AH67" s="2">
        <v>0.48460835218429565</v>
      </c>
      <c r="AI67" s="2">
        <v>0.5648341178894043</v>
      </c>
      <c r="AJ67" s="3">
        <f t="shared" ref="AJ67:AJ72" si="19">AK67+AL67</f>
        <v>13082397</v>
      </c>
      <c r="AK67" s="3">
        <v>2945283</v>
      </c>
      <c r="AL67" s="3">
        <v>10137114</v>
      </c>
      <c r="AM67" s="2">
        <v>7.2896291330792096</v>
      </c>
      <c r="AN67" s="2">
        <v>8.7014181405279594</v>
      </c>
      <c r="AO67" s="2">
        <v>6.7875734081331203</v>
      </c>
      <c r="AP67" s="2">
        <v>3.9808702670815199</v>
      </c>
      <c r="AQ67" s="2">
        <v>7.7688873975099204</v>
      </c>
      <c r="AR67" s="2">
        <v>13.417737497815301</v>
      </c>
      <c r="AS67" s="3">
        <v>3171573</v>
      </c>
      <c r="AT67" s="23">
        <v>11.2747772828507</v>
      </c>
      <c r="AU67" s="23">
        <v>6.4864542642010399</v>
      </c>
      <c r="AV67" s="17"/>
      <c r="AW67" s="18">
        <f t="shared" si="12"/>
        <v>0.46919235710963797</v>
      </c>
      <c r="AX67" s="18">
        <f t="shared" si="13"/>
        <v>0.53080764289036209</v>
      </c>
      <c r="AY67" s="18">
        <f t="shared" si="14"/>
        <v>0.13826265788199923</v>
      </c>
      <c r="AZ67" s="18">
        <f t="shared" si="15"/>
        <v>0.86173734211800079</v>
      </c>
      <c r="BA67" s="18">
        <v>40.014789999999998</v>
      </c>
      <c r="BB67" s="18">
        <v>0.52093560000000005</v>
      </c>
      <c r="BC67" s="18">
        <v>0.4790644</v>
      </c>
      <c r="BD67" s="18">
        <v>0.64724230000000005</v>
      </c>
      <c r="BE67" s="18">
        <v>0</v>
      </c>
      <c r="BF67" s="18">
        <v>8.2632290000000008</v>
      </c>
      <c r="BG67" s="18">
        <v>8.2632300000000001</v>
      </c>
      <c r="BH67" s="18">
        <v>1</v>
      </c>
      <c r="BI67" s="18">
        <v>0.83056479999999999</v>
      </c>
      <c r="BJ67" s="18">
        <v>0.19578760000000001</v>
      </c>
      <c r="BK67" s="18">
        <v>0.80421240000000005</v>
      </c>
      <c r="BL67" s="18">
        <v>0.29117480000000001</v>
      </c>
      <c r="BM67" s="18">
        <v>3.9300000000000004E-15</v>
      </c>
      <c r="BN67" s="18">
        <v>6.903416</v>
      </c>
      <c r="BO67" s="18">
        <v>6.9034170000000001</v>
      </c>
      <c r="BP67" s="18">
        <v>1</v>
      </c>
      <c r="BQ67" s="18">
        <v>0.44890160000000001</v>
      </c>
      <c r="BR67" s="18">
        <v>0.14496590000000001</v>
      </c>
      <c r="BS67" s="18">
        <v>0.85503410000000002</v>
      </c>
      <c r="BT67" s="18">
        <v>0.55497370000000001</v>
      </c>
      <c r="BU67" s="18">
        <v>0.69686530000000002</v>
      </c>
      <c r="BV67" s="18">
        <v>0.44306980000000001</v>
      </c>
      <c r="BW67" s="18">
        <v>4.0375439999999996</v>
      </c>
      <c r="BX67" s="18">
        <v>8.239986</v>
      </c>
      <c r="BY67" s="18">
        <v>2.0408409999999999</v>
      </c>
      <c r="BZ67" s="18">
        <v>0</v>
      </c>
      <c r="CA67" s="18">
        <v>0.47444969999999997</v>
      </c>
      <c r="CB67" s="18">
        <v>0.52555019999999997</v>
      </c>
      <c r="CC67" s="18">
        <v>0.1413702</v>
      </c>
      <c r="CD67" s="18">
        <v>0.8586298</v>
      </c>
      <c r="CE67" s="18">
        <v>8.8410030000000006</v>
      </c>
      <c r="CF67" s="18">
        <v>10.38186</v>
      </c>
      <c r="CG67" s="18">
        <v>3.9671650000000001</v>
      </c>
      <c r="CH67" s="18">
        <v>8.1644590000000008</v>
      </c>
      <c r="CI67" s="18">
        <v>1.6873309999999999</v>
      </c>
      <c r="CJ67" s="18">
        <v>1.5876079999999999</v>
      </c>
      <c r="CK67" s="18">
        <v>0.94089909999999999</v>
      </c>
      <c r="CL67" s="18">
        <v>1.3400259999999999</v>
      </c>
      <c r="CM67" s="18">
        <v>0.56350199999999995</v>
      </c>
      <c r="CN67" s="18">
        <v>0.60514999999999997</v>
      </c>
      <c r="CO67" s="18">
        <v>0.53786230000000002</v>
      </c>
      <c r="CP67" s="18">
        <v>3.3800000000000002E-3</v>
      </c>
      <c r="CQ67" s="18">
        <v>-7.6471999999999998E-3</v>
      </c>
      <c r="CR67" s="18">
        <v>6.3429000000000003E-3</v>
      </c>
      <c r="CS67" s="18">
        <v>1.4621949999999999</v>
      </c>
      <c r="CT67" s="18">
        <v>1.8601741789695789</v>
      </c>
      <c r="CU67" s="18">
        <v>1.3021545543301662</v>
      </c>
      <c r="CV67" s="18">
        <v>1.168242</v>
      </c>
      <c r="CW67" s="18">
        <v>1.8898269999999999</v>
      </c>
      <c r="CX67" s="18">
        <v>1.4281740000000001</v>
      </c>
      <c r="CY67" s="18">
        <v>1.9730624350567294</v>
      </c>
      <c r="CZ67" s="17"/>
      <c r="DA67" s="18">
        <v>1.684139070606852</v>
      </c>
      <c r="DB67" s="18">
        <v>1.0973122706088669</v>
      </c>
      <c r="DC67" s="18">
        <v>1.3422218945877049</v>
      </c>
      <c r="DD67" s="18">
        <v>0.87946341474511192</v>
      </c>
      <c r="DE67" s="18">
        <v>1.7944806756868299</v>
      </c>
      <c r="DF67" s="18">
        <v>1.1684882202656239</v>
      </c>
      <c r="DG67" s="17"/>
      <c r="DI67" s="11"/>
      <c r="DJ67" s="33"/>
    </row>
    <row r="68" spans="1:114" x14ac:dyDescent="0.3">
      <c r="A68" s="5">
        <v>2013</v>
      </c>
      <c r="B68" s="3">
        <v>317099</v>
      </c>
      <c r="C68" s="3">
        <v>16880683</v>
      </c>
      <c r="D68" s="35">
        <v>8.1535146781578192</v>
      </c>
      <c r="E68" s="2">
        <v>8.2941662751520795</v>
      </c>
      <c r="F68" s="3">
        <v>11388233</v>
      </c>
      <c r="G68" s="3">
        <v>2838327</v>
      </c>
      <c r="H68" s="3">
        <v>2530745</v>
      </c>
      <c r="I68" s="3">
        <v>601832</v>
      </c>
      <c r="J68" s="3">
        <v>-478453</v>
      </c>
      <c r="K68" s="3">
        <f t="shared" si="16"/>
        <v>16880700.75</v>
      </c>
      <c r="L68" s="3">
        <f t="shared" si="17"/>
        <v>3456902</v>
      </c>
      <c r="M68" s="3">
        <f t="shared" si="18"/>
        <v>13423798.75</v>
      </c>
      <c r="N68" s="23">
        <v>8.8285646438598633</v>
      </c>
      <c r="O68" s="23">
        <v>6.2108445167541504</v>
      </c>
      <c r="P68" s="23">
        <v>10.455486297607422</v>
      </c>
      <c r="Q68" s="22">
        <v>1565850.38</v>
      </c>
      <c r="R68" s="22">
        <v>1891051.62</v>
      </c>
      <c r="S68" s="22">
        <v>1768828.75</v>
      </c>
      <c r="T68" s="22">
        <v>11654970</v>
      </c>
      <c r="U68" s="3">
        <v>8849509</v>
      </c>
      <c r="V68" s="3">
        <v>1676683.875</v>
      </c>
      <c r="W68" s="3">
        <v>7172825</v>
      </c>
      <c r="X68" s="2">
        <v>0.54640346765518188</v>
      </c>
      <c r="Y68" s="2">
        <v>7.5534296035766602</v>
      </c>
      <c r="Z68" s="2">
        <v>5.6457748413085938</v>
      </c>
      <c r="AA68" s="2">
        <v>8.5184164047241211</v>
      </c>
      <c r="AB68" s="2">
        <v>12.610139846801758</v>
      </c>
      <c r="AC68" s="2">
        <v>8.7107734680175781</v>
      </c>
      <c r="AD68" s="2">
        <v>14.163325309753418</v>
      </c>
      <c r="AE68" s="2">
        <v>2.5907659530639648</v>
      </c>
      <c r="AF68" s="2">
        <v>1.3157345056533813</v>
      </c>
      <c r="AG68" s="2">
        <v>3.6127400398254395</v>
      </c>
      <c r="AH68" s="2">
        <v>0.47921136021614075</v>
      </c>
      <c r="AI68" s="2">
        <v>0.56493610143661499</v>
      </c>
      <c r="AJ68" s="3">
        <f t="shared" si="19"/>
        <v>13546002</v>
      </c>
      <c r="AK68" s="3">
        <v>3117635</v>
      </c>
      <c r="AL68" s="3">
        <v>10428367</v>
      </c>
      <c r="AM68" s="2">
        <v>7.4094573383953799</v>
      </c>
      <c r="AN68" s="2">
        <v>8.8640633240466595</v>
      </c>
      <c r="AO68" s="2">
        <v>7.07880883661604</v>
      </c>
      <c r="AP68" s="2">
        <v>4.0404581933029897</v>
      </c>
      <c r="AQ68" s="2">
        <v>7.8103493792437098</v>
      </c>
      <c r="AR68" s="2">
        <v>13.729971399896201</v>
      </c>
      <c r="AS68" s="3">
        <v>3334682</v>
      </c>
      <c r="AT68" s="23">
        <v>11.7345489977728</v>
      </c>
      <c r="AU68" s="23">
        <v>6.5528260979583903</v>
      </c>
      <c r="AV68" s="17"/>
      <c r="AW68" s="18">
        <f t="shared" si="12"/>
        <v>0.46956553208164287</v>
      </c>
      <c r="AX68" s="18">
        <f t="shared" si="13"/>
        <v>0.53043446791835713</v>
      </c>
      <c r="AY68" s="18">
        <f t="shared" si="14"/>
        <v>0.13960199334156975</v>
      </c>
      <c r="AZ68" s="18">
        <f t="shared" si="15"/>
        <v>0.86039800665843014</v>
      </c>
      <c r="BA68" s="18">
        <v>40.865960000000001</v>
      </c>
      <c r="BB68" s="18">
        <v>0.52151400000000003</v>
      </c>
      <c r="BC68" s="18">
        <v>0.47848600000000002</v>
      </c>
      <c r="BD68" s="18">
        <v>0.64724230000000005</v>
      </c>
      <c r="BE68" s="18">
        <v>0</v>
      </c>
      <c r="BF68" s="18">
        <v>8.3735239999999997</v>
      </c>
      <c r="BG68" s="18">
        <v>8.373526</v>
      </c>
      <c r="BH68" s="18">
        <v>1</v>
      </c>
      <c r="BI68" s="18">
        <v>0.83056479999999999</v>
      </c>
      <c r="BJ68" s="18">
        <v>0.19615279999999999</v>
      </c>
      <c r="BK68" s="18">
        <v>0.80384719999999998</v>
      </c>
      <c r="BL68" s="18">
        <v>0.29117480000000001</v>
      </c>
      <c r="BM68" s="18">
        <v>3.9300000000000004E-15</v>
      </c>
      <c r="BN68" s="18">
        <v>7.0008369999999998</v>
      </c>
      <c r="BO68" s="18">
        <v>7.0008369999999998</v>
      </c>
      <c r="BP68" s="18">
        <v>1</v>
      </c>
      <c r="BQ68" s="18">
        <v>0.44890160000000001</v>
      </c>
      <c r="BR68" s="18">
        <v>0.14464109999999999</v>
      </c>
      <c r="BS68" s="18">
        <v>0.85535899999999998</v>
      </c>
      <c r="BT68" s="18">
        <v>0.55497370000000001</v>
      </c>
      <c r="BU68" s="18">
        <v>0.69686530000000002</v>
      </c>
      <c r="BV68" s="18">
        <v>0.44306980000000001</v>
      </c>
      <c r="BW68" s="18">
        <v>4.0777400000000004</v>
      </c>
      <c r="BX68" s="18">
        <v>8.3632410000000004</v>
      </c>
      <c r="BY68" s="18">
        <v>2.0509499999999998</v>
      </c>
      <c r="BZ68" s="18">
        <v>0</v>
      </c>
      <c r="CA68" s="18">
        <v>0.47217969999999998</v>
      </c>
      <c r="CB68" s="18">
        <v>0.52782019999999996</v>
      </c>
      <c r="CC68" s="18">
        <v>0.13967289999999999</v>
      </c>
      <c r="CD68" s="18">
        <v>0.86032710000000001</v>
      </c>
      <c r="CE68" s="18">
        <v>9.1067300000000007</v>
      </c>
      <c r="CF68" s="18">
        <v>10.72437</v>
      </c>
      <c r="CG68" s="18">
        <v>4.0984769999999999</v>
      </c>
      <c r="CH68" s="18">
        <v>8.2560310000000001</v>
      </c>
      <c r="CI68" s="18">
        <v>1.683424</v>
      </c>
      <c r="CJ68" s="18">
        <v>1.5921369999999999</v>
      </c>
      <c r="CK68" s="18">
        <v>0.94577290000000003</v>
      </c>
      <c r="CL68" s="18">
        <v>1.350252</v>
      </c>
      <c r="CM68" s="18">
        <v>0.56350199999999995</v>
      </c>
      <c r="CN68" s="18">
        <v>0.60514999999999997</v>
      </c>
      <c r="CO68" s="18">
        <v>0.53786230000000002</v>
      </c>
      <c r="CP68" s="18">
        <v>-6.6929999999999995E-4</v>
      </c>
      <c r="CQ68" s="18">
        <v>9.5449000000000003E-3</v>
      </c>
      <c r="CR68" s="18">
        <v>-3.4952999999999998E-3</v>
      </c>
      <c r="CS68" s="18">
        <v>1.4612160000000001</v>
      </c>
      <c r="CT68" s="18">
        <v>1.8780215572015073</v>
      </c>
      <c r="CU68" s="18">
        <v>1.2976159826695428</v>
      </c>
      <c r="CV68" s="18">
        <v>1.172857</v>
      </c>
      <c r="CW68" s="18">
        <v>1.904544</v>
      </c>
      <c r="CX68" s="18">
        <v>1.4273199999999999</v>
      </c>
      <c r="CY68" s="18">
        <v>1.9917511479535741</v>
      </c>
      <c r="CZ68" s="17"/>
      <c r="DA68" s="18">
        <v>1.717968674927675</v>
      </c>
      <c r="DB68" s="18">
        <v>1.114161079346347</v>
      </c>
      <c r="DC68" s="18">
        <v>1.3614695991731141</v>
      </c>
      <c r="DD68" s="18">
        <v>0.89510721455142972</v>
      </c>
      <c r="DE68" s="18">
        <v>1.83308334045726</v>
      </c>
      <c r="DF68" s="18">
        <v>1.1857280963028709</v>
      </c>
      <c r="DG68" s="17"/>
      <c r="DI68" s="11"/>
      <c r="DJ68" s="33"/>
    </row>
    <row r="69" spans="1:114" x14ac:dyDescent="0.3">
      <c r="A69" s="5">
        <v>2014</v>
      </c>
      <c r="B69" s="3">
        <v>319601</v>
      </c>
      <c r="C69" s="3">
        <v>17608138</v>
      </c>
      <c r="D69" s="35">
        <v>8.3593679863542505</v>
      </c>
      <c r="E69" s="2">
        <v>8.4385449883163606</v>
      </c>
      <c r="F69" s="3">
        <v>11874450</v>
      </c>
      <c r="G69" s="3">
        <v>3073981</v>
      </c>
      <c r="H69" s="3">
        <v>2562276</v>
      </c>
      <c r="I69" s="3">
        <v>606331</v>
      </c>
      <c r="J69" s="3">
        <v>-508900</v>
      </c>
      <c r="K69" s="3">
        <f t="shared" si="16"/>
        <v>17608127.379999999</v>
      </c>
      <c r="L69" s="3">
        <f t="shared" si="17"/>
        <v>3577616.13</v>
      </c>
      <c r="M69" s="3">
        <f t="shared" si="18"/>
        <v>14030511.25</v>
      </c>
      <c r="N69" s="23">
        <v>9.0037765502929688</v>
      </c>
      <c r="O69" s="23">
        <v>6.3480114936828613</v>
      </c>
      <c r="P69" s="23">
        <v>10.656479835510254</v>
      </c>
      <c r="Q69" s="22">
        <v>1697373.75</v>
      </c>
      <c r="R69" s="22">
        <v>1880242.38</v>
      </c>
      <c r="S69" s="22">
        <v>1898140.25</v>
      </c>
      <c r="T69" s="22">
        <v>12132371</v>
      </c>
      <c r="U69" s="3">
        <v>9245439</v>
      </c>
      <c r="V69" s="3">
        <v>1778240.75</v>
      </c>
      <c r="W69" s="3">
        <v>7467198.5</v>
      </c>
      <c r="X69" s="2">
        <v>0.5442817211151123</v>
      </c>
      <c r="Y69" s="2">
        <v>7.7175102233886719</v>
      </c>
      <c r="Z69" s="2">
        <v>5.7472414970397949</v>
      </c>
      <c r="AA69" s="2">
        <v>8.7123737335205078</v>
      </c>
      <c r="AB69" s="2">
        <v>12.810535430908203</v>
      </c>
      <c r="AC69" s="2">
        <v>8.90216064453125</v>
      </c>
      <c r="AD69" s="2">
        <v>14.359843254089355</v>
      </c>
      <c r="AE69" s="2">
        <v>2.6348671913146973</v>
      </c>
      <c r="AF69" s="2">
        <v>1.345181941986084</v>
      </c>
      <c r="AG69" s="2">
        <v>3.6696851253509521</v>
      </c>
      <c r="AH69" s="2">
        <v>0.47718209028244019</v>
      </c>
      <c r="AI69" s="2">
        <v>0.56296080350875854</v>
      </c>
      <c r="AJ69" s="3">
        <f t="shared" si="19"/>
        <v>14012618</v>
      </c>
      <c r="AK69" s="3">
        <v>3199010</v>
      </c>
      <c r="AL69" s="3">
        <v>10813608</v>
      </c>
      <c r="AM69" s="2">
        <v>7.5350749175695002</v>
      </c>
      <c r="AN69" s="2">
        <v>9.01653945844539</v>
      </c>
      <c r="AO69" s="2">
        <v>7.3270206911504001</v>
      </c>
      <c r="AP69" s="2">
        <v>4.0054721195362104</v>
      </c>
      <c r="AQ69" s="2">
        <v>7.9175979071036897</v>
      </c>
      <c r="AR69" s="2">
        <v>14.0443281097737</v>
      </c>
      <c r="AS69" s="3">
        <v>3595519</v>
      </c>
      <c r="AT69" s="23">
        <v>12.4259465478841</v>
      </c>
      <c r="AU69" s="23">
        <v>6.6722564008273002</v>
      </c>
      <c r="AV69" s="17"/>
      <c r="AW69" s="18">
        <f t="shared" si="12"/>
        <v>0.47208097367998009</v>
      </c>
      <c r="AX69" s="18">
        <f t="shared" si="13"/>
        <v>0.52791902632001986</v>
      </c>
      <c r="AY69" s="18">
        <f t="shared" si="14"/>
        <v>0.13418213498159043</v>
      </c>
      <c r="AZ69" s="18">
        <f t="shared" si="15"/>
        <v>0.86581786501840963</v>
      </c>
      <c r="BA69" s="18">
        <v>41.93177</v>
      </c>
      <c r="BB69" s="18">
        <v>0.5222135</v>
      </c>
      <c r="BC69" s="18">
        <v>0.4777865</v>
      </c>
      <c r="BD69" s="18">
        <v>0.64724230000000005</v>
      </c>
      <c r="BE69" s="18">
        <v>0</v>
      </c>
      <c r="BF69" s="18">
        <v>8.4839509999999994</v>
      </c>
      <c r="BG69" s="18">
        <v>8.4839529999999996</v>
      </c>
      <c r="BH69" s="18">
        <v>1</v>
      </c>
      <c r="BI69" s="18">
        <v>0.83056479999999999</v>
      </c>
      <c r="BJ69" s="18">
        <v>0.1965953</v>
      </c>
      <c r="BK69" s="18">
        <v>0.80340469999999997</v>
      </c>
      <c r="BL69" s="18">
        <v>0.29117480000000001</v>
      </c>
      <c r="BM69" s="18">
        <v>3.9300000000000004E-15</v>
      </c>
      <c r="BN69" s="18">
        <v>7.0996370000000004</v>
      </c>
      <c r="BO69" s="18">
        <v>7.0996370000000004</v>
      </c>
      <c r="BP69" s="18">
        <v>1</v>
      </c>
      <c r="BQ69" s="18">
        <v>0.44890160000000001</v>
      </c>
      <c r="BR69" s="18">
        <v>0.1443856</v>
      </c>
      <c r="BS69" s="18">
        <v>0.8556144</v>
      </c>
      <c r="BT69" s="18">
        <v>0.55497370000000001</v>
      </c>
      <c r="BU69" s="18">
        <v>0.69686530000000002</v>
      </c>
      <c r="BV69" s="18">
        <v>0.44306980000000001</v>
      </c>
      <c r="BW69" s="18">
        <v>4.1186949999999998</v>
      </c>
      <c r="BX69" s="18">
        <v>8.4884730000000008</v>
      </c>
      <c r="BY69" s="18">
        <v>2.060962</v>
      </c>
      <c r="BZ69" s="18">
        <v>0</v>
      </c>
      <c r="CA69" s="18">
        <v>0.47393610000000003</v>
      </c>
      <c r="CB69" s="18">
        <v>0.52606390000000003</v>
      </c>
      <c r="CC69" s="18">
        <v>0.13884959999999999</v>
      </c>
      <c r="CD69" s="18">
        <v>0.86115039999999998</v>
      </c>
      <c r="CE69" s="18">
        <v>9.6298410000000008</v>
      </c>
      <c r="CF69" s="18">
        <v>11.20722</v>
      </c>
      <c r="CG69" s="18">
        <v>4.0147709999999996</v>
      </c>
      <c r="CH69" s="18">
        <v>8.4210229999999999</v>
      </c>
      <c r="CI69" s="18">
        <v>1.678712</v>
      </c>
      <c r="CJ69" s="18">
        <v>1.5907</v>
      </c>
      <c r="CK69" s="18">
        <v>0.94757179999999996</v>
      </c>
      <c r="CL69" s="18">
        <v>1.347858</v>
      </c>
      <c r="CM69" s="18">
        <v>0.56350199999999995</v>
      </c>
      <c r="CN69" s="18">
        <v>0.60514999999999997</v>
      </c>
      <c r="CO69" s="18">
        <v>0.53786230000000002</v>
      </c>
      <c r="CP69" s="18">
        <v>5.0965000000000003E-3</v>
      </c>
      <c r="CQ69" s="18">
        <v>-4.1466999999999997E-3</v>
      </c>
      <c r="CR69" s="18">
        <v>7.6861999999999998E-3</v>
      </c>
      <c r="CS69" s="18">
        <v>1.468683</v>
      </c>
      <c r="CT69" s="18">
        <v>1.8702505485525316</v>
      </c>
      <c r="CU69" s="18">
        <v>1.3076297194393662</v>
      </c>
      <c r="CV69" s="18">
        <v>1.1733560000000001</v>
      </c>
      <c r="CW69" s="18">
        <v>1.9073659999999999</v>
      </c>
      <c r="CX69" s="18">
        <v>1.4345589999999999</v>
      </c>
      <c r="CY69" s="18">
        <v>2.0072171679931232</v>
      </c>
      <c r="CZ69" s="17"/>
      <c r="DA69" s="18">
        <v>1.7542979546965201</v>
      </c>
      <c r="DB69" s="18">
        <v>1.1322578444536491</v>
      </c>
      <c r="DC69" s="18">
        <v>1.387461121201506</v>
      </c>
      <c r="DD69" s="18">
        <v>0.9146858804261403</v>
      </c>
      <c r="DE69" s="18">
        <v>1.87277800506171</v>
      </c>
      <c r="DF69" s="18">
        <v>1.203345664793287</v>
      </c>
      <c r="DG69" s="17"/>
      <c r="DI69" s="11"/>
      <c r="DJ69" s="33"/>
    </row>
    <row r="70" spans="1:114" x14ac:dyDescent="0.3">
      <c r="A70" s="5">
        <v>2015</v>
      </c>
      <c r="B70" s="3">
        <v>322113</v>
      </c>
      <c r="C70" s="3">
        <v>18295019</v>
      </c>
      <c r="D70" s="35">
        <v>8.60553011940031</v>
      </c>
      <c r="E70" s="2">
        <v>8.51692487259667</v>
      </c>
      <c r="F70" s="3">
        <v>12297438</v>
      </c>
      <c r="G70" s="3">
        <v>3288481</v>
      </c>
      <c r="H70" s="3">
        <v>2603988</v>
      </c>
      <c r="I70" s="3">
        <v>629431</v>
      </c>
      <c r="J70" s="3">
        <v>-524320</v>
      </c>
      <c r="K70" s="3">
        <f t="shared" si="16"/>
        <v>18295043.379999999</v>
      </c>
      <c r="L70" s="3">
        <f t="shared" si="17"/>
        <v>3531353</v>
      </c>
      <c r="M70" s="3">
        <f t="shared" si="18"/>
        <v>14763690.379999999</v>
      </c>
      <c r="N70" s="23">
        <v>9.0630388259887695</v>
      </c>
      <c r="O70" s="23">
        <v>6.0438618659973145</v>
      </c>
      <c r="P70" s="23">
        <v>10.888636589050293</v>
      </c>
      <c r="Q70" s="22">
        <v>1749683.62</v>
      </c>
      <c r="R70" s="22">
        <v>1781669.38</v>
      </c>
      <c r="S70" s="22">
        <v>2028109.38</v>
      </c>
      <c r="T70" s="22">
        <v>12735581</v>
      </c>
      <c r="U70" s="3">
        <v>9820352</v>
      </c>
      <c r="V70" s="3">
        <v>1941590.875</v>
      </c>
      <c r="W70" s="3">
        <v>7878761</v>
      </c>
      <c r="X70" s="2">
        <v>0.55202215909957886</v>
      </c>
      <c r="Y70" s="2">
        <v>7.9391217231750488</v>
      </c>
      <c r="Z70" s="2">
        <v>5.942415714263916</v>
      </c>
      <c r="AA70" s="2">
        <v>8.9502849578857422</v>
      </c>
      <c r="AB70" s="2">
        <v>13.100831985473633</v>
      </c>
      <c r="AC70" s="2">
        <v>9.0904836654663086</v>
      </c>
      <c r="AD70" s="2">
        <v>14.691830635070801</v>
      </c>
      <c r="AE70" s="2">
        <v>2.6970009803771973</v>
      </c>
      <c r="AF70" s="2">
        <v>1.3658593893051147</v>
      </c>
      <c r="AG70" s="2">
        <v>3.763556957244873</v>
      </c>
      <c r="AH70" s="2">
        <v>0.50804018974304199</v>
      </c>
      <c r="AI70" s="2">
        <v>0.56403976678848267</v>
      </c>
      <c r="AJ70" s="3">
        <f t="shared" si="19"/>
        <v>14517229</v>
      </c>
      <c r="AK70" s="3">
        <v>3302348</v>
      </c>
      <c r="AL70" s="3">
        <v>11214881</v>
      </c>
      <c r="AM70" s="2">
        <v>7.7288517599831001</v>
      </c>
      <c r="AN70" s="2">
        <v>9.1070327526228194</v>
      </c>
      <c r="AO70" s="2">
        <v>7.4523986705335101</v>
      </c>
      <c r="AP70" s="2">
        <v>4.0652971060369101</v>
      </c>
      <c r="AQ70" s="2">
        <v>8.1034405302801193</v>
      </c>
      <c r="AR70" s="2">
        <v>14.2314453005669</v>
      </c>
      <c r="AS70" s="3">
        <v>3777790</v>
      </c>
      <c r="AT70" s="23">
        <v>12.9728563474387</v>
      </c>
      <c r="AU70" s="23">
        <v>6.7149506249711797</v>
      </c>
      <c r="AV70" s="17"/>
      <c r="AW70" s="18">
        <f t="shared" si="12"/>
        <v>0.46314968024981784</v>
      </c>
      <c r="AX70" s="18">
        <f t="shared" si="13"/>
        <v>0.53685031975018216</v>
      </c>
      <c r="AY70" s="18">
        <f t="shared" si="14"/>
        <v>0.12272774343373968</v>
      </c>
      <c r="AZ70" s="18">
        <f t="shared" si="15"/>
        <v>0.8772722565662604</v>
      </c>
      <c r="BA70" s="18">
        <v>42.973999999999997</v>
      </c>
      <c r="BB70" s="18">
        <v>0.5065501</v>
      </c>
      <c r="BC70" s="18">
        <v>0.4934499</v>
      </c>
      <c r="BD70" s="18">
        <v>0.64724230000000005</v>
      </c>
      <c r="BE70" s="18">
        <v>0</v>
      </c>
      <c r="BF70" s="18">
        <v>8.8543210000000006</v>
      </c>
      <c r="BG70" s="18">
        <v>8.8543210000000006</v>
      </c>
      <c r="BH70" s="18">
        <v>1</v>
      </c>
      <c r="BI70" s="18">
        <v>0.83056479999999999</v>
      </c>
      <c r="BJ70" s="18">
        <v>0.1868784</v>
      </c>
      <c r="BK70" s="18">
        <v>0.8131216</v>
      </c>
      <c r="BL70" s="18">
        <v>0.29117480000000001</v>
      </c>
      <c r="BM70" s="18">
        <v>3.9300000000000004E-15</v>
      </c>
      <c r="BN70" s="18">
        <v>7.261145</v>
      </c>
      <c r="BO70" s="18">
        <v>7.261145</v>
      </c>
      <c r="BP70" s="18">
        <v>1</v>
      </c>
      <c r="BQ70" s="18">
        <v>0.44890160000000001</v>
      </c>
      <c r="BR70" s="18">
        <v>0.1380092</v>
      </c>
      <c r="BS70" s="18">
        <v>0.86199079999999995</v>
      </c>
      <c r="BT70" s="18">
        <v>0.55497370000000001</v>
      </c>
      <c r="BU70" s="18">
        <v>0.69686530000000002</v>
      </c>
      <c r="BV70" s="18">
        <v>0.44306980000000001</v>
      </c>
      <c r="BW70" s="18">
        <v>4.2357120000000004</v>
      </c>
      <c r="BX70" s="18">
        <v>8.6417549999999999</v>
      </c>
      <c r="BY70" s="18">
        <v>2.0402130000000001</v>
      </c>
      <c r="BZ70" s="18">
        <v>0</v>
      </c>
      <c r="CA70" s="18">
        <v>0.47257470000000001</v>
      </c>
      <c r="CB70" s="18">
        <v>0.52742529999999999</v>
      </c>
      <c r="CC70" s="18">
        <v>0.13098270000000001</v>
      </c>
      <c r="CD70" s="18">
        <v>0.86901729999999999</v>
      </c>
      <c r="CE70" s="18">
        <v>10.34163</v>
      </c>
      <c r="CF70" s="18">
        <v>11.59652</v>
      </c>
      <c r="CG70" s="18">
        <v>3.9642940000000002</v>
      </c>
      <c r="CH70" s="18">
        <v>8.6204129999999992</v>
      </c>
      <c r="CI70" s="18">
        <v>1.7873559999999999</v>
      </c>
      <c r="CJ70" s="18">
        <v>1.6127880000000001</v>
      </c>
      <c r="CK70" s="18">
        <v>0.90233189999999996</v>
      </c>
      <c r="CL70" s="18">
        <v>1.350976</v>
      </c>
      <c r="CM70" s="18">
        <v>0.56350199999999995</v>
      </c>
      <c r="CN70" s="18">
        <v>0.60514999999999997</v>
      </c>
      <c r="CO70" s="18">
        <v>0.53786230000000002</v>
      </c>
      <c r="CP70" s="18">
        <v>-1.9337E-3</v>
      </c>
      <c r="CQ70" s="18">
        <v>1.3876299999999999E-2</v>
      </c>
      <c r="CR70" s="18">
        <v>-6.3994999999999998E-3</v>
      </c>
      <c r="CS70" s="18">
        <v>1.4658450000000001</v>
      </c>
      <c r="CT70" s="18">
        <v>1.8997660703050783</v>
      </c>
      <c r="CU70" s="18">
        <v>1.311208080796745</v>
      </c>
      <c r="CV70" s="18">
        <v>1.154911</v>
      </c>
      <c r="CW70" s="18">
        <v>1.8866830000000001</v>
      </c>
      <c r="CX70" s="18">
        <v>1.431818</v>
      </c>
      <c r="CY70" s="18">
        <v>2.0253169381745719</v>
      </c>
      <c r="CZ70" s="17"/>
      <c r="DA70" s="18">
        <v>1.795345145566364</v>
      </c>
      <c r="DB70" s="18">
        <v>1.155451034686561</v>
      </c>
      <c r="DC70" s="18">
        <v>1.417822340661524</v>
      </c>
      <c r="DD70" s="18">
        <v>0.92085380628977098</v>
      </c>
      <c r="DE70" s="18">
        <v>1.9172793418215801</v>
      </c>
      <c r="DF70" s="18">
        <v>1.231993294965622</v>
      </c>
      <c r="DG70" s="17"/>
      <c r="DI70" s="11"/>
      <c r="DJ70" s="33"/>
    </row>
    <row r="71" spans="1:114" x14ac:dyDescent="0.3">
      <c r="A71" s="5">
        <v>2016</v>
      </c>
      <c r="B71" s="3">
        <v>324609</v>
      </c>
      <c r="C71" s="3">
        <v>18804913</v>
      </c>
      <c r="D71" s="35">
        <v>8.7620971361881708</v>
      </c>
      <c r="E71" s="2">
        <v>8.5978694315954503</v>
      </c>
      <c r="F71" s="3">
        <v>12726849</v>
      </c>
      <c r="G71" s="3">
        <v>3278305</v>
      </c>
      <c r="H71" s="3">
        <v>2653374</v>
      </c>
      <c r="I71" s="3">
        <v>649657</v>
      </c>
      <c r="J71" s="3">
        <v>-503272</v>
      </c>
      <c r="K71" s="3">
        <f t="shared" si="16"/>
        <v>18804953.25</v>
      </c>
      <c r="L71" s="3">
        <f t="shared" si="17"/>
        <v>3494771</v>
      </c>
      <c r="M71" s="3">
        <f t="shared" si="18"/>
        <v>15310182.25</v>
      </c>
      <c r="N71" s="23">
        <v>9.1655387878417969</v>
      </c>
      <c r="O71" s="23">
        <v>5.9331636428833008</v>
      </c>
      <c r="P71" s="23">
        <v>11.095589637756348</v>
      </c>
      <c r="Q71" s="22">
        <v>1773402.88</v>
      </c>
      <c r="R71" s="22">
        <v>1721368.12</v>
      </c>
      <c r="S71" s="22">
        <v>2115491.25</v>
      </c>
      <c r="T71" s="22">
        <v>13194691</v>
      </c>
      <c r="U71" s="3">
        <v>10122224</v>
      </c>
      <c r="V71" s="3">
        <v>1967737.625</v>
      </c>
      <c r="W71" s="3">
        <v>8154486.5</v>
      </c>
      <c r="X71" s="2">
        <v>0.55991381406784058</v>
      </c>
      <c r="Y71" s="2">
        <v>8.0666570663452148</v>
      </c>
      <c r="Z71" s="2">
        <v>6.0005249977111816</v>
      </c>
      <c r="AA71" s="2">
        <v>9.1084661483764648</v>
      </c>
      <c r="AB71" s="2">
        <v>13.408846855163574</v>
      </c>
      <c r="AC71" s="2">
        <v>9.2883148193359375</v>
      </c>
      <c r="AD71" s="2">
        <v>15.044181823730469</v>
      </c>
      <c r="AE71" s="2">
        <v>2.7411878108978271</v>
      </c>
      <c r="AF71" s="2">
        <v>1.3710312843322754</v>
      </c>
      <c r="AG71" s="2">
        <v>3.8368697166442871</v>
      </c>
      <c r="AH71" s="2">
        <v>0.54030811786651611</v>
      </c>
      <c r="AI71" s="2">
        <v>0.56494379043579102</v>
      </c>
      <c r="AJ71" s="3">
        <f t="shared" si="19"/>
        <v>14916019</v>
      </c>
      <c r="AK71" s="3">
        <v>3300996</v>
      </c>
      <c r="AL71" s="3">
        <v>11615023</v>
      </c>
      <c r="AM71" s="2">
        <v>7.8478089956131099</v>
      </c>
      <c r="AN71" s="2">
        <v>9.2153673472697797</v>
      </c>
      <c r="AO71" s="2">
        <v>7.7546027060119602</v>
      </c>
      <c r="AP71" s="2">
        <v>3.9052692258155499</v>
      </c>
      <c r="AQ71" s="2">
        <v>8.2408880104655804</v>
      </c>
      <c r="AR71" s="2">
        <v>14.4933856796781</v>
      </c>
      <c r="AS71" s="3">
        <v>3888894</v>
      </c>
      <c r="AT71" s="23">
        <v>13.3493875278396</v>
      </c>
      <c r="AU71" s="23">
        <v>6.7174645784968998</v>
      </c>
      <c r="AV71" s="17"/>
      <c r="AW71" s="18">
        <f t="shared" si="12"/>
        <v>0.45601726884758365</v>
      </c>
      <c r="AX71" s="18">
        <f t="shared" si="13"/>
        <v>0.54398273115241635</v>
      </c>
      <c r="AY71" s="18">
        <f t="shared" si="14"/>
        <v>0.1154036804327174</v>
      </c>
      <c r="AZ71" s="18">
        <f t="shared" si="15"/>
        <v>0.88459631956728257</v>
      </c>
      <c r="BA71" s="18">
        <v>43.800109999999997</v>
      </c>
      <c r="BB71" s="18">
        <v>0.49806669999999997</v>
      </c>
      <c r="BC71" s="18">
        <v>0.50193330000000003</v>
      </c>
      <c r="BD71" s="18">
        <v>0.64724230000000005</v>
      </c>
      <c r="BE71" s="18">
        <v>0</v>
      </c>
      <c r="BF71" s="18">
        <v>9.0759570000000007</v>
      </c>
      <c r="BG71" s="18">
        <v>9.075958</v>
      </c>
      <c r="BH71" s="18">
        <v>1</v>
      </c>
      <c r="BI71" s="18">
        <v>0.83056479999999999</v>
      </c>
      <c r="BJ71" s="18">
        <v>0.18177650000000001</v>
      </c>
      <c r="BK71" s="18">
        <v>0.81822349999999999</v>
      </c>
      <c r="BL71" s="18">
        <v>0.29117480000000001</v>
      </c>
      <c r="BM71" s="18">
        <v>3.9300000000000004E-15</v>
      </c>
      <c r="BN71" s="18">
        <v>7.363016</v>
      </c>
      <c r="BO71" s="18">
        <v>7.363016</v>
      </c>
      <c r="BP71" s="18">
        <v>1</v>
      </c>
      <c r="BQ71" s="18">
        <v>0.44890160000000001</v>
      </c>
      <c r="BR71" s="18">
        <v>0.13478689999999999</v>
      </c>
      <c r="BS71" s="18">
        <v>0.86521309999999996</v>
      </c>
      <c r="BT71" s="18">
        <v>0.55497370000000001</v>
      </c>
      <c r="BU71" s="18">
        <v>0.69686530000000002</v>
      </c>
      <c r="BV71" s="18">
        <v>0.44306980000000001</v>
      </c>
      <c r="BW71" s="18">
        <v>4.3125900000000001</v>
      </c>
      <c r="BX71" s="18">
        <v>8.7409099999999995</v>
      </c>
      <c r="BY71" s="18">
        <v>2.0268350000000002</v>
      </c>
      <c r="BZ71" s="18">
        <v>0</v>
      </c>
      <c r="CA71" s="18">
        <v>0.46690090000000001</v>
      </c>
      <c r="CB71" s="18">
        <v>0.53309910000000005</v>
      </c>
      <c r="CC71" s="18">
        <v>0.1219765</v>
      </c>
      <c r="CD71" s="18">
        <v>0.87802349999999996</v>
      </c>
      <c r="CE71" s="18">
        <v>10.62419</v>
      </c>
      <c r="CF71" s="18">
        <v>11.7486</v>
      </c>
      <c r="CG71" s="18">
        <v>3.9093499999999999</v>
      </c>
      <c r="CH71" s="18">
        <v>8.7541519999999995</v>
      </c>
      <c r="CI71" s="18">
        <v>1.849051</v>
      </c>
      <c r="CJ71" s="18">
        <v>1.641051</v>
      </c>
      <c r="CK71" s="18">
        <v>0.88750969999999996</v>
      </c>
      <c r="CL71" s="18">
        <v>1.365073</v>
      </c>
      <c r="CM71" s="18">
        <v>0.56350199999999995</v>
      </c>
      <c r="CN71" s="18">
        <v>0.60514999999999997</v>
      </c>
      <c r="CO71" s="18">
        <v>0.53786230000000002</v>
      </c>
      <c r="CP71" s="18">
        <v>-1.53209E-2</v>
      </c>
      <c r="CQ71" s="18">
        <v>-5.8561999999999998E-3</v>
      </c>
      <c r="CR71" s="18">
        <v>-1.7783500000000001E-2</v>
      </c>
      <c r="CS71" s="18">
        <v>1.4435579999999999</v>
      </c>
      <c r="CT71" s="18">
        <v>1.8963353613936631</v>
      </c>
      <c r="CU71" s="18">
        <v>1.3063654518699797</v>
      </c>
      <c r="CV71" s="18">
        <v>1.156677</v>
      </c>
      <c r="CW71" s="18">
        <v>1.8685989999999999</v>
      </c>
      <c r="CX71" s="18">
        <v>1.4102520000000001</v>
      </c>
      <c r="CY71" s="18">
        <v>2.0411966939684234</v>
      </c>
      <c r="CZ71" s="17"/>
      <c r="DA71" s="18">
        <v>1.8398752070278011</v>
      </c>
      <c r="DB71" s="18">
        <v>1.1739539155251539</v>
      </c>
      <c r="DC71" s="18">
        <v>1.4509877680793291</v>
      </c>
      <c r="DD71" s="18">
        <v>0.91951737012643731</v>
      </c>
      <c r="DE71" s="18">
        <v>1.965453304351501</v>
      </c>
      <c r="DF71" s="18">
        <v>1.2566592275060631</v>
      </c>
      <c r="DG71" s="17"/>
      <c r="DI71" s="11"/>
      <c r="DJ71" s="33"/>
    </row>
    <row r="72" spans="1:114" x14ac:dyDescent="0.3">
      <c r="A72" s="5">
        <v>2017</v>
      </c>
      <c r="B72" s="3">
        <v>326860</v>
      </c>
      <c r="C72" s="3">
        <v>19612102</v>
      </c>
      <c r="D72" s="35">
        <v>8.9774665589370706</v>
      </c>
      <c r="E72" s="2">
        <v>8.7518109487372602</v>
      </c>
      <c r="F72" s="3">
        <v>13290626</v>
      </c>
      <c r="G72" s="3">
        <v>3467664</v>
      </c>
      <c r="H72" s="3">
        <v>2715714</v>
      </c>
      <c r="I72" s="3">
        <v>681427</v>
      </c>
      <c r="J72" s="3">
        <v>-543328</v>
      </c>
      <c r="K72" s="3">
        <f t="shared" si="16"/>
        <v>19612097.120000001</v>
      </c>
      <c r="L72" s="3">
        <f t="shared" si="17"/>
        <v>3707796.87</v>
      </c>
      <c r="M72" s="3">
        <f t="shared" si="18"/>
        <v>15904300.25</v>
      </c>
      <c r="N72" s="23">
        <v>9.3344888687133789</v>
      </c>
      <c r="O72" s="23">
        <v>6.1371908187866211</v>
      </c>
      <c r="P72" s="23">
        <v>11.255931854248047</v>
      </c>
      <c r="Q72" s="22">
        <v>1884302.75</v>
      </c>
      <c r="R72" s="22">
        <v>1823494.12</v>
      </c>
      <c r="S72" s="22">
        <v>2232115.25</v>
      </c>
      <c r="T72" s="22">
        <v>13672185</v>
      </c>
      <c r="U72" s="3">
        <v>10573499</v>
      </c>
      <c r="V72" s="3">
        <v>2047949.625</v>
      </c>
      <c r="W72" s="3">
        <v>8525549</v>
      </c>
      <c r="X72" s="2">
        <v>0.56109160184860229</v>
      </c>
      <c r="Y72" s="2">
        <v>8.264592170715332</v>
      </c>
      <c r="Z72" s="2">
        <v>6.1587367057800293</v>
      </c>
      <c r="AA72" s="2">
        <v>9.3277721405029297</v>
      </c>
      <c r="AB72" s="2">
        <v>13.710339546203613</v>
      </c>
      <c r="AC72" s="2">
        <v>9.4324169158935547</v>
      </c>
      <c r="AD72" s="2">
        <v>15.410539627075195</v>
      </c>
      <c r="AE72" s="2">
        <v>2.7760024070739746</v>
      </c>
      <c r="AF72" s="2">
        <v>1.3876616954803467</v>
      </c>
      <c r="AG72" s="2">
        <v>3.886127233505249</v>
      </c>
      <c r="AH72" s="2">
        <v>0.54091036319732666</v>
      </c>
      <c r="AI72" s="2">
        <v>0.56619358062744141</v>
      </c>
      <c r="AJ72" s="3">
        <f t="shared" si="19"/>
        <v>15495685</v>
      </c>
      <c r="AK72" s="3">
        <v>3421645</v>
      </c>
      <c r="AL72" s="3">
        <v>12074040</v>
      </c>
      <c r="AM72" s="2">
        <v>8.0036300861938301</v>
      </c>
      <c r="AN72" s="2">
        <v>9.38711027391264</v>
      </c>
      <c r="AO72" s="2">
        <v>8.0577045287048499</v>
      </c>
      <c r="AP72" s="2">
        <v>3.8957326425688401</v>
      </c>
      <c r="AQ72" s="2">
        <v>8.3613863086732394</v>
      </c>
      <c r="AR72" s="2">
        <v>14.849030825097399</v>
      </c>
      <c r="AS72" s="3">
        <v>4116417</v>
      </c>
      <c r="AT72" s="23">
        <v>13.9198218262806</v>
      </c>
      <c r="AU72" s="23">
        <v>6.8190881841031201</v>
      </c>
      <c r="AV72" s="17"/>
      <c r="AW72" s="18">
        <f t="shared" si="12"/>
        <v>0.45775301487846959</v>
      </c>
      <c r="AX72" s="18">
        <f t="shared" si="13"/>
        <v>0.54224698512153047</v>
      </c>
      <c r="AY72" s="18">
        <f t="shared" si="14"/>
        <v>0.11767758649870648</v>
      </c>
      <c r="AZ72" s="18">
        <f t="shared" si="15"/>
        <v>0.88232241350129348</v>
      </c>
      <c r="BA72" s="18">
        <v>45.246110000000002</v>
      </c>
      <c r="BB72" s="18">
        <v>0.50373290000000004</v>
      </c>
      <c r="BC72" s="18">
        <v>0.49626710000000002</v>
      </c>
      <c r="BD72" s="18">
        <v>0.64724230000000005</v>
      </c>
      <c r="BE72" s="18">
        <v>0</v>
      </c>
      <c r="BF72" s="18">
        <v>9.1560170000000003</v>
      </c>
      <c r="BG72" s="18">
        <v>9.1560190000000006</v>
      </c>
      <c r="BH72" s="18">
        <v>1</v>
      </c>
      <c r="BI72" s="18">
        <v>0.83056479999999999</v>
      </c>
      <c r="BJ72" s="18">
        <v>0.1851719</v>
      </c>
      <c r="BK72" s="18">
        <v>0.81482810000000006</v>
      </c>
      <c r="BL72" s="18">
        <v>0.29117480000000001</v>
      </c>
      <c r="BM72" s="18">
        <v>3.9300000000000004E-15</v>
      </c>
      <c r="BN72" s="18">
        <v>7.4816010000000004</v>
      </c>
      <c r="BO72" s="18">
        <v>7.4816010000000004</v>
      </c>
      <c r="BP72" s="18">
        <v>1</v>
      </c>
      <c r="BQ72" s="18">
        <v>0.44890160000000001</v>
      </c>
      <c r="BR72" s="18">
        <v>0.1359313</v>
      </c>
      <c r="BS72" s="18">
        <v>0.86406859999999996</v>
      </c>
      <c r="BT72" s="18">
        <v>0.55497370000000001</v>
      </c>
      <c r="BU72" s="18">
        <v>0.69686530000000002</v>
      </c>
      <c r="BV72" s="18">
        <v>0.44306980000000001</v>
      </c>
      <c r="BW72" s="18">
        <v>4.3382199999999997</v>
      </c>
      <c r="BX72" s="18">
        <v>8.906898</v>
      </c>
      <c r="BY72" s="18">
        <v>2.0531229999999998</v>
      </c>
      <c r="BZ72" s="18">
        <v>0.98539940000000004</v>
      </c>
      <c r="CA72" s="18">
        <v>0.46550279999999999</v>
      </c>
      <c r="CB72" s="18">
        <v>0.53449720000000001</v>
      </c>
      <c r="CC72" s="18">
        <v>0.1201121</v>
      </c>
      <c r="CD72" s="18">
        <v>0.87988789999999995</v>
      </c>
      <c r="CE72" s="18">
        <v>10.808350000000001</v>
      </c>
      <c r="CF72" s="18">
        <v>12.11938</v>
      </c>
      <c r="CG72" s="18">
        <v>3.9996830000000001</v>
      </c>
      <c r="CH72" s="18">
        <v>8.9013240000000007</v>
      </c>
      <c r="CI72" s="18">
        <v>1.8076129999999999</v>
      </c>
      <c r="CJ72" s="18">
        <v>1.645208</v>
      </c>
      <c r="CK72" s="18">
        <v>0.91015509999999999</v>
      </c>
      <c r="CL72" s="18">
        <v>1.3686670000000001</v>
      </c>
      <c r="CM72" s="18">
        <v>0.56350199999999995</v>
      </c>
      <c r="CN72" s="18">
        <v>0.60514999999999997</v>
      </c>
      <c r="CO72" s="18">
        <v>0.53786230000000002</v>
      </c>
      <c r="CP72" s="18">
        <v>-9.1473000000000006E-3</v>
      </c>
      <c r="CQ72" s="18">
        <v>6.8405999999999996E-3</v>
      </c>
      <c r="CR72" s="18">
        <v>-1.3241299999999999E-2</v>
      </c>
      <c r="CS72" s="18">
        <v>1.4304140000000001</v>
      </c>
      <c r="CT72" s="18">
        <v>1.9202045706999824</v>
      </c>
      <c r="CU72" s="18">
        <v>1.3143507547871935</v>
      </c>
      <c r="CV72" s="18">
        <v>1.171907</v>
      </c>
      <c r="CW72" s="18">
        <v>1.8891039999999999</v>
      </c>
      <c r="CX72" s="18">
        <v>1.3977470000000001</v>
      </c>
      <c r="CY72" s="18">
        <v>2.0620976460985578</v>
      </c>
      <c r="CZ72" s="17"/>
      <c r="DA72" s="18">
        <v>1.8834299448794201</v>
      </c>
      <c r="DB72" s="18">
        <v>1.1902738880416519</v>
      </c>
      <c r="DC72" s="18">
        <v>1.4677571495028181</v>
      </c>
      <c r="DD72" s="18">
        <v>0.92797816137840361</v>
      </c>
      <c r="DE72" s="18">
        <v>2.0173494912850209</v>
      </c>
      <c r="DF72" s="18">
        <v>1.275455006438968</v>
      </c>
      <c r="DG72" s="17"/>
      <c r="DI72" s="11"/>
      <c r="DJ72" s="33"/>
    </row>
    <row r="73" spans="1:114" x14ac:dyDescent="0.3">
      <c r="A73" s="20">
        <v>2018</v>
      </c>
      <c r="B73" s="3">
        <v>328795</v>
      </c>
      <c r="C73" s="3">
        <v>20656516</v>
      </c>
      <c r="D73" s="36">
        <v>9.24382799174073</v>
      </c>
      <c r="E73" s="2">
        <v>8.9522623038283395</v>
      </c>
      <c r="F73" s="3">
        <v>13934442</v>
      </c>
      <c r="G73" s="3">
        <v>3724770</v>
      </c>
      <c r="H73" s="3">
        <v>2859732</v>
      </c>
      <c r="I73" s="3">
        <v>730649</v>
      </c>
      <c r="J73" s="3">
        <v>-593077</v>
      </c>
      <c r="K73" s="3">
        <f>L73+M73</f>
        <v>20656528.5</v>
      </c>
      <c r="L73" s="3">
        <f t="shared" si="17"/>
        <v>3961873</v>
      </c>
      <c r="M73" s="3">
        <f t="shared" si="18"/>
        <v>16694655.5</v>
      </c>
      <c r="N73" s="33">
        <v>9.5877256393432617</v>
      </c>
      <c r="O73" s="33">
        <v>6.3425788879394531</v>
      </c>
      <c r="P73" s="33">
        <v>11.54304027557373</v>
      </c>
      <c r="Q73" s="22">
        <v>2022117.38</v>
      </c>
      <c r="R73" s="22">
        <v>1939755.62</v>
      </c>
      <c r="S73" s="22">
        <v>2376887.5</v>
      </c>
      <c r="T73" s="22">
        <v>14317768</v>
      </c>
      <c r="U73" s="3">
        <v>11092959</v>
      </c>
      <c r="V73" s="3">
        <v>2147625</v>
      </c>
      <c r="W73" s="3">
        <v>8945334</v>
      </c>
      <c r="X73" s="2">
        <v>0.55963248014450073</v>
      </c>
      <c r="Y73" s="2">
        <v>8.4951953887939453</v>
      </c>
      <c r="Z73" s="2">
        <v>6.3775105476379395</v>
      </c>
      <c r="AA73" s="2">
        <v>9.5698604583740234</v>
      </c>
      <c r="AB73">
        <v>14.037237167358398</v>
      </c>
      <c r="AC73" s="2">
        <v>9.6057834625244141</v>
      </c>
      <c r="AD73" s="2">
        <v>15.801541328430176</v>
      </c>
      <c r="AE73" s="2">
        <v>2.8328330516815186</v>
      </c>
      <c r="AF73" s="2">
        <v>1.4272518157958984</v>
      </c>
      <c r="AG73" s="2">
        <v>3.9582009315490723</v>
      </c>
      <c r="AH73" s="2">
        <v>0.53015285730361938</v>
      </c>
      <c r="AI73" s="2">
        <v>0.5672154426574707</v>
      </c>
      <c r="AJ73" s="3">
        <f>AK73+AL73</f>
        <v>16257505</v>
      </c>
      <c r="AK73" s="3">
        <v>3580860</v>
      </c>
      <c r="AL73" s="3">
        <v>12676645</v>
      </c>
      <c r="AM73">
        <v>8.1974869910334398</v>
      </c>
      <c r="AN73">
        <v>9.6157089279924506</v>
      </c>
      <c r="AO73">
        <v>8.3194605736699501</v>
      </c>
      <c r="AP73">
        <v>3.9487324373999502</v>
      </c>
      <c r="AQ73">
        <v>8.5289051457716791</v>
      </c>
      <c r="AR73">
        <v>15.2839226616235</v>
      </c>
      <c r="AS73" s="3">
        <v>4399011</v>
      </c>
      <c r="AT73" s="23">
        <v>14.619292873051201</v>
      </c>
      <c r="AU73" s="23">
        <v>6.93855925374924</v>
      </c>
      <c r="AV73" s="17"/>
      <c r="AW73" s="18">
        <f t="shared" si="12"/>
        <v>0.45967609383511299</v>
      </c>
      <c r="AX73" s="18">
        <f t="shared" si="13"/>
        <v>0.54032390616488701</v>
      </c>
      <c r="AY73" s="18">
        <f t="shared" si="14"/>
        <v>0.11931433503277912</v>
      </c>
      <c r="AZ73" s="18">
        <f t="shared" si="15"/>
        <v>0.88068566496722078</v>
      </c>
      <c r="CT73" s="18">
        <v>1.9416589676097435</v>
      </c>
      <c r="CU73" s="18">
        <v>1.3200489774365141</v>
      </c>
      <c r="CY73" s="18">
        <v>2.0886816997750528</v>
      </c>
      <c r="CZ73" s="17"/>
      <c r="DA73" s="18">
        <v>1.9325071705196399</v>
      </c>
      <c r="DB73" s="18">
        <v>1.2160689986212561</v>
      </c>
      <c r="DC73" s="18">
        <v>1.493701258288709</v>
      </c>
      <c r="DD73" s="18">
        <v>0.95188763278947042</v>
      </c>
      <c r="DE73" s="18">
        <v>2.0737811128298609</v>
      </c>
      <c r="DF73" s="18">
        <v>1.3019110443671511</v>
      </c>
      <c r="DG73" s="17"/>
      <c r="DI73" s="11"/>
      <c r="DJ73" s="33"/>
    </row>
    <row r="74" spans="1:114" x14ac:dyDescent="0.3">
      <c r="A74" s="20">
        <v>2019</v>
      </c>
      <c r="B74" s="3">
        <v>330513</v>
      </c>
      <c r="C74" s="3">
        <v>21539982</v>
      </c>
      <c r="D74" s="36">
        <v>9.4826286022084592</v>
      </c>
      <c r="E74" s="2">
        <v>9.1000583128182306</v>
      </c>
      <c r="F74" s="3">
        <v>14437543</v>
      </c>
      <c r="G74" s="3">
        <v>3893734</v>
      </c>
      <c r="H74" s="3">
        <v>3012056</v>
      </c>
      <c r="I74" s="3">
        <v>773940</v>
      </c>
      <c r="J74" s="3">
        <v>-577290</v>
      </c>
      <c r="K74" s="3">
        <f t="shared" ref="K74:K78" si="20">L74+M74</f>
        <v>21539988</v>
      </c>
      <c r="L74" s="3">
        <f t="shared" si="17"/>
        <v>4011589</v>
      </c>
      <c r="M74" s="3">
        <f t="shared" si="18"/>
        <v>17528399</v>
      </c>
      <c r="N74" s="33">
        <v>9.7383518218994141</v>
      </c>
      <c r="O74" s="33">
        <v>6.3151111602783203</v>
      </c>
      <c r="P74" s="33">
        <v>11.784029006958008</v>
      </c>
      <c r="Q74" s="22">
        <v>2072811</v>
      </c>
      <c r="R74" s="22">
        <v>1938778</v>
      </c>
      <c r="S74" s="22">
        <v>2521905</v>
      </c>
      <c r="T74" s="22">
        <v>15006494</v>
      </c>
      <c r="U74" s="3">
        <v>11559954</v>
      </c>
      <c r="V74" s="3">
        <v>2233367.25</v>
      </c>
      <c r="W74" s="3">
        <v>9326587</v>
      </c>
      <c r="X74" s="2">
        <v>0.55776989459991455</v>
      </c>
      <c r="Y74" s="2">
        <v>8.7187709808349609</v>
      </c>
      <c r="Z74" s="2">
        <v>6.4924335479736328</v>
      </c>
      <c r="AA74" s="2">
        <v>9.8420429229736328</v>
      </c>
      <c r="AB74">
        <v>14.361440658569336</v>
      </c>
      <c r="AC74" s="2">
        <v>9.7868528366088867</v>
      </c>
      <c r="AD74" s="2">
        <v>16.184921264648438</v>
      </c>
      <c r="AE74" s="2">
        <v>2.8785085678100586</v>
      </c>
      <c r="AF74" s="2">
        <v>1.465760350227356</v>
      </c>
      <c r="AG74" s="2">
        <v>4.0117850303649902</v>
      </c>
      <c r="AH74" s="2">
        <v>0.53158313035964966</v>
      </c>
      <c r="AI74" s="2">
        <v>0.56446969509124756</v>
      </c>
      <c r="AJ74" s="3">
        <f t="shared" ref="AJ74:AJ78" si="21">AK74+AL74</f>
        <v>16945263</v>
      </c>
      <c r="AK74" s="3">
        <v>3733841</v>
      </c>
      <c r="AL74" s="3">
        <v>13211422</v>
      </c>
      <c r="AM74">
        <v>8.4016233343993498</v>
      </c>
      <c r="AN74">
        <v>9.7789737572599797</v>
      </c>
      <c r="AO74">
        <v>8.6141336877872998</v>
      </c>
      <c r="AP74">
        <v>3.9765802031366699</v>
      </c>
      <c r="AQ74">
        <v>8.7061126136736302</v>
      </c>
      <c r="AR74">
        <v>15.6044717766229</v>
      </c>
      <c r="AS74" s="3">
        <v>4594718</v>
      </c>
      <c r="AT74" s="23">
        <v>15.047327394209301</v>
      </c>
      <c r="AU74" s="23">
        <v>7.0410935012484197</v>
      </c>
      <c r="AV74" s="17"/>
      <c r="AW74" s="18">
        <f t="shared" ref="AW74:AW78" si="22">Q74/(Q74+S74)</f>
        <v>0.45112929721880524</v>
      </c>
      <c r="AX74" s="18">
        <f t="shared" si="13"/>
        <v>0.54887070278119476</v>
      </c>
      <c r="AY74" s="18">
        <f t="shared" ref="AY74:AY78" si="23">R74/(R74+T74)</f>
        <v>0.11441409733641336</v>
      </c>
      <c r="AZ74" s="18">
        <f t="shared" ref="AZ74:AZ78" si="24">T74/(T74+R74)</f>
        <v>0.88558590266358661</v>
      </c>
      <c r="CT74" s="18">
        <v>1.9314168440652164</v>
      </c>
      <c r="CU74" s="18">
        <v>1.3333111329227267</v>
      </c>
      <c r="CY74" s="18">
        <v>2.1059339959962093</v>
      </c>
      <c r="CZ74" s="17"/>
      <c r="DA74" s="18">
        <v>1.9837888031051529</v>
      </c>
      <c r="DB74" s="18">
        <v>1.236125089685252</v>
      </c>
      <c r="DC74" s="18">
        <v>1.518591903730637</v>
      </c>
      <c r="DD74" s="18">
        <v>0.97724829547177194</v>
      </c>
      <c r="DE74" s="18">
        <v>2.1334441983315671</v>
      </c>
      <c r="DF74" s="18">
        <v>1.32042690867692</v>
      </c>
      <c r="DG74" s="17"/>
      <c r="DI74" s="11"/>
      <c r="DJ74" s="33"/>
    </row>
    <row r="75" spans="1:114" x14ac:dyDescent="0.3">
      <c r="A75" s="20">
        <v>2020</v>
      </c>
      <c r="B75" s="3">
        <v>331840</v>
      </c>
      <c r="C75" s="3">
        <v>21354105</v>
      </c>
      <c r="D75" s="36">
        <v>9.2774934913367506</v>
      </c>
      <c r="E75" s="2">
        <v>9.2210058173187495</v>
      </c>
      <c r="F75" s="3">
        <v>14225657</v>
      </c>
      <c r="G75" s="3">
        <v>3755013</v>
      </c>
      <c r="H75" s="3">
        <v>3180853</v>
      </c>
      <c r="I75" s="3">
        <v>818785</v>
      </c>
      <c r="J75" s="3">
        <v>-626203</v>
      </c>
      <c r="K75" s="3">
        <f t="shared" si="20"/>
        <v>21354093.5</v>
      </c>
      <c r="L75" s="3">
        <f t="shared" si="17"/>
        <v>3817794</v>
      </c>
      <c r="M75" s="3">
        <f t="shared" si="18"/>
        <v>17536299.5</v>
      </c>
      <c r="N75" s="33">
        <v>9.8568582534790039</v>
      </c>
      <c r="O75" s="33">
        <v>6.1744694709777832</v>
      </c>
      <c r="P75" s="33">
        <v>12.02871036529541</v>
      </c>
      <c r="Q75" s="22">
        <v>2006084.5</v>
      </c>
      <c r="R75" s="22">
        <v>1811709.5</v>
      </c>
      <c r="S75" s="22">
        <v>2603785.5</v>
      </c>
      <c r="T75" s="22">
        <v>14932514</v>
      </c>
      <c r="U75" s="3">
        <v>11364555</v>
      </c>
      <c r="V75" s="3">
        <v>2136374.5</v>
      </c>
      <c r="W75" s="3">
        <v>9228181</v>
      </c>
      <c r="X75" s="2">
        <v>0.55508852005004883</v>
      </c>
      <c r="Y75" s="2">
        <v>8.547724723815918</v>
      </c>
      <c r="Z75" s="2">
        <v>6.3396410942077637</v>
      </c>
      <c r="AA75" s="2">
        <v>9.6583995819091797</v>
      </c>
      <c r="AB75">
        <v>14.713427543640137</v>
      </c>
      <c r="AC75" s="2">
        <v>10.000422477722168</v>
      </c>
      <c r="AD75" s="2">
        <v>16.592729568481445</v>
      </c>
      <c r="AE75" s="2">
        <v>2.7580521106719971</v>
      </c>
      <c r="AF75" s="2">
        <v>1.3871017694473267</v>
      </c>
      <c r="AG75" s="2">
        <v>3.8551535606384277</v>
      </c>
      <c r="AH75" s="2">
        <v>0.53891664743423462</v>
      </c>
      <c r="AI75" s="2">
        <v>0.55905789136886597</v>
      </c>
      <c r="AJ75" s="3">
        <f t="shared" si="21"/>
        <v>16744238</v>
      </c>
      <c r="AK75" s="3">
        <v>3787185</v>
      </c>
      <c r="AL75" s="3">
        <v>12957053</v>
      </c>
      <c r="AM75">
        <v>8.1891916213907194</v>
      </c>
      <c r="AN75">
        <v>9.9136241916166092</v>
      </c>
      <c r="AO75">
        <v>9.0708226815781003</v>
      </c>
      <c r="AP75">
        <v>3.8303228081452398</v>
      </c>
      <c r="AQ75">
        <v>8.3660991393082096</v>
      </c>
      <c r="AR75">
        <v>15.926011169398199</v>
      </c>
      <c r="AS75" s="3">
        <v>4609869</v>
      </c>
      <c r="AT75" s="23">
        <v>14.9246937639198</v>
      </c>
      <c r="AU75" s="23">
        <v>7.12235760667539</v>
      </c>
      <c r="AV75" s="17"/>
      <c r="AW75" s="18">
        <f t="shared" si="22"/>
        <v>0.43517159919910975</v>
      </c>
      <c r="AX75" s="18">
        <f t="shared" si="13"/>
        <v>0.56482840080089025</v>
      </c>
      <c r="AY75" s="18">
        <f t="shared" si="23"/>
        <v>0.10819907534081828</v>
      </c>
      <c r="AZ75" s="18">
        <f t="shared" si="24"/>
        <v>0.8918009246591817</v>
      </c>
      <c r="CT75" s="18">
        <v>1.9271587960387428</v>
      </c>
      <c r="CU75" s="18">
        <v>1.3236158420940836</v>
      </c>
      <c r="CY75" s="18">
        <v>2.0919389087402256</v>
      </c>
      <c r="CZ75" s="17"/>
      <c r="DA75" s="18">
        <v>2.0417947863912129</v>
      </c>
      <c r="DB75" s="18">
        <v>1.1899635287619279</v>
      </c>
      <c r="DC75" s="18">
        <v>1.5556613925936349</v>
      </c>
      <c r="DD75" s="18">
        <v>0.92453489916891862</v>
      </c>
      <c r="DE75" s="18">
        <v>2.1980623732908868</v>
      </c>
      <c r="DF75" s="18">
        <v>1.27590577715745</v>
      </c>
      <c r="DG75" s="17"/>
      <c r="DI75" s="11"/>
      <c r="DJ75" s="33"/>
    </row>
    <row r="76" spans="1:114" x14ac:dyDescent="0.3">
      <c r="A76" s="20">
        <v>2021</v>
      </c>
      <c r="B76" s="3">
        <v>332505</v>
      </c>
      <c r="C76" s="3">
        <v>23681171</v>
      </c>
      <c r="D76" s="36">
        <v>9.8393033485950294</v>
      </c>
      <c r="E76" s="2">
        <v>9.6419839475258797</v>
      </c>
      <c r="F76" s="3">
        <v>16113945</v>
      </c>
      <c r="G76" s="3">
        <v>4223772</v>
      </c>
      <c r="H76" s="3">
        <v>3375284</v>
      </c>
      <c r="I76" s="3">
        <v>828198</v>
      </c>
      <c r="J76" s="3">
        <v>-860029</v>
      </c>
      <c r="K76" s="3">
        <f t="shared" si="20"/>
        <v>23681157.5</v>
      </c>
      <c r="L76" s="3">
        <f t="shared" si="17"/>
        <v>4371715</v>
      </c>
      <c r="M76" s="3">
        <f t="shared" si="18"/>
        <v>19309442.5</v>
      </c>
      <c r="N76" s="33">
        <v>10.398921012878418</v>
      </c>
      <c r="O76" s="33">
        <v>6.7920675277709961</v>
      </c>
      <c r="P76" s="33">
        <v>12.56256103515625</v>
      </c>
      <c r="Q76" s="22">
        <v>2184974.5</v>
      </c>
      <c r="R76" s="22">
        <v>2186740.5</v>
      </c>
      <c r="S76" s="22">
        <v>2854805.5</v>
      </c>
      <c r="T76" s="22">
        <v>16454637</v>
      </c>
      <c r="U76" s="3">
        <v>12378272</v>
      </c>
      <c r="V76" s="3">
        <v>2270455</v>
      </c>
      <c r="W76" s="3">
        <v>10107817</v>
      </c>
      <c r="X76" s="2">
        <v>0.54502725601196289</v>
      </c>
      <c r="Y76" s="2">
        <v>9.0701942443847656</v>
      </c>
      <c r="Z76" s="2">
        <v>6.6014237403869629</v>
      </c>
      <c r="AA76" s="2">
        <v>10.295631408691406</v>
      </c>
      <c r="AB76">
        <v>14.994697570800781</v>
      </c>
      <c r="AC76" s="2">
        <v>10.151399612426758</v>
      </c>
      <c r="AD76" s="2">
        <v>16.927215576171875</v>
      </c>
      <c r="AE76" s="2">
        <v>2.8544209003448486</v>
      </c>
      <c r="AF76" s="2">
        <v>1.4234329462051392</v>
      </c>
      <c r="AG76" s="2">
        <v>3.9975881576538086</v>
      </c>
      <c r="AH76" s="2">
        <v>0.51996833086013794</v>
      </c>
      <c r="AI76" s="2">
        <v>0.55113017559051514</v>
      </c>
      <c r="AJ76" s="3">
        <f t="shared" si="21"/>
        <v>18641393</v>
      </c>
      <c r="AK76" s="3">
        <v>4420203</v>
      </c>
      <c r="AL76" s="3">
        <v>14221190</v>
      </c>
      <c r="AM76">
        <v>8.6990442889914199</v>
      </c>
      <c r="AN76">
        <v>10.389986713643999</v>
      </c>
      <c r="AO76">
        <v>9.8009451993869696</v>
      </c>
      <c r="AP76">
        <v>4.1375169649780403</v>
      </c>
      <c r="AQ76">
        <v>8.8049195933474298</v>
      </c>
      <c r="AR76">
        <v>16.608649952747001</v>
      </c>
      <c r="AS76" s="3">
        <v>5039777</v>
      </c>
      <c r="AT76" s="23">
        <v>15.7356625835189</v>
      </c>
      <c r="AU76" s="23">
        <v>7.3852789834455903</v>
      </c>
      <c r="AV76" s="17"/>
      <c r="AW76" s="18">
        <f t="shared" si="22"/>
        <v>0.43354561111794565</v>
      </c>
      <c r="AX76" s="18">
        <f t="shared" si="13"/>
        <v>0.56645438888205435</v>
      </c>
      <c r="AY76" s="18">
        <f t="shared" si="23"/>
        <v>0.11730573558740495</v>
      </c>
      <c r="AZ76" s="18">
        <f t="shared" si="24"/>
        <v>0.88269426441259502</v>
      </c>
      <c r="CT76" s="18">
        <v>1.9648328270893161</v>
      </c>
      <c r="CU76" s="18">
        <v>1.3704154619559092</v>
      </c>
      <c r="CY76" s="18">
        <v>2.1763934363126305</v>
      </c>
      <c r="CZ76" s="17"/>
      <c r="DA76" s="18">
        <v>2.0916297729895872</v>
      </c>
      <c r="DB76" s="18">
        <v>1.2280248706283681</v>
      </c>
      <c r="DC76" s="18">
        <v>1.575072864581921</v>
      </c>
      <c r="DD76" s="18">
        <v>0.94357665876825803</v>
      </c>
      <c r="DE76" s="18">
        <v>2.2573569441217849</v>
      </c>
      <c r="DF76" s="18">
        <v>1.3198513763449149</v>
      </c>
      <c r="DG76" s="17"/>
      <c r="DI76" s="11"/>
      <c r="DJ76" s="33"/>
    </row>
    <row r="77" spans="1:114" x14ac:dyDescent="0.3">
      <c r="A77" s="20">
        <v>2022</v>
      </c>
      <c r="B77" s="3">
        <v>334372</v>
      </c>
      <c r="C77" s="3">
        <v>26006893</v>
      </c>
      <c r="D77" s="36">
        <v>10.0864530029626</v>
      </c>
      <c r="E77" s="2">
        <v>10.3294591398372</v>
      </c>
      <c r="F77" s="3">
        <v>17690841</v>
      </c>
      <c r="G77" s="3">
        <v>4821222</v>
      </c>
      <c r="H77" s="3">
        <v>3566533</v>
      </c>
      <c r="I77" s="3">
        <v>887233</v>
      </c>
      <c r="J77" s="3">
        <v>-958935</v>
      </c>
      <c r="K77" s="3">
        <f t="shared" si="20"/>
        <v>26006915.5</v>
      </c>
      <c r="L77" s="3">
        <f t="shared" si="17"/>
        <v>4992982.25</v>
      </c>
      <c r="M77" s="3">
        <f t="shared" si="18"/>
        <v>21013933.25</v>
      </c>
      <c r="N77" s="33">
        <v>11.274673461914063</v>
      </c>
      <c r="O77" s="33">
        <v>7.8974223136901855</v>
      </c>
      <c r="P77" s="33">
        <v>13.383896827697754</v>
      </c>
      <c r="Q77" s="22">
        <v>2427501.75</v>
      </c>
      <c r="R77" s="22">
        <v>2565480.5</v>
      </c>
      <c r="S77" s="22">
        <v>3131301.25</v>
      </c>
      <c r="T77" s="22">
        <v>17882632</v>
      </c>
      <c r="U77" s="3">
        <v>13569368</v>
      </c>
      <c r="V77" s="3">
        <v>2513202</v>
      </c>
      <c r="W77" s="3">
        <v>11056166</v>
      </c>
      <c r="X77" s="2">
        <v>0.53567361831665039</v>
      </c>
      <c r="Y77" s="2">
        <v>9.2353200912475586</v>
      </c>
      <c r="Z77" s="2">
        <v>6.4847893714904785</v>
      </c>
      <c r="AA77" s="2">
        <v>10.577735900878906</v>
      </c>
      <c r="AB77">
        <v>15.32447338104248</v>
      </c>
      <c r="AC77" s="2">
        <v>10.321933746337891</v>
      </c>
      <c r="AD77" s="2">
        <v>17.324220657348633</v>
      </c>
      <c r="AE77" s="2">
        <v>2.9616611003875732</v>
      </c>
      <c r="AF77" s="2">
        <v>1.4749537706375122</v>
      </c>
      <c r="AG77" s="2">
        <v>4.1490201950073242</v>
      </c>
      <c r="AH77" s="2">
        <v>0.49276766180992126</v>
      </c>
      <c r="AI77" s="2">
        <v>0.54646015167236328</v>
      </c>
      <c r="AJ77" s="3">
        <f t="shared" si="21"/>
        <v>20448085</v>
      </c>
      <c r="AK77" s="3">
        <v>4896781</v>
      </c>
      <c r="AL77" s="3">
        <v>15551304</v>
      </c>
      <c r="AM77">
        <v>8.92900940325341</v>
      </c>
      <c r="AN77">
        <v>11.103439515624901</v>
      </c>
      <c r="AO77">
        <v>9.5380502749311393</v>
      </c>
      <c r="AP77">
        <v>4.70995337054923</v>
      </c>
      <c r="AQ77">
        <v>9.0993521182437096</v>
      </c>
      <c r="AR77">
        <v>17.574384640269098</v>
      </c>
      <c r="AS77" s="3">
        <v>5558807</v>
      </c>
      <c r="AT77" s="23">
        <v>16.0547048997772</v>
      </c>
      <c r="AU77" s="23">
        <v>7.9839882384532403</v>
      </c>
      <c r="AV77" s="17"/>
      <c r="AW77" s="18">
        <f t="shared" si="22"/>
        <v>0.43669504927589625</v>
      </c>
      <c r="AX77" s="18">
        <f t="shared" si="13"/>
        <v>0.56330495072410369</v>
      </c>
      <c r="AY77" s="18">
        <f t="shared" si="23"/>
        <v>0.12546294920863724</v>
      </c>
      <c r="AZ77" s="18">
        <f t="shared" si="24"/>
        <v>0.87453705079136279</v>
      </c>
      <c r="CT77" s="18">
        <v>1.8781482536768745</v>
      </c>
      <c r="CU77" s="18">
        <v>1.364903925690836</v>
      </c>
      <c r="CY77" s="18">
        <v>2.1449880655580333</v>
      </c>
      <c r="CZ77" s="17"/>
      <c r="DA77" s="18">
        <v>2.146907277511128</v>
      </c>
      <c r="DB77" s="18">
        <v>1.2726212913400341</v>
      </c>
      <c r="DC77" s="18">
        <v>1.599221855842589</v>
      </c>
      <c r="DD77" s="18">
        <v>0.97882403493047698</v>
      </c>
      <c r="DE77" s="18">
        <v>2.3225858132287192</v>
      </c>
      <c r="DF77" s="18">
        <v>1.3674807956022581</v>
      </c>
      <c r="DG77" s="17"/>
      <c r="DI77" s="11"/>
      <c r="DJ77" s="33"/>
    </row>
    <row r="78" spans="1:114" x14ac:dyDescent="0.3">
      <c r="A78" s="20">
        <v>2023</v>
      </c>
      <c r="B78" s="3">
        <v>337141</v>
      </c>
      <c r="C78" s="3">
        <v>27720709</v>
      </c>
      <c r="D78" s="36">
        <v>10.3776820181345</v>
      </c>
      <c r="E78" s="2">
        <v>10.7011771848387</v>
      </c>
      <c r="F78" s="3">
        <v>18822769</v>
      </c>
      <c r="G78" s="3">
        <v>4984761</v>
      </c>
      <c r="H78" s="3">
        <v>3723954</v>
      </c>
      <c r="I78" s="3">
        <v>986568</v>
      </c>
      <c r="J78" s="3">
        <v>-797342</v>
      </c>
      <c r="K78" s="3">
        <f t="shared" si="20"/>
        <v>27720687.25</v>
      </c>
      <c r="L78" s="3">
        <f t="shared" si="17"/>
        <v>5193443</v>
      </c>
      <c r="M78" s="3">
        <f t="shared" si="18"/>
        <v>22527244.25</v>
      </c>
      <c r="N78" s="33">
        <v>11.668087005615234</v>
      </c>
      <c r="O78" s="33">
        <v>7.9339852333068848</v>
      </c>
      <c r="P78" s="33">
        <v>13.954963684082031</v>
      </c>
      <c r="Q78" s="22">
        <v>2589420.75</v>
      </c>
      <c r="R78" s="22">
        <v>2604022.25</v>
      </c>
      <c r="S78" s="22">
        <v>3340208.25</v>
      </c>
      <c r="T78" s="22">
        <v>19187036</v>
      </c>
      <c r="U78" s="3">
        <v>14300017</v>
      </c>
      <c r="V78" s="3">
        <v>2632089.75</v>
      </c>
      <c r="W78" s="3">
        <v>11667927</v>
      </c>
      <c r="X78" s="2">
        <v>0.53139841556549072</v>
      </c>
      <c r="Y78" s="2">
        <v>9.4895401000976563</v>
      </c>
      <c r="Z78" s="2">
        <v>6.7004246711730957</v>
      </c>
      <c r="AA78" s="2">
        <v>10.853689193725586</v>
      </c>
      <c r="AB78">
        <v>15.644364356994629</v>
      </c>
      <c r="AC78" s="2">
        <v>10.51102352142334</v>
      </c>
      <c r="AD78" s="2">
        <v>17.698392868041992</v>
      </c>
      <c r="AE78" s="2">
        <v>2.9960243701934814</v>
      </c>
      <c r="AF78" s="2">
        <v>1.4760050773620605</v>
      </c>
      <c r="AG78" s="2">
        <v>4.2074594497680664</v>
      </c>
      <c r="AH78" s="2">
        <v>0.48720294237136841</v>
      </c>
      <c r="AI78" s="2">
        <v>0.54256194829940796</v>
      </c>
      <c r="AJ78" s="3">
        <f t="shared" si="21"/>
        <v>21791075</v>
      </c>
      <c r="AK78" s="3">
        <v>5091442</v>
      </c>
      <c r="AL78" s="3">
        <v>16699633</v>
      </c>
      <c r="AM78">
        <v>9.1786068671035803</v>
      </c>
      <c r="AN78">
        <v>11.5109205144961</v>
      </c>
      <c r="AO78">
        <v>9.9665350343467001</v>
      </c>
      <c r="AP78">
        <v>4.6866458449201698</v>
      </c>
      <c r="AQ78">
        <v>9.3717427242633207</v>
      </c>
      <c r="AR78">
        <v>18.323581185180402</v>
      </c>
      <c r="AS78" s="3">
        <v>5929633</v>
      </c>
      <c r="AT78" s="23">
        <v>16.572661469933099</v>
      </c>
      <c r="AU78" s="23">
        <v>8.2504222415258202</v>
      </c>
      <c r="AV78" s="17"/>
      <c r="AW78" s="18">
        <f t="shared" si="22"/>
        <v>0.43669186554504508</v>
      </c>
      <c r="AX78" s="18">
        <f t="shared" si="13"/>
        <v>0.56330813445495498</v>
      </c>
      <c r="AY78" s="18">
        <f t="shared" si="23"/>
        <v>0.11949957730942232</v>
      </c>
      <c r="AZ78" s="18">
        <f t="shared" si="24"/>
        <v>0.88050042269057771</v>
      </c>
      <c r="CT78" s="18">
        <v>1.9244900047123736</v>
      </c>
      <c r="CU78" s="18">
        <v>1.3766101081188256</v>
      </c>
      <c r="CY78" s="18">
        <v>2.1784198594712381</v>
      </c>
      <c r="CZ78" s="17"/>
      <c r="DA78" s="18">
        <v>2.2016606094381279</v>
      </c>
      <c r="DB78" s="18">
        <v>1.284636889632119</v>
      </c>
      <c r="DC78" s="18">
        <v>1.6306560528320131</v>
      </c>
      <c r="DD78" s="18">
        <v>0.97910373830171371</v>
      </c>
      <c r="DE78" s="18">
        <v>2.3848524931268829</v>
      </c>
      <c r="DF78" s="18">
        <v>1.383193160235364</v>
      </c>
      <c r="DG78" s="17"/>
      <c r="DI78" s="11"/>
      <c r="DJ78" s="33"/>
    </row>
    <row r="79" spans="1:114" s="17" customFormat="1" x14ac:dyDescent="0.3">
      <c r="A79" s="26"/>
      <c r="B79" s="27"/>
      <c r="C79" s="28"/>
      <c r="X79" s="29"/>
      <c r="AW79" s="30"/>
      <c r="CY79" s="30"/>
    </row>
    <row r="80" spans="1:114" x14ac:dyDescent="0.3">
      <c r="AL80" s="41"/>
      <c r="AM80" t="s">
        <v>219</v>
      </c>
      <c r="AO80" s="42" t="s">
        <v>198</v>
      </c>
      <c r="AP80" s="43"/>
      <c r="AQ80" s="42" t="s">
        <v>199</v>
      </c>
      <c r="AR80" s="44"/>
      <c r="AS80" s="44"/>
      <c r="AT80" s="42" t="s">
        <v>200</v>
      </c>
    </row>
    <row r="81" spans="4:46" x14ac:dyDescent="0.3">
      <c r="D81">
        <f>D78/D35</f>
        <v>3.1239055237271725</v>
      </c>
      <c r="G81" s="38"/>
      <c r="AL81" s="41" t="s">
        <v>196</v>
      </c>
      <c r="AM81" s="42">
        <f>(AM78/AM2)^(1/($A$78-$A$2))-1</f>
        <v>2.9599007803904565E-2</v>
      </c>
      <c r="AO81" s="42">
        <f>(AO78/AO2)^(1/($A$78-$A$2))-1</f>
        <v>3.0715339531018682E-2</v>
      </c>
      <c r="AP81" s="43"/>
      <c r="AQ81" s="42">
        <f>(AQ78/AQ2)^(1/($A$78-$A$2))-1</f>
        <v>2.9881151611677037E-2</v>
      </c>
      <c r="AR81" s="43"/>
      <c r="AS81" s="43"/>
      <c r="AT81" s="42">
        <f>(AT78/AT2)^(1/($A$78-$A$2))-1</f>
        <v>3.7635054171558213E-2</v>
      </c>
    </row>
    <row r="82" spans="4:46" x14ac:dyDescent="0.3">
      <c r="G82" s="38"/>
      <c r="AL82" s="41" t="s">
        <v>197</v>
      </c>
      <c r="AM82" s="42">
        <f>(AM35/AM2)^(1/($A$35-$A$2))-1</f>
        <v>3.518256073211723E-2</v>
      </c>
      <c r="AO82" s="42">
        <f>(AO35/AO2)^(1/($A$35-$A$2))-1</f>
        <v>3.2206823228752013E-2</v>
      </c>
      <c r="AP82" s="43"/>
      <c r="AQ82" s="42">
        <f>(AQ35/AQ2)^(1/($A$35-$A$2))-1</f>
        <v>3.7688937109314535E-2</v>
      </c>
      <c r="AR82" s="43"/>
      <c r="AS82" s="43"/>
      <c r="AT82" s="42">
        <f>(AT35/AT2)^(1/($A$35-$A$2))-1</f>
        <v>4.4316724849890354E-2</v>
      </c>
    </row>
    <row r="83" spans="4:46" x14ac:dyDescent="0.3">
      <c r="G83" s="38"/>
      <c r="AL83" s="41" t="s">
        <v>195</v>
      </c>
      <c r="AM83" s="42">
        <f>(AM78/AM35)^(1/($A$78-$A$35))-1</f>
        <v>2.5334389246928435E-2</v>
      </c>
      <c r="AO83" s="42">
        <f>(AO78/AO35)^(1/($A$78-$A$35))-1</f>
        <v>2.9572174278999608E-2</v>
      </c>
      <c r="AP83" s="43"/>
      <c r="AQ83" s="42">
        <f>(AQ78/AQ35)^(1/(A78-A35))-1</f>
        <v>2.3928996215388132E-2</v>
      </c>
      <c r="AR83" s="44"/>
      <c r="AS83" s="44"/>
      <c r="AT83" s="42">
        <f>(AT78/AT35)^(1/(A78-A35))-1</f>
        <v>3.2536268162163928E-2</v>
      </c>
    </row>
    <row r="84" spans="4:46" x14ac:dyDescent="0.3">
      <c r="G84" s="38"/>
    </row>
    <row r="85" spans="4:46" x14ac:dyDescent="0.3">
      <c r="G85" s="39"/>
    </row>
    <row r="86" spans="4:46" x14ac:dyDescent="0.3">
      <c r="G86" s="38"/>
    </row>
    <row r="87" spans="4:46" x14ac:dyDescent="0.3">
      <c r="G87" s="40"/>
      <c r="AT87">
        <f>AT78/AT35</f>
        <v>3.9621285234117449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B30A2-6FDE-402A-9793-73BE88BF70A4}">
  <dimension ref="A1:M88"/>
  <sheetViews>
    <sheetView topLeftCell="M68" workbookViewId="0">
      <selection activeCell="X80" sqref="X80"/>
    </sheetView>
  </sheetViews>
  <sheetFormatPr defaultRowHeight="14.4" x14ac:dyDescent="0.3"/>
  <cols>
    <col min="2" max="2" width="11.109375" bestFit="1" customWidth="1"/>
    <col min="3" max="3" width="10.109375" bestFit="1" customWidth="1"/>
  </cols>
  <sheetData>
    <row r="1" spans="1:13" x14ac:dyDescent="0.3">
      <c r="B1" s="59" t="s">
        <v>193</v>
      </c>
      <c r="C1" s="59"/>
      <c r="D1" s="59"/>
      <c r="E1" s="59" t="s">
        <v>194</v>
      </c>
      <c r="F1" s="59"/>
      <c r="G1" s="59"/>
      <c r="H1" s="59" t="s">
        <v>220</v>
      </c>
      <c r="I1" s="59"/>
      <c r="J1" s="59"/>
      <c r="K1" s="59" t="s">
        <v>221</v>
      </c>
      <c r="L1" s="59"/>
      <c r="M1" s="59"/>
    </row>
    <row r="2" spans="1:13" x14ac:dyDescent="0.3">
      <c r="A2" s="4" t="s">
        <v>0</v>
      </c>
      <c r="B2" s="1" t="s">
        <v>40</v>
      </c>
      <c r="C2" s="1" t="s">
        <v>42</v>
      </c>
      <c r="D2" s="1" t="s">
        <v>45</v>
      </c>
      <c r="E2" s="1" t="s">
        <v>40</v>
      </c>
      <c r="F2" s="1" t="s">
        <v>42</v>
      </c>
      <c r="G2" s="1" t="s">
        <v>45</v>
      </c>
      <c r="H2" s="1" t="s">
        <v>40</v>
      </c>
      <c r="I2" s="1" t="s">
        <v>42</v>
      </c>
      <c r="J2" s="1" t="s">
        <v>45</v>
      </c>
      <c r="K2" s="1" t="s">
        <v>40</v>
      </c>
      <c r="L2" s="1" t="s">
        <v>42</v>
      </c>
      <c r="M2" s="1" t="s">
        <v>45</v>
      </c>
    </row>
    <row r="3" spans="1:13" x14ac:dyDescent="0.3">
      <c r="A3" s="5">
        <v>1947</v>
      </c>
      <c r="B3" s="2">
        <v>1</v>
      </c>
      <c r="C3" s="2">
        <v>1</v>
      </c>
      <c r="D3" s="23">
        <v>1</v>
      </c>
      <c r="E3">
        <f>B3/B$36</f>
        <v>0.35131610251877943</v>
      </c>
      <c r="F3">
        <f>C3/C$36</f>
        <v>0.29497338949654239</v>
      </c>
      <c r="G3">
        <f>D3/D$36</f>
        <v>0.23907617557988647</v>
      </c>
    </row>
    <row r="4" spans="1:13" x14ac:dyDescent="0.3">
      <c r="A4" s="5">
        <v>1948</v>
      </c>
      <c r="B4" s="2">
        <v>0.97686170362012303</v>
      </c>
      <c r="C4" s="2">
        <v>1.0094287840074101</v>
      </c>
      <c r="D4" s="23">
        <v>1.1316815144766099</v>
      </c>
      <c r="E4">
        <f t="shared" ref="E4:E67" si="0">B4/B$36</f>
        <v>0.34318724641567666</v>
      </c>
      <c r="F4">
        <f t="shared" ref="F4:F67" si="1">C4/C$36</f>
        <v>0.29775462987403895</v>
      </c>
      <c r="G4">
        <f t="shared" ref="G4:G67" si="2">D4/D$36</f>
        <v>0.27055808845552182</v>
      </c>
      <c r="H4">
        <f>E4/E3-1</f>
        <v>-2.3138296379876966E-2</v>
      </c>
      <c r="I4">
        <f>F4/F3-1</f>
        <v>9.4287840074100959E-3</v>
      </c>
      <c r="J4">
        <f>G4/G3-1</f>
        <v>0.13168151447660992</v>
      </c>
      <c r="K4" s="37"/>
      <c r="L4" s="37"/>
      <c r="M4" s="37"/>
    </row>
    <row r="5" spans="1:13" x14ac:dyDescent="0.3">
      <c r="A5" s="5">
        <v>1949</v>
      </c>
      <c r="B5" s="2">
        <v>1.0068307077296199</v>
      </c>
      <c r="C5" s="2">
        <v>1.0441633635041401</v>
      </c>
      <c r="D5" s="23">
        <v>1.11344654788418</v>
      </c>
      <c r="E5">
        <f t="shared" si="0"/>
        <v>0.35371584013579438</v>
      </c>
      <c r="F5">
        <f t="shared" si="1"/>
        <v>0.30800040652092647</v>
      </c>
      <c r="G5">
        <f t="shared" si="2"/>
        <v>0.26619854238077667</v>
      </c>
      <c r="H5">
        <f t="shared" ref="H5:J68" si="3">E5/E4-1</f>
        <v>3.0678860680519726E-2</v>
      </c>
      <c r="I5">
        <f t="shared" si="3"/>
        <v>3.4410133777674101E-2</v>
      </c>
      <c r="J5">
        <f t="shared" si="3"/>
        <v>-1.6113161131613429E-2</v>
      </c>
      <c r="K5" s="37"/>
      <c r="L5" s="37"/>
      <c r="M5" s="37"/>
    </row>
    <row r="6" spans="1:13" x14ac:dyDescent="0.3">
      <c r="A6" s="5">
        <v>1950</v>
      </c>
      <c r="B6" s="2">
        <v>1.0529062170049801</v>
      </c>
      <c r="C6" s="2">
        <v>1.0708011180204</v>
      </c>
      <c r="D6" s="23">
        <v>1.28382516703786</v>
      </c>
      <c r="E6">
        <f t="shared" si="0"/>
        <v>0.36990290847598178</v>
      </c>
      <c r="F6">
        <f t="shared" si="1"/>
        <v>0.3158578352591645</v>
      </c>
      <c r="G6">
        <f t="shared" si="2"/>
        <v>0.3069320110486205</v>
      </c>
      <c r="H6">
        <f t="shared" si="3"/>
        <v>4.5762916170146717E-2</v>
      </c>
      <c r="I6">
        <f t="shared" si="3"/>
        <v>2.5511098595592863E-2</v>
      </c>
      <c r="J6">
        <f t="shared" si="3"/>
        <v>0.1530191273909296</v>
      </c>
      <c r="K6" s="37"/>
      <c r="L6" s="37"/>
      <c r="M6" s="37"/>
    </row>
    <row r="7" spans="1:13" x14ac:dyDescent="0.3">
      <c r="A7" s="5">
        <v>1951</v>
      </c>
      <c r="B7" s="2">
        <v>1.0626643251722101</v>
      </c>
      <c r="C7" s="2">
        <v>1.22762349837319</v>
      </c>
      <c r="D7" s="23">
        <v>1.3697104677060099</v>
      </c>
      <c r="E7">
        <f t="shared" si="0"/>
        <v>0.37333108900524969</v>
      </c>
      <c r="F7">
        <f t="shared" si="1"/>
        <v>0.36211626434074295</v>
      </c>
      <c r="G7">
        <f t="shared" si="2"/>
        <v>0.32746514027089041</v>
      </c>
      <c r="H7">
        <f t="shared" si="3"/>
        <v>9.267784736789908E-3</v>
      </c>
      <c r="I7">
        <f t="shared" si="3"/>
        <v>0.1464533214559105</v>
      </c>
      <c r="J7">
        <f t="shared" si="3"/>
        <v>6.6897972460152832E-2</v>
      </c>
      <c r="K7" s="37"/>
      <c r="L7" s="37"/>
      <c r="M7" s="37"/>
    </row>
    <row r="8" spans="1:13" x14ac:dyDescent="0.3">
      <c r="A8" s="5">
        <v>1952</v>
      </c>
      <c r="B8" s="2">
        <v>1.0780865741230501</v>
      </c>
      <c r="C8" s="2">
        <v>1.3408956442825299</v>
      </c>
      <c r="D8" s="23">
        <v>1.4486358574610201</v>
      </c>
      <c r="E8">
        <f t="shared" si="0"/>
        <v>0.37874917339873315</v>
      </c>
      <c r="F8">
        <f t="shared" si="1"/>
        <v>0.39552853315516789</v>
      </c>
      <c r="G8">
        <f t="shared" si="2"/>
        <v>0.34633432060967023</v>
      </c>
      <c r="H8">
        <f t="shared" si="3"/>
        <v>1.4512813299101479E-2</v>
      </c>
      <c r="I8">
        <f t="shared" si="3"/>
        <v>9.226945073912729E-2</v>
      </c>
      <c r="J8">
        <f t="shared" si="3"/>
        <v>5.7621951219511747E-2</v>
      </c>
      <c r="K8" s="37">
        <f t="shared" ref="K8:M8" si="4">+AVERAGE(H4:H8)</f>
        <v>1.5416815701336174E-2</v>
      </c>
      <c r="L8" s="37">
        <f t="shared" si="4"/>
        <v>6.1614557715142973E-2</v>
      </c>
      <c r="M8" s="37">
        <f t="shared" si="4"/>
        <v>7.8621480883118128E-2</v>
      </c>
    </row>
    <row r="9" spans="1:13" x14ac:dyDescent="0.3">
      <c r="A9" s="5">
        <v>1953</v>
      </c>
      <c r="B9" s="2">
        <v>1.12024688543236</v>
      </c>
      <c r="C9" s="2">
        <v>1.3975040059889701</v>
      </c>
      <c r="D9" s="23">
        <v>1.5702951002227099</v>
      </c>
      <c r="E9">
        <f t="shared" si="0"/>
        <v>0.3935607696488983</v>
      </c>
      <c r="F9">
        <f t="shared" si="1"/>
        <v>0.41222649348156276</v>
      </c>
      <c r="G9">
        <f t="shared" si="2"/>
        <v>0.37542014709308003</v>
      </c>
      <c r="H9">
        <f t="shared" si="3"/>
        <v>3.910661010096006E-2</v>
      </c>
      <c r="I9">
        <f t="shared" si="3"/>
        <v>4.2216828690445407E-2</v>
      </c>
      <c r="J9">
        <f t="shared" si="3"/>
        <v>8.3981935235897254E-2</v>
      </c>
      <c r="K9" s="37">
        <f t="shared" ref="K9:M9" si="5">+AVERAGE(H5:H9)</f>
        <v>2.7865796997503578E-2</v>
      </c>
      <c r="L9" s="37">
        <f t="shared" si="5"/>
        <v>6.8172166651750035E-2</v>
      </c>
      <c r="M9" s="37">
        <f t="shared" si="5"/>
        <v>6.9081565034975603E-2</v>
      </c>
    </row>
    <row r="10" spans="1:13" x14ac:dyDescent="0.3">
      <c r="A10" s="5">
        <v>1954</v>
      </c>
      <c r="B10" s="2">
        <v>1.14494247271352</v>
      </c>
      <c r="C10" s="2">
        <v>1.3831221664434299</v>
      </c>
      <c r="D10" s="23">
        <v>1.56945991091314</v>
      </c>
      <c r="E10">
        <f t="shared" si="0"/>
        <v>0.40223672712192782</v>
      </c>
      <c r="F10">
        <f t="shared" si="1"/>
        <v>0.4079842335236194</v>
      </c>
      <c r="G10">
        <f t="shared" si="2"/>
        <v>0.37522047322706281</v>
      </c>
      <c r="H10">
        <f t="shared" si="3"/>
        <v>2.2044772096490917E-2</v>
      </c>
      <c r="I10">
        <f t="shared" si="3"/>
        <v>-1.0291090031876116E-2</v>
      </c>
      <c r="J10">
        <f t="shared" si="3"/>
        <v>-5.3186774221714028E-4</v>
      </c>
      <c r="K10" s="37">
        <f t="shared" ref="K10:M10" si="6">+AVERAGE(H6:H10)</f>
        <v>2.6138979280697815E-2</v>
      </c>
      <c r="L10" s="37">
        <f t="shared" si="6"/>
        <v>5.9231921889839986E-2</v>
      </c>
      <c r="M10" s="37">
        <f t="shared" si="6"/>
        <v>7.2197823712854853E-2</v>
      </c>
    </row>
    <row r="11" spans="1:13" x14ac:dyDescent="0.3">
      <c r="A11" s="5">
        <v>1955</v>
      </c>
      <c r="B11" s="2">
        <v>1.2497306327270401</v>
      </c>
      <c r="C11" s="2">
        <v>1.41020125400243</v>
      </c>
      <c r="D11" s="23">
        <v>1.6826280623608001</v>
      </c>
      <c r="E11">
        <f t="shared" si="0"/>
        <v>0.43905049508799188</v>
      </c>
      <c r="F11">
        <f t="shared" si="1"/>
        <v>0.41597184376537133</v>
      </c>
      <c r="G11">
        <f t="shared" si="2"/>
        <v>0.40227628207261479</v>
      </c>
      <c r="H11">
        <f t="shared" si="3"/>
        <v>9.1522641976213404E-2</v>
      </c>
      <c r="I11">
        <f t="shared" si="3"/>
        <v>1.9578232650722116E-2</v>
      </c>
      <c r="J11">
        <f t="shared" si="3"/>
        <v>7.21064301552099E-2</v>
      </c>
      <c r="K11" s="37">
        <f t="shared" ref="K11:M11" si="7">+AVERAGE(H7:H11)</f>
        <v>3.5290924441911155E-2</v>
      </c>
      <c r="L11" s="37">
        <f t="shared" si="7"/>
        <v>5.8045348700865841E-2</v>
      </c>
      <c r="M11" s="37">
        <f t="shared" si="7"/>
        <v>5.6015284265710917E-2</v>
      </c>
    </row>
    <row r="12" spans="1:13" x14ac:dyDescent="0.3">
      <c r="A12" s="5">
        <v>1956</v>
      </c>
      <c r="B12" s="2">
        <v>1.2804528588797199</v>
      </c>
      <c r="C12" s="2">
        <v>1.44840152314366</v>
      </c>
      <c r="D12" s="23">
        <v>1.7142260579064501</v>
      </c>
      <c r="E12">
        <f t="shared" si="0"/>
        <v>0.44984370784065186</v>
      </c>
      <c r="F12">
        <f t="shared" si="1"/>
        <v>0.42723990663364009</v>
      </c>
      <c r="G12">
        <f t="shared" si="2"/>
        <v>0.40983061000365906</v>
      </c>
      <c r="H12">
        <f t="shared" si="3"/>
        <v>2.458307842358054E-2</v>
      </c>
      <c r="I12">
        <f t="shared" si="3"/>
        <v>2.7088523026631783E-2</v>
      </c>
      <c r="J12">
        <f t="shared" si="3"/>
        <v>1.877895433487331E-2</v>
      </c>
      <c r="K12" s="37">
        <f t="shared" ref="K12:M12" si="8">+AVERAGE(H8:H12)</f>
        <v>3.8353983179269281E-2</v>
      </c>
      <c r="L12" s="37">
        <f t="shared" si="8"/>
        <v>3.4172389015010095E-2</v>
      </c>
      <c r="M12" s="37">
        <f t="shared" si="8"/>
        <v>4.6391480640655014E-2</v>
      </c>
    </row>
    <row r="13" spans="1:13" x14ac:dyDescent="0.3">
      <c r="A13" s="5">
        <v>1957</v>
      </c>
      <c r="B13" s="2">
        <v>1.31012121739712</v>
      </c>
      <c r="C13" s="2">
        <v>1.50096204149912</v>
      </c>
      <c r="D13" s="23">
        <v>1.7374721603563399</v>
      </c>
      <c r="E13">
        <f t="shared" si="0"/>
        <v>0.46026667992311471</v>
      </c>
      <c r="F13">
        <f t="shared" si="1"/>
        <v>0.44274386088664536</v>
      </c>
      <c r="G13">
        <f t="shared" si="2"/>
        <v>0.41538819927451698</v>
      </c>
      <c r="H13">
        <f t="shared" si="3"/>
        <v>2.3170207564968237E-2</v>
      </c>
      <c r="I13">
        <f t="shared" si="3"/>
        <v>3.6288637864299478E-2</v>
      </c>
      <c r="J13">
        <f t="shared" si="3"/>
        <v>1.3560698335364219E-2</v>
      </c>
      <c r="K13" s="37">
        <f t="shared" ref="K13:M13" si="9">+AVERAGE(H9:H13)</f>
        <v>4.0085462032442634E-2</v>
      </c>
      <c r="L13" s="37">
        <f t="shared" si="9"/>
        <v>2.2976226440044534E-2</v>
      </c>
      <c r="M13" s="37">
        <f t="shared" si="9"/>
        <v>3.7579230063825506E-2</v>
      </c>
    </row>
    <row r="14" spans="1:13" x14ac:dyDescent="0.3">
      <c r="A14" s="5">
        <v>1958</v>
      </c>
      <c r="B14" s="2">
        <v>1.2713855480125</v>
      </c>
      <c r="C14" s="2">
        <v>1.5350515171312999</v>
      </c>
      <c r="D14" s="23">
        <v>1.69807906458797</v>
      </c>
      <c r="E14">
        <f t="shared" si="0"/>
        <v>0.44665821552645402</v>
      </c>
      <c r="F14">
        <f t="shared" si="1"/>
        <v>0.45279934906002928</v>
      </c>
      <c r="G14">
        <f t="shared" si="2"/>
        <v>0.40597024859396286</v>
      </c>
      <c r="H14">
        <f t="shared" si="3"/>
        <v>-2.9566477414645576E-2</v>
      </c>
      <c r="I14">
        <f t="shared" si="3"/>
        <v>2.2711750657020247E-2</v>
      </c>
      <c r="J14">
        <f t="shared" si="3"/>
        <v>-2.2672648614001867E-2</v>
      </c>
      <c r="K14" s="37">
        <f t="shared" ref="K14:M14" si="10">+AVERAGE(H10:H14)</f>
        <v>2.6350844529321505E-2</v>
      </c>
      <c r="L14" s="37">
        <f t="shared" si="10"/>
        <v>1.9075210833359502E-2</v>
      </c>
      <c r="M14" s="37">
        <f t="shared" si="10"/>
        <v>1.6248313293845684E-2</v>
      </c>
    </row>
    <row r="15" spans="1:13" x14ac:dyDescent="0.3">
      <c r="A15" s="5">
        <v>1959</v>
      </c>
      <c r="B15" s="2">
        <v>1.33123435282764</v>
      </c>
      <c r="C15" s="2">
        <v>1.60023047367912</v>
      </c>
      <c r="D15" s="23">
        <v>1.9032572383073401</v>
      </c>
      <c r="E15">
        <f t="shared" si="0"/>
        <v>0.46768406437451615</v>
      </c>
      <c r="F15">
        <f t="shared" si="1"/>
        <v>0.47202540679678762</v>
      </c>
      <c r="G15">
        <f t="shared" si="2"/>
        <v>0.45502346167925545</v>
      </c>
      <c r="H15">
        <f t="shared" si="3"/>
        <v>4.7073686584450325E-2</v>
      </c>
      <c r="I15">
        <f t="shared" si="3"/>
        <v>4.2460435900956828E-2</v>
      </c>
      <c r="J15">
        <f t="shared" si="3"/>
        <v>0.12082957619476664</v>
      </c>
      <c r="K15" s="37">
        <f t="shared" ref="K15:M15" si="11">+AVERAGE(H11:H15)</f>
        <v>3.1356627426913385E-2</v>
      </c>
      <c r="L15" s="37">
        <f t="shared" si="11"/>
        <v>2.962551601992609E-2</v>
      </c>
      <c r="M15" s="37">
        <f t="shared" si="11"/>
        <v>4.0520602081242439E-2</v>
      </c>
    </row>
    <row r="16" spans="1:13" x14ac:dyDescent="0.3">
      <c r="A16" s="5">
        <v>1960</v>
      </c>
      <c r="B16" s="2">
        <v>1.38593090238516</v>
      </c>
      <c r="C16" s="2">
        <v>1.6407971581421501</v>
      </c>
      <c r="D16" s="23">
        <v>1.92302338530066</v>
      </c>
      <c r="E16">
        <f t="shared" si="0"/>
        <v>0.48689984298628936</v>
      </c>
      <c r="F16">
        <f t="shared" si="1"/>
        <v>0.48399149921348433</v>
      </c>
      <c r="G16">
        <f t="shared" si="2"/>
        <v>0.45974907650836822</v>
      </c>
      <c r="H16">
        <f t="shared" si="3"/>
        <v>4.1087092923451474E-2</v>
      </c>
      <c r="I16">
        <f t="shared" si="3"/>
        <v>2.5350526146250996E-2</v>
      </c>
      <c r="J16">
        <f t="shared" si="3"/>
        <v>1.0385431141666901E-2</v>
      </c>
      <c r="K16" s="37">
        <f t="shared" ref="K16:M16" si="12">+AVERAGE(H12:H16)</f>
        <v>2.1269517616360999E-2</v>
      </c>
      <c r="L16" s="37">
        <f t="shared" si="12"/>
        <v>3.0779974719031867E-2</v>
      </c>
      <c r="M16" s="37">
        <f t="shared" si="12"/>
        <v>2.8176402278533842E-2</v>
      </c>
    </row>
    <row r="17" spans="1:13" x14ac:dyDescent="0.3">
      <c r="A17" s="5">
        <v>1961</v>
      </c>
      <c r="B17" s="2">
        <v>1.3954520312313801</v>
      </c>
      <c r="C17" s="2">
        <v>1.7008740900938999</v>
      </c>
      <c r="D17" s="23">
        <v>1.9910913140311799</v>
      </c>
      <c r="E17">
        <f t="shared" si="0"/>
        <v>0.49024476886412249</v>
      </c>
      <c r="F17">
        <f t="shared" si="1"/>
        <v>0.5017125954618451</v>
      </c>
      <c r="G17">
        <f t="shared" si="2"/>
        <v>0.47602249658890522</v>
      </c>
      <c r="H17">
        <f t="shared" si="3"/>
        <v>6.8698438210983426E-3</v>
      </c>
      <c r="I17">
        <f t="shared" si="3"/>
        <v>3.661447830624831E-2</v>
      </c>
      <c r="J17">
        <f t="shared" si="3"/>
        <v>3.5396308360482021E-2</v>
      </c>
      <c r="K17" s="37">
        <f t="shared" ref="K17:M17" si="13">+AVERAGE(H13:H17)</f>
        <v>1.7726870695864559E-2</v>
      </c>
      <c r="L17" s="37">
        <f t="shared" si="13"/>
        <v>3.2685165774955172E-2</v>
      </c>
      <c r="M17" s="37">
        <f t="shared" si="13"/>
        <v>3.149987308365558E-2</v>
      </c>
    </row>
    <row r="18" spans="1:13" x14ac:dyDescent="0.3">
      <c r="A18" s="5">
        <v>1962</v>
      </c>
      <c r="B18" s="2">
        <v>1.4552616911310501</v>
      </c>
      <c r="C18" s="2">
        <v>1.7967030139697699</v>
      </c>
      <c r="D18" s="23">
        <v>2.1408685968819601</v>
      </c>
      <c r="E18">
        <f t="shared" si="0"/>
        <v>0.51125686547304827</v>
      </c>
      <c r="F18">
        <f t="shared" si="1"/>
        <v>0.5299795779493166</v>
      </c>
      <c r="G18">
        <f t="shared" si="2"/>
        <v>0.51183067656161663</v>
      </c>
      <c r="H18">
        <f t="shared" si="3"/>
        <v>4.2860419821735052E-2</v>
      </c>
      <c r="I18">
        <f t="shared" si="3"/>
        <v>5.6340986339899812E-2</v>
      </c>
      <c r="J18">
        <f t="shared" si="3"/>
        <v>7.5223713646532797E-2</v>
      </c>
      <c r="K18" s="37">
        <f t="shared" ref="K18:M18" si="14">+AVERAGE(H14:H18)</f>
        <v>2.1664913147217923E-2</v>
      </c>
      <c r="L18" s="37">
        <f t="shared" si="14"/>
        <v>3.669563547007524E-2</v>
      </c>
      <c r="M18" s="37">
        <f t="shared" si="14"/>
        <v>4.3832476145889296E-2</v>
      </c>
    </row>
    <row r="19" spans="1:13" x14ac:dyDescent="0.3">
      <c r="A19" s="5">
        <v>1963</v>
      </c>
      <c r="B19" s="2">
        <v>1.51966074600245</v>
      </c>
      <c r="C19" s="2">
        <v>1.8615279171225501</v>
      </c>
      <c r="D19" s="23">
        <v>2.2761692650334</v>
      </c>
      <c r="E19">
        <f t="shared" si="0"/>
        <v>0.53388129043636157</v>
      </c>
      <c r="F19">
        <f t="shared" si="1"/>
        <v>0.54910119935607726</v>
      </c>
      <c r="G19">
        <f t="shared" si="2"/>
        <v>0.54417784285666626</v>
      </c>
      <c r="H19">
        <f t="shared" si="3"/>
        <v>4.4252559703779726E-2</v>
      </c>
      <c r="I19">
        <f t="shared" si="3"/>
        <v>3.6079921193848952E-2</v>
      </c>
      <c r="J19">
        <f t="shared" si="3"/>
        <v>6.3198959687902789E-2</v>
      </c>
      <c r="K19" s="37">
        <f t="shared" ref="K19:M19" si="15">+AVERAGE(H15:H19)</f>
        <v>3.6428720570902982E-2</v>
      </c>
      <c r="L19" s="37">
        <f t="shared" si="15"/>
        <v>3.9369269577440982E-2</v>
      </c>
      <c r="M19" s="37">
        <f t="shared" si="15"/>
        <v>6.1006797806270233E-2</v>
      </c>
    </row>
    <row r="20" spans="1:13" x14ac:dyDescent="0.3">
      <c r="A20" s="5">
        <v>1964</v>
      </c>
      <c r="B20" s="2">
        <v>1.6231350631079799</v>
      </c>
      <c r="C20" s="2">
        <v>1.94751068890254</v>
      </c>
      <c r="D20" s="23">
        <v>2.4434855233852999</v>
      </c>
      <c r="E20">
        <f t="shared" si="0"/>
        <v>0.57023348423266862</v>
      </c>
      <c r="F20">
        <f t="shared" si="1"/>
        <v>0.57446382898632853</v>
      </c>
      <c r="G20">
        <f t="shared" si="2"/>
        <v>0.58417917401577468</v>
      </c>
      <c r="H20">
        <f t="shared" si="3"/>
        <v>6.8090405952594857E-2</v>
      </c>
      <c r="I20">
        <f t="shared" si="3"/>
        <v>4.6189353911435083E-2</v>
      </c>
      <c r="J20">
        <f t="shared" si="3"/>
        <v>7.3507827788652946E-2</v>
      </c>
      <c r="K20" s="37">
        <f t="shared" ref="K20:M20" si="16">+AVERAGE(H16:H20)</f>
        <v>4.0632064444531893E-2</v>
      </c>
      <c r="L20" s="37">
        <f t="shared" si="16"/>
        <v>4.0115053179536633E-2</v>
      </c>
      <c r="M20" s="37">
        <f t="shared" si="16"/>
        <v>5.1542448125047491E-2</v>
      </c>
    </row>
    <row r="21" spans="1:13" x14ac:dyDescent="0.3">
      <c r="A21" s="5">
        <v>1965</v>
      </c>
      <c r="B21" s="2">
        <v>1.7158431730904899</v>
      </c>
      <c r="C21" s="2">
        <v>2.04631883421139</v>
      </c>
      <c r="D21" s="23">
        <v>2.63474387527839</v>
      </c>
      <c r="E21">
        <f t="shared" si="0"/>
        <v>0.60280333610360637</v>
      </c>
      <c r="F21">
        <f t="shared" si="1"/>
        <v>0.60360960251794693</v>
      </c>
      <c r="G21">
        <f t="shared" si="2"/>
        <v>0.62990448933408683</v>
      </c>
      <c r="H21">
        <f t="shared" si="3"/>
        <v>5.71166947776931E-2</v>
      </c>
      <c r="I21">
        <f t="shared" si="3"/>
        <v>5.0735611296968353E-2</v>
      </c>
      <c r="J21">
        <f t="shared" si="3"/>
        <v>7.8272758345673932E-2</v>
      </c>
      <c r="K21" s="37">
        <f t="shared" ref="K21:M21" si="17">+AVERAGE(H17:H21)</f>
        <v>4.3837984815380218E-2</v>
      </c>
      <c r="L21" s="37">
        <f t="shared" si="17"/>
        <v>4.5192070209680101E-2</v>
      </c>
      <c r="M21" s="37">
        <f t="shared" si="17"/>
        <v>6.5119913565848897E-2</v>
      </c>
    </row>
    <row r="22" spans="1:13" x14ac:dyDescent="0.3">
      <c r="A22" s="5">
        <v>1966</v>
      </c>
      <c r="B22" s="2">
        <v>1.81168678910457</v>
      </c>
      <c r="C22" s="2">
        <v>2.1689678223455</v>
      </c>
      <c r="D22" s="23">
        <v>2.8209910913140299</v>
      </c>
      <c r="E22">
        <f t="shared" si="0"/>
        <v>0.63647474173297947</v>
      </c>
      <c r="F22">
        <f t="shared" si="1"/>
        <v>0.6397877902661866</v>
      </c>
      <c r="G22">
        <f t="shared" si="2"/>
        <v>0.67443176145628858</v>
      </c>
      <c r="H22">
        <f t="shared" si="3"/>
        <v>5.5858028004652338E-2</v>
      </c>
      <c r="I22">
        <f t="shared" si="3"/>
        <v>5.9936401934831629E-2</v>
      </c>
      <c r="J22">
        <f t="shared" si="3"/>
        <v>7.0688926458159385E-2</v>
      </c>
      <c r="K22" s="37">
        <f t="shared" ref="K22:M22" si="18">+AVERAGE(H18:H22)</f>
        <v>5.3635621652091015E-2</v>
      </c>
      <c r="L22" s="37">
        <f t="shared" si="18"/>
        <v>4.9856454935396768E-2</v>
      </c>
      <c r="M22" s="37">
        <f t="shared" si="18"/>
        <v>7.2178437185384373E-2</v>
      </c>
    </row>
    <row r="23" spans="1:13" x14ac:dyDescent="0.3">
      <c r="A23" s="5">
        <v>1967</v>
      </c>
      <c r="B23" s="2">
        <v>1.8377635309278</v>
      </c>
      <c r="C23" s="2">
        <v>2.2936251972765498</v>
      </c>
      <c r="D23" s="23">
        <v>2.84660356347438</v>
      </c>
      <c r="E23">
        <f t="shared" si="0"/>
        <v>0.64563592103670497</v>
      </c>
      <c r="F23">
        <f t="shared" si="1"/>
        <v>0.67655839867533962</v>
      </c>
      <c r="G23">
        <f t="shared" si="2"/>
        <v>0.68055509334753139</v>
      </c>
      <c r="H23">
        <f t="shared" si="3"/>
        <v>1.4393625862955117E-2</v>
      </c>
      <c r="I23">
        <f t="shared" si="3"/>
        <v>5.747313244889285E-2</v>
      </c>
      <c r="J23">
        <f t="shared" si="3"/>
        <v>9.0792460278277254E-3</v>
      </c>
      <c r="K23" s="37">
        <f t="shared" ref="K23:M23" si="19">+AVERAGE(H19:H23)</f>
        <v>4.7942262860335025E-2</v>
      </c>
      <c r="L23" s="37">
        <f t="shared" si="19"/>
        <v>5.0082884157195376E-2</v>
      </c>
      <c r="M23" s="37">
        <f t="shared" si="19"/>
        <v>5.8949543661643358E-2</v>
      </c>
    </row>
    <row r="24" spans="1:13" x14ac:dyDescent="0.3">
      <c r="A24" s="5">
        <v>1968</v>
      </c>
      <c r="B24" s="2">
        <v>1.92805868796957</v>
      </c>
      <c r="C24" s="2">
        <v>2.4166628320795298</v>
      </c>
      <c r="D24" s="23">
        <v>2.9788418708240498</v>
      </c>
      <c r="E24">
        <f t="shared" si="0"/>
        <v>0.67735806368494078</v>
      </c>
      <c r="F24">
        <f t="shared" si="1"/>
        <v>0.71285122684881241</v>
      </c>
      <c r="G24">
        <f t="shared" si="2"/>
        <v>0.712170122133848</v>
      </c>
      <c r="H24">
        <f t="shared" si="3"/>
        <v>4.913317492821534E-2</v>
      </c>
      <c r="I24">
        <f t="shared" si="3"/>
        <v>5.3643304472358766E-2</v>
      </c>
      <c r="J24">
        <f t="shared" si="3"/>
        <v>4.645476772616286E-2</v>
      </c>
      <c r="K24" s="37">
        <f t="shared" ref="K24:M24" si="20">+AVERAGE(H20:H24)</f>
        <v>4.8918385905222149E-2</v>
      </c>
      <c r="L24" s="37">
        <f t="shared" si="20"/>
        <v>5.3595560812897333E-2</v>
      </c>
      <c r="M24" s="37">
        <f t="shared" si="20"/>
        <v>5.5600705269295371E-2</v>
      </c>
    </row>
    <row r="25" spans="1:13" x14ac:dyDescent="0.3">
      <c r="A25" s="5">
        <v>1969</v>
      </c>
      <c r="B25" s="2">
        <v>1.98659638623752</v>
      </c>
      <c r="C25" s="2">
        <v>2.4985053227345499</v>
      </c>
      <c r="D25" s="23">
        <v>3.0627783964365198</v>
      </c>
      <c r="E25">
        <f t="shared" si="0"/>
        <v>0.69792329969085731</v>
      </c>
      <c r="F25">
        <f t="shared" si="1"/>
        <v>0.73699258372216281</v>
      </c>
      <c r="G25">
        <f t="shared" si="2"/>
        <v>0.73223734566874055</v>
      </c>
      <c r="H25">
        <f t="shared" si="3"/>
        <v>3.0360952513118766E-2</v>
      </c>
      <c r="I25">
        <f t="shared" si="3"/>
        <v>3.3865911937990489E-2</v>
      </c>
      <c r="J25">
        <f t="shared" si="3"/>
        <v>2.8177570093457227E-2</v>
      </c>
      <c r="K25" s="37">
        <f t="shared" ref="K25:M25" si="21">+AVERAGE(H21:H25)</f>
        <v>4.1372495217326929E-2</v>
      </c>
      <c r="L25" s="37">
        <f t="shared" si="21"/>
        <v>5.113087241820842E-2</v>
      </c>
      <c r="M25" s="37">
        <f t="shared" si="21"/>
        <v>4.6534653730256226E-2</v>
      </c>
    </row>
    <row r="26" spans="1:13" x14ac:dyDescent="0.3">
      <c r="A26" s="5">
        <v>1970</v>
      </c>
      <c r="B26" s="2">
        <v>2.0209791687513698</v>
      </c>
      <c r="C26" s="2">
        <v>2.55576526010675</v>
      </c>
      <c r="D26" s="23">
        <v>2.9635300668151401</v>
      </c>
      <c r="E26">
        <f t="shared" si="0"/>
        <v>0.71000252483737381</v>
      </c>
      <c r="F26">
        <f t="shared" si="1"/>
        <v>0.75388274153120038</v>
      </c>
      <c r="G26">
        <f t="shared" si="2"/>
        <v>0.70850943459016913</v>
      </c>
      <c r="H26">
        <f t="shared" si="3"/>
        <v>1.7307381988632464E-2</v>
      </c>
      <c r="I26">
        <f t="shared" si="3"/>
        <v>2.2917676761052608E-2</v>
      </c>
      <c r="J26">
        <f t="shared" si="3"/>
        <v>-3.2404672090169173E-2</v>
      </c>
      <c r="K26" s="37">
        <f t="shared" ref="K26:M26" si="22">+AVERAGE(H22:H26)</f>
        <v>3.3410632659514806E-2</v>
      </c>
      <c r="L26" s="37">
        <f t="shared" si="22"/>
        <v>4.556728551102527E-2</v>
      </c>
      <c r="M26" s="37">
        <f t="shared" si="22"/>
        <v>2.4399167643087603E-2</v>
      </c>
    </row>
    <row r="27" spans="1:13" x14ac:dyDescent="0.3">
      <c r="A27" s="5">
        <v>1971</v>
      </c>
      <c r="B27" s="2">
        <v>2.0826501010238201</v>
      </c>
      <c r="C27" s="2">
        <v>2.6195010572237099</v>
      </c>
      <c r="D27" s="23">
        <v>3.04871937639198</v>
      </c>
      <c r="E27">
        <f t="shared" si="0"/>
        <v>0.73166851640203068</v>
      </c>
      <c r="F27">
        <f t="shared" si="1"/>
        <v>0.77268310563905396</v>
      </c>
      <c r="G27">
        <f t="shared" si="2"/>
        <v>0.72887616892409102</v>
      </c>
      <c r="H27">
        <f t="shared" si="3"/>
        <v>3.0515372560991239E-2</v>
      </c>
      <c r="I27">
        <f t="shared" si="3"/>
        <v>2.4938048150125347E-2</v>
      </c>
      <c r="J27">
        <f t="shared" si="3"/>
        <v>2.8745890089244774E-2</v>
      </c>
      <c r="K27" s="37">
        <f t="shared" ref="K27:M27" si="23">+AVERAGE(H23:H27)</f>
        <v>2.8342101570782586E-2</v>
      </c>
      <c r="L27" s="37">
        <f t="shared" si="23"/>
        <v>3.8567614754084011E-2</v>
      </c>
      <c r="M27" s="37">
        <f t="shared" si="23"/>
        <v>1.6010560369304684E-2</v>
      </c>
    </row>
    <row r="28" spans="1:13" x14ac:dyDescent="0.3">
      <c r="A28" s="5">
        <v>1972</v>
      </c>
      <c r="B28" s="2">
        <v>2.2105095556572598</v>
      </c>
      <c r="C28" s="2">
        <v>2.7134557062096198</v>
      </c>
      <c r="D28" s="23">
        <v>3.2868875278396401</v>
      </c>
      <c r="E28">
        <f t="shared" si="0"/>
        <v>0.77658760167402741</v>
      </c>
      <c r="F28">
        <f t="shared" si="1"/>
        <v>0.80039722690938575</v>
      </c>
      <c r="G28">
        <f t="shared" si="2"/>
        <v>0.78581649971712875</v>
      </c>
      <c r="H28">
        <f t="shared" si="3"/>
        <v>6.1392672043462548E-2</v>
      </c>
      <c r="I28">
        <f t="shared" si="3"/>
        <v>3.5867383495347127E-2</v>
      </c>
      <c r="J28">
        <f t="shared" si="3"/>
        <v>7.8120719568988584E-2</v>
      </c>
      <c r="K28" s="37">
        <f t="shared" ref="K28:M28" si="24">+AVERAGE(H24:H28)</f>
        <v>3.774191080688407E-2</v>
      </c>
      <c r="L28" s="37">
        <f t="shared" si="24"/>
        <v>3.424646496337487E-2</v>
      </c>
      <c r="M28" s="37">
        <f t="shared" si="24"/>
        <v>2.9818855077536854E-2</v>
      </c>
    </row>
    <row r="29" spans="1:13" x14ac:dyDescent="0.3">
      <c r="A29" s="5">
        <v>1973</v>
      </c>
      <c r="B29" s="2">
        <v>2.3818794530729801</v>
      </c>
      <c r="C29" s="2">
        <v>2.7903441992943399</v>
      </c>
      <c r="D29" s="23">
        <v>3.5192093541202598</v>
      </c>
      <c r="E29">
        <f t="shared" si="0"/>
        <v>0.83679260612316131</v>
      </c>
      <c r="F29">
        <f t="shared" si="1"/>
        <v>0.82307728632786703</v>
      </c>
      <c r="G29">
        <f t="shared" si="2"/>
        <v>0.84135911344803405</v>
      </c>
      <c r="H29">
        <f t="shared" si="3"/>
        <v>7.7525065194647524E-2</v>
      </c>
      <c r="I29">
        <f t="shared" si="3"/>
        <v>2.8336004493739964E-2</v>
      </c>
      <c r="J29">
        <f t="shared" si="3"/>
        <v>7.0681404311183416E-2</v>
      </c>
      <c r="K29" s="37">
        <f t="shared" ref="K29:M29" si="25">+AVERAGE(H25:H29)</f>
        <v>4.3420288860170506E-2</v>
      </c>
      <c r="L29" s="37">
        <f t="shared" si="25"/>
        <v>2.9185004967651106E-2</v>
      </c>
      <c r="M29" s="37">
        <f t="shared" si="25"/>
        <v>3.4664182394540964E-2</v>
      </c>
    </row>
    <row r="30" spans="1:13" x14ac:dyDescent="0.3">
      <c r="A30" s="5">
        <v>1974</v>
      </c>
      <c r="B30" s="2">
        <v>2.3473314776399001</v>
      </c>
      <c r="C30" s="2">
        <v>2.85087390047152</v>
      </c>
      <c r="D30" s="23">
        <v>3.3819599109131402</v>
      </c>
      <c r="E30">
        <f t="shared" si="0"/>
        <v>0.82465534604409707</v>
      </c>
      <c r="F30">
        <f t="shared" si="1"/>
        <v>0.84093193744931272</v>
      </c>
      <c r="G30">
        <f t="shared" si="2"/>
        <v>0.80854604146560705</v>
      </c>
      <c r="H30">
        <f t="shared" si="3"/>
        <v>-1.4504502059710878E-2</v>
      </c>
      <c r="I30">
        <f t="shared" si="3"/>
        <v>2.169255720942509E-2</v>
      </c>
      <c r="J30">
        <f t="shared" si="3"/>
        <v>-3.9000079107663566E-2</v>
      </c>
      <c r="K30" s="37">
        <f t="shared" ref="K30:M30" si="26">+AVERAGE(H26:H30)</f>
        <v>3.444719794560458E-2</v>
      </c>
      <c r="L30" s="37">
        <f t="shared" si="26"/>
        <v>2.6750334021938028E-2</v>
      </c>
      <c r="M30" s="37">
        <f t="shared" si="26"/>
        <v>2.1228652554316808E-2</v>
      </c>
    </row>
    <row r="31" spans="1:13" x14ac:dyDescent="0.3">
      <c r="A31" s="5">
        <v>1975</v>
      </c>
      <c r="B31" s="2">
        <v>2.4204028092843299</v>
      </c>
      <c r="C31" s="2">
        <v>2.9536463583685499</v>
      </c>
      <c r="D31" s="23">
        <v>3.13488307349665</v>
      </c>
      <c r="E31">
        <f t="shared" si="0"/>
        <v>0.85032648148327539</v>
      </c>
      <c r="F31">
        <f t="shared" si="1"/>
        <v>0.87124707770209031</v>
      </c>
      <c r="G31">
        <f t="shared" si="2"/>
        <v>0.7494758561016992</v>
      </c>
      <c r="H31">
        <f t="shared" si="3"/>
        <v>3.1129532552385264E-2</v>
      </c>
      <c r="I31">
        <f t="shared" si="3"/>
        <v>3.6049457634738546E-2</v>
      </c>
      <c r="J31">
        <f t="shared" si="3"/>
        <v>-7.3057293381629251E-2</v>
      </c>
      <c r="K31" s="37">
        <f t="shared" ref="K31:M31" si="27">+AVERAGE(H27:H31)</f>
        <v>3.7211628058355137E-2</v>
      </c>
      <c r="L31" s="37">
        <f t="shared" si="27"/>
        <v>2.9376690196675215E-2</v>
      </c>
      <c r="M31" s="37">
        <f t="shared" si="27"/>
        <v>1.3098128296024792E-2</v>
      </c>
    </row>
    <row r="32" spans="1:13" x14ac:dyDescent="0.3">
      <c r="A32" s="5">
        <v>1976</v>
      </c>
      <c r="B32" s="2">
        <v>2.5062652872306299</v>
      </c>
      <c r="C32" s="2">
        <v>3.0305457941927401</v>
      </c>
      <c r="D32" s="23">
        <v>3.3866926503340702</v>
      </c>
      <c r="E32">
        <f t="shared" si="0"/>
        <v>0.88049135258797406</v>
      </c>
      <c r="F32">
        <f t="shared" si="1"/>
        <v>0.89393036493752354</v>
      </c>
      <c r="G32">
        <f t="shared" si="2"/>
        <v>0.80967752670637916</v>
      </c>
      <c r="H32">
        <f t="shared" si="3"/>
        <v>3.5474458060015035E-2</v>
      </c>
      <c r="I32">
        <f t="shared" si="3"/>
        <v>2.6035424182150768E-2</v>
      </c>
      <c r="J32">
        <f t="shared" si="3"/>
        <v>8.0325029972027506E-2</v>
      </c>
      <c r="K32" s="37">
        <f t="shared" ref="K32:M32" si="28">+AVERAGE(H28:H32)</f>
        <v>3.8203445158159897E-2</v>
      </c>
      <c r="L32" s="37">
        <f t="shared" si="28"/>
        <v>2.9596165403080299E-2</v>
      </c>
      <c r="M32" s="37">
        <f t="shared" si="28"/>
        <v>2.3413956272581339E-2</v>
      </c>
    </row>
    <row r="33" spans="1:13" x14ac:dyDescent="0.3">
      <c r="A33" s="5">
        <v>1977</v>
      </c>
      <c r="B33" s="2">
        <v>2.5549982856947802</v>
      </c>
      <c r="C33" s="2">
        <v>3.1309558720653299</v>
      </c>
      <c r="D33" s="23">
        <v>3.73663697104677</v>
      </c>
      <c r="E33">
        <f t="shared" si="0"/>
        <v>0.89761203967245307</v>
      </c>
      <c r="F33">
        <f t="shared" si="1"/>
        <v>0.92354866594721308</v>
      </c>
      <c r="G33">
        <f t="shared" si="2"/>
        <v>0.89334087656827266</v>
      </c>
      <c r="H33">
        <f t="shared" si="3"/>
        <v>1.9444469311546531E-2</v>
      </c>
      <c r="I33">
        <f t="shared" si="3"/>
        <v>3.3132671370615707E-2</v>
      </c>
      <c r="J33">
        <f t="shared" si="3"/>
        <v>0.10332922318125926</v>
      </c>
      <c r="K33" s="37">
        <f t="shared" ref="K33:M33" si="29">+AVERAGE(H29:H33)</f>
        <v>2.9813804611776695E-2</v>
      </c>
      <c r="L33" s="37">
        <f t="shared" si="29"/>
        <v>2.9049222978134014E-2</v>
      </c>
      <c r="M33" s="37">
        <f t="shared" si="29"/>
        <v>2.8455656995035473E-2</v>
      </c>
    </row>
    <row r="34" spans="1:13" x14ac:dyDescent="0.3">
      <c r="A34" s="5">
        <v>1978</v>
      </c>
      <c r="B34" s="2">
        <v>2.6633315266584501</v>
      </c>
      <c r="C34" s="2">
        <v>3.2491382222603198</v>
      </c>
      <c r="D34" s="23">
        <v>4.1347438752783896</v>
      </c>
      <c r="E34">
        <f t="shared" si="0"/>
        <v>0.93567125166103737</v>
      </c>
      <c r="F34">
        <f t="shared" si="1"/>
        <v>0.95840931436289667</v>
      </c>
      <c r="G34">
        <f t="shared" si="2"/>
        <v>0.98851875270391643</v>
      </c>
      <c r="H34">
        <f t="shared" si="3"/>
        <v>4.2400514149155688E-2</v>
      </c>
      <c r="I34">
        <f t="shared" si="3"/>
        <v>3.7746411966206095E-2</v>
      </c>
      <c r="J34">
        <f t="shared" si="3"/>
        <v>0.10654149903143928</v>
      </c>
      <c r="K34" s="37">
        <f t="shared" ref="K34:M34" si="30">+AVERAGE(H30:H34)</f>
        <v>2.2788894402678329E-2</v>
      </c>
      <c r="L34" s="37">
        <f t="shared" si="30"/>
        <v>3.0931304472627243E-2</v>
      </c>
      <c r="M34" s="37">
        <f t="shared" si="30"/>
        <v>3.5627675939086646E-2</v>
      </c>
    </row>
    <row r="35" spans="1:13" x14ac:dyDescent="0.3">
      <c r="A35" s="5">
        <v>1979</v>
      </c>
      <c r="B35" s="2">
        <v>2.7627466540380801</v>
      </c>
      <c r="C35" s="2">
        <v>3.33016386907634</v>
      </c>
      <c r="D35" s="23">
        <v>4.3704064587973201</v>
      </c>
      <c r="E35">
        <f t="shared" si="0"/>
        <v>0.97059738674345697</v>
      </c>
      <c r="F35">
        <f t="shared" si="1"/>
        <v>0.98230972404036787</v>
      </c>
      <c r="G35">
        <f t="shared" si="2"/>
        <v>1.0448600618988979</v>
      </c>
      <c r="H35">
        <f t="shared" si="3"/>
        <v>3.7327357253327476E-2</v>
      </c>
      <c r="I35">
        <f t="shared" si="3"/>
        <v>2.493758075938457E-2</v>
      </c>
      <c r="J35">
        <f t="shared" si="3"/>
        <v>5.6995690816051603E-2</v>
      </c>
      <c r="K35" s="37">
        <f t="shared" ref="K35:M35" si="31">+AVERAGE(H31:H35)</f>
        <v>3.3155266265285997E-2</v>
      </c>
      <c r="L35" s="37">
        <f t="shared" si="31"/>
        <v>3.1580309182619136E-2</v>
      </c>
      <c r="M35" s="37">
        <f t="shared" si="31"/>
        <v>5.482682992382968E-2</v>
      </c>
    </row>
    <row r="36" spans="1:13" x14ac:dyDescent="0.3">
      <c r="A36" s="5">
        <v>1980</v>
      </c>
      <c r="B36" s="2">
        <v>2.8464394112038902</v>
      </c>
      <c r="C36" s="2">
        <v>3.3901363160479998</v>
      </c>
      <c r="D36" s="23">
        <v>4.1827672605790598</v>
      </c>
      <c r="E36">
        <f t="shared" si="0"/>
        <v>1</v>
      </c>
      <c r="F36">
        <f t="shared" si="1"/>
        <v>1</v>
      </c>
      <c r="G36">
        <f t="shared" si="2"/>
        <v>1</v>
      </c>
      <c r="H36">
        <f t="shared" si="3"/>
        <v>3.0293315908457741E-2</v>
      </c>
      <c r="I36">
        <f t="shared" si="3"/>
        <v>1.8008857620659402E-2</v>
      </c>
      <c r="J36">
        <f t="shared" si="3"/>
        <v>-4.2934038283911957E-2</v>
      </c>
      <c r="K36" s="37">
        <f>+AVERAGE(H32:H36)</f>
        <v>3.2988022936500494E-2</v>
      </c>
      <c r="L36" s="37">
        <f>+AVERAGE(I32:I36)</f>
        <v>2.7972189179803309E-2</v>
      </c>
      <c r="M36" s="37">
        <f>+AVERAGE(J32:J36)</f>
        <v>6.0851480943373136E-2</v>
      </c>
    </row>
    <row r="37" spans="1:13" x14ac:dyDescent="0.3">
      <c r="A37" s="5">
        <v>1981</v>
      </c>
      <c r="B37" s="2">
        <v>2.8570628873055499</v>
      </c>
      <c r="C37" s="2">
        <v>3.4487343791846898</v>
      </c>
      <c r="D37" s="23">
        <v>4.2625278396436501</v>
      </c>
      <c r="E37">
        <f t="shared" si="0"/>
        <v>1.0037321982192364</v>
      </c>
      <c r="F37">
        <f t="shared" si="1"/>
        <v>1.0172848693013619</v>
      </c>
      <c r="G37">
        <f t="shared" si="2"/>
        <v>1.0190688542047994</v>
      </c>
      <c r="H37">
        <f t="shared" si="3"/>
        <v>3.7321982192364267E-3</v>
      </c>
      <c r="I37">
        <f t="shared" si="3"/>
        <v>1.728486930136186E-2</v>
      </c>
      <c r="J37">
        <f t="shared" si="3"/>
        <v>1.9068854204799424E-2</v>
      </c>
      <c r="K37" s="37">
        <f t="shared" ref="K37:M37" si="32">+AVERAGE(H33:H37)</f>
        <v>2.6639570968344774E-2</v>
      </c>
      <c r="L37" s="37">
        <f t="shared" si="32"/>
        <v>2.6222078203645527E-2</v>
      </c>
      <c r="M37" s="37">
        <f t="shared" si="32"/>
        <v>4.8600245789927519E-2</v>
      </c>
    </row>
    <row r="38" spans="1:13" x14ac:dyDescent="0.3">
      <c r="A38" s="5">
        <v>1982</v>
      </c>
      <c r="B38" s="2">
        <v>2.8308332587324401</v>
      </c>
      <c r="C38" s="2">
        <v>3.51130053387375</v>
      </c>
      <c r="D38" s="23">
        <v>4.0509465478841804</v>
      </c>
      <c r="E38">
        <f t="shared" si="0"/>
        <v>0.99451730733841637</v>
      </c>
      <c r="F38">
        <f t="shared" si="1"/>
        <v>1.035740220017759</v>
      </c>
      <c r="G38">
        <f t="shared" si="2"/>
        <v>0.96848480814669324</v>
      </c>
      <c r="H38">
        <f t="shared" si="3"/>
        <v>-9.1806269612239033E-3</v>
      </c>
      <c r="I38">
        <f t="shared" si="3"/>
        <v>1.8141772548992741E-2</v>
      </c>
      <c r="J38">
        <f t="shared" si="3"/>
        <v>-4.9637515511724684E-2</v>
      </c>
      <c r="K38" s="37">
        <f t="shared" ref="K38:M38" si="33">+AVERAGE(H34:H38)</f>
        <v>2.0914551713790686E-2</v>
      </c>
      <c r="L38" s="37">
        <f t="shared" si="33"/>
        <v>2.3223898439320934E-2</v>
      </c>
      <c r="M38" s="37">
        <f t="shared" si="33"/>
        <v>1.8006898051330732E-2</v>
      </c>
    </row>
    <row r="39" spans="1:13" x14ac:dyDescent="0.3">
      <c r="A39" s="5">
        <v>1983</v>
      </c>
      <c r="B39" s="2">
        <v>2.88579045848177</v>
      </c>
      <c r="C39" s="2">
        <v>3.6585037622685599</v>
      </c>
      <c r="D39" s="23">
        <v>4.3449331848552299</v>
      </c>
      <c r="E39">
        <f t="shared" si="0"/>
        <v>1.0138246565596969</v>
      </c>
      <c r="F39">
        <f t="shared" si="1"/>
        <v>1.0791612552422096</v>
      </c>
      <c r="G39">
        <f t="shared" si="2"/>
        <v>1.0387700089853242</v>
      </c>
      <c r="H39">
        <f t="shared" si="3"/>
        <v>1.9413789060093833E-2</v>
      </c>
      <c r="I39">
        <f t="shared" si="3"/>
        <v>4.1922708402408304E-2</v>
      </c>
      <c r="J39">
        <f t="shared" si="3"/>
        <v>7.2572331798502532E-2</v>
      </c>
      <c r="K39" s="37">
        <f t="shared" ref="K39:M39" si="34">+AVERAGE(H35:H39)</f>
        <v>1.6317206695978314E-2</v>
      </c>
      <c r="L39" s="37">
        <f t="shared" si="34"/>
        <v>2.4059157726561375E-2</v>
      </c>
      <c r="M39" s="37">
        <f t="shared" si="34"/>
        <v>1.1213064604743384E-2</v>
      </c>
    </row>
    <row r="40" spans="1:13" x14ac:dyDescent="0.3">
      <c r="A40" s="5">
        <v>1984</v>
      </c>
      <c r="B40" s="2">
        <v>2.94906717220662</v>
      </c>
      <c r="C40" s="2">
        <v>3.7596189913344502</v>
      </c>
      <c r="D40" s="23">
        <v>4.99707683741648</v>
      </c>
      <c r="E40">
        <f t="shared" si="0"/>
        <v>1.0360547850057078</v>
      </c>
      <c r="F40">
        <f t="shared" si="1"/>
        <v>1.1089875570894947</v>
      </c>
      <c r="G40">
        <f t="shared" si="2"/>
        <v>1.194682019368366</v>
      </c>
      <c r="H40">
        <f t="shared" si="3"/>
        <v>2.1926995267057769E-2</v>
      </c>
      <c r="I40">
        <f t="shared" si="3"/>
        <v>2.7638410573395555E-2</v>
      </c>
      <c r="J40">
        <f t="shared" si="3"/>
        <v>0.1500929070288981</v>
      </c>
      <c r="K40" s="37">
        <f t="shared" ref="K40:M40" si="35">+AVERAGE(H36:H40)</f>
        <v>1.3237134298724373E-2</v>
      </c>
      <c r="L40" s="37">
        <f t="shared" si="35"/>
        <v>2.4599323689363572E-2</v>
      </c>
      <c r="M40" s="37">
        <f t="shared" si="35"/>
        <v>2.9832507847312683E-2</v>
      </c>
    </row>
    <row r="41" spans="1:13" x14ac:dyDescent="0.3">
      <c r="A41" s="5">
        <v>1985</v>
      </c>
      <c r="B41" s="2">
        <v>3.0822665651273802</v>
      </c>
      <c r="C41" s="2">
        <v>3.9424151096721101</v>
      </c>
      <c r="D41" s="23">
        <v>5.3471603563474304</v>
      </c>
      <c r="E41">
        <f t="shared" si="0"/>
        <v>1.0828498765844967</v>
      </c>
      <c r="F41">
        <f t="shared" si="1"/>
        <v>1.1629075477023652</v>
      </c>
      <c r="G41">
        <f t="shared" si="2"/>
        <v>1.2783786482079265</v>
      </c>
      <c r="H41">
        <f t="shared" si="3"/>
        <v>4.5166618846831597E-2</v>
      </c>
      <c r="I41">
        <f t="shared" si="3"/>
        <v>4.8620915778696316E-2</v>
      </c>
      <c r="J41">
        <f t="shared" si="3"/>
        <v>7.0057661773307078E-2</v>
      </c>
      <c r="K41" s="37">
        <f t="shared" ref="K41:M41" si="36">+AVERAGE(H37:H41)</f>
        <v>1.6211794886399143E-2</v>
      </c>
      <c r="L41" s="37">
        <f t="shared" si="36"/>
        <v>3.0721735320970955E-2</v>
      </c>
      <c r="M41" s="37">
        <f t="shared" si="36"/>
        <v>5.2430847858756492E-2</v>
      </c>
    </row>
    <row r="42" spans="1:13" x14ac:dyDescent="0.3">
      <c r="A42" s="5">
        <v>1986</v>
      </c>
      <c r="B42" s="2">
        <v>3.2054795924431301</v>
      </c>
      <c r="C42" s="2">
        <v>4.0996228632340204</v>
      </c>
      <c r="D42" s="23">
        <v>5.5153118040089</v>
      </c>
      <c r="E42">
        <f t="shared" si="0"/>
        <v>1.1261365971206059</v>
      </c>
      <c r="F42">
        <f t="shared" si="1"/>
        <v>1.209279651625659</v>
      </c>
      <c r="G42">
        <f t="shared" si="2"/>
        <v>1.318579653233052</v>
      </c>
      <c r="H42">
        <f t="shared" si="3"/>
        <v>3.997481227281785E-2</v>
      </c>
      <c r="I42">
        <f t="shared" si="3"/>
        <v>3.9876002193737881E-2</v>
      </c>
      <c r="J42">
        <f t="shared" si="3"/>
        <v>3.1446868329255029E-2</v>
      </c>
      <c r="K42" s="37">
        <f t="shared" ref="K42:M42" si="37">+AVERAGE(H38:H42)</f>
        <v>2.3460317697115429E-2</v>
      </c>
      <c r="L42" s="37">
        <f t="shared" si="37"/>
        <v>3.5239961899446157E-2</v>
      </c>
      <c r="M42" s="37">
        <f t="shared" si="37"/>
        <v>5.4906450683647613E-2</v>
      </c>
    </row>
    <row r="43" spans="1:13" x14ac:dyDescent="0.3">
      <c r="A43" s="5">
        <v>1987</v>
      </c>
      <c r="B43" s="2">
        <v>3.3034933875684298</v>
      </c>
      <c r="C43" s="2">
        <v>4.2473832707343302</v>
      </c>
      <c r="D43" s="23">
        <v>5.6128897550111301</v>
      </c>
      <c r="E43">
        <f t="shared" si="0"/>
        <v>1.1605704216171004</v>
      </c>
      <c r="F43">
        <f t="shared" si="1"/>
        <v>1.2528650398594157</v>
      </c>
      <c r="G43">
        <f t="shared" si="2"/>
        <v>1.3419082165795868</v>
      </c>
      <c r="H43">
        <f t="shared" si="3"/>
        <v>3.0576951840955768E-2</v>
      </c>
      <c r="I43">
        <f t="shared" si="3"/>
        <v>3.6042439129083226E-2</v>
      </c>
      <c r="J43">
        <f t="shared" si="3"/>
        <v>1.7692191206905905E-2</v>
      </c>
      <c r="K43" s="37">
        <f t="shared" ref="K43:M43" si="38">+AVERAGE(H39:H43)</f>
        <v>3.1411833457551365E-2</v>
      </c>
      <c r="L43" s="37">
        <f t="shared" si="38"/>
        <v>3.8820095215464256E-2</v>
      </c>
      <c r="M43" s="37">
        <f t="shared" si="38"/>
        <v>6.8372392027373732E-2</v>
      </c>
    </row>
    <row r="44" spans="1:13" x14ac:dyDescent="0.3">
      <c r="A44" s="5">
        <v>1988</v>
      </c>
      <c r="B44" s="2">
        <v>3.5354468404611699</v>
      </c>
      <c r="C44" s="2">
        <v>4.4199650185272601</v>
      </c>
      <c r="D44" s="23">
        <v>5.7426224944320703</v>
      </c>
      <c r="E44">
        <f t="shared" si="0"/>
        <v>1.242059404653151</v>
      </c>
      <c r="F44">
        <f t="shared" si="1"/>
        <v>1.3037720629711338</v>
      </c>
      <c r="G44">
        <f t="shared" si="2"/>
        <v>1.3729242237678472</v>
      </c>
      <c r="H44">
        <f t="shared" si="3"/>
        <v>7.0214595786877387E-2</v>
      </c>
      <c r="I44">
        <f t="shared" si="3"/>
        <v>4.063248753228077E-2</v>
      </c>
      <c r="J44">
        <f t="shared" si="3"/>
        <v>2.3113359621060869E-2</v>
      </c>
      <c r="K44" s="37">
        <f t="shared" ref="K44:M44" si="39">+AVERAGE(H40:H44)</f>
        <v>4.1571994802908074E-2</v>
      </c>
      <c r="L44" s="37">
        <f t="shared" si="39"/>
        <v>3.8562051041438748E-2</v>
      </c>
      <c r="M44" s="37">
        <f t="shared" si="39"/>
        <v>5.8480597591885397E-2</v>
      </c>
    </row>
    <row r="45" spans="1:13" x14ac:dyDescent="0.3">
      <c r="A45" s="5">
        <v>1989</v>
      </c>
      <c r="B45" s="2">
        <v>3.68635665148819</v>
      </c>
      <c r="C45" s="2">
        <v>4.5718717095032497</v>
      </c>
      <c r="D45" s="23">
        <v>5.9109131403118003</v>
      </c>
      <c r="E45">
        <f t="shared" si="0"/>
        <v>1.2950764512950093</v>
      </c>
      <c r="F45">
        <f t="shared" si="1"/>
        <v>1.3485804944955253</v>
      </c>
      <c r="G45">
        <f t="shared" si="2"/>
        <v>1.4131585077706421</v>
      </c>
      <c r="H45">
        <f t="shared" si="3"/>
        <v>4.2684791438508896E-2</v>
      </c>
      <c r="I45">
        <f t="shared" si="3"/>
        <v>3.4368301635700593E-2</v>
      </c>
      <c r="J45">
        <f t="shared" si="3"/>
        <v>2.9305538722578683E-2</v>
      </c>
      <c r="K45" s="37">
        <f t="shared" ref="K45:M45" si="40">+AVERAGE(H41:H45)</f>
        <v>4.57235540371983E-2</v>
      </c>
      <c r="L45" s="37">
        <f t="shared" si="40"/>
        <v>3.990802925389976E-2</v>
      </c>
      <c r="M45" s="37">
        <f t="shared" si="40"/>
        <v>3.4323123930621514E-2</v>
      </c>
    </row>
    <row r="46" spans="1:13" x14ac:dyDescent="0.3">
      <c r="A46" s="5">
        <v>1990</v>
      </c>
      <c r="B46" s="2">
        <v>3.7600470169455198</v>
      </c>
      <c r="C46" s="2">
        <v>4.7104917040175804</v>
      </c>
      <c r="D46" s="23">
        <v>5.9047884187082396</v>
      </c>
      <c r="E46">
        <f t="shared" si="0"/>
        <v>1.3209650632806629</v>
      </c>
      <c r="F46">
        <f t="shared" si="1"/>
        <v>1.3894697041294095</v>
      </c>
      <c r="G46">
        <f t="shared" si="2"/>
        <v>1.4116942327531712</v>
      </c>
      <c r="H46">
        <f t="shared" si="3"/>
        <v>1.9990026040367148E-2</v>
      </c>
      <c r="I46">
        <f t="shared" si="3"/>
        <v>3.0320184668828354E-2</v>
      </c>
      <c r="J46">
        <f t="shared" si="3"/>
        <v>-1.0361718161262523E-3</v>
      </c>
      <c r="K46" s="37">
        <f t="shared" ref="K46:M46" si="41">+AVERAGE(H42:H46)</f>
        <v>4.0688235475905409E-2</v>
      </c>
      <c r="L46" s="37">
        <f t="shared" si="41"/>
        <v>3.6247883031926165E-2</v>
      </c>
      <c r="M46" s="37">
        <f t="shared" si="41"/>
        <v>2.0104357212734847E-2</v>
      </c>
    </row>
    <row r="47" spans="1:13" x14ac:dyDescent="0.3">
      <c r="A47" s="5">
        <v>1991</v>
      </c>
      <c r="B47" s="2">
        <v>3.7462381306627002</v>
      </c>
      <c r="C47" s="2">
        <v>4.80401013080147</v>
      </c>
      <c r="D47" s="23">
        <v>5.6621659242761604</v>
      </c>
      <c r="E47">
        <f t="shared" si="0"/>
        <v>1.3161137791716577</v>
      </c>
      <c r="F47">
        <f t="shared" si="1"/>
        <v>1.4170551514582377</v>
      </c>
      <c r="G47">
        <f t="shared" si="2"/>
        <v>1.3536889746746974</v>
      </c>
      <c r="H47">
        <f t="shared" si="3"/>
        <v>-3.6725302158686635E-3</v>
      </c>
      <c r="I47">
        <f t="shared" si="3"/>
        <v>1.985321971889431E-2</v>
      </c>
      <c r="J47">
        <f t="shared" si="3"/>
        <v>-4.1089108910892458E-2</v>
      </c>
      <c r="K47" s="37">
        <f t="shared" ref="K47:M47" si="42">+AVERAGE(H43:H47)</f>
        <v>3.1958766978168109E-2</v>
      </c>
      <c r="L47" s="37">
        <f t="shared" si="42"/>
        <v>3.2243326536957453E-2</v>
      </c>
      <c r="M47" s="37">
        <f t="shared" si="42"/>
        <v>5.5971617647053492E-3</v>
      </c>
    </row>
    <row r="48" spans="1:13" x14ac:dyDescent="0.3">
      <c r="A48" s="5">
        <v>1992</v>
      </c>
      <c r="B48" s="2">
        <v>3.8311416195445802</v>
      </c>
      <c r="C48" s="2">
        <v>4.9642975663791598</v>
      </c>
      <c r="D48" s="23">
        <v>5.8943485523385197</v>
      </c>
      <c r="E48">
        <f t="shared" si="0"/>
        <v>1.3459417419758863</v>
      </c>
      <c r="F48">
        <f t="shared" si="1"/>
        <v>1.4643356796242974</v>
      </c>
      <c r="G48">
        <f t="shared" si="2"/>
        <v>1.4091983094279334</v>
      </c>
      <c r="H48">
        <f t="shared" si="3"/>
        <v>2.2663665768321239E-2</v>
      </c>
      <c r="I48">
        <f t="shared" si="3"/>
        <v>3.3365340874280891E-2</v>
      </c>
      <c r="J48">
        <f t="shared" si="3"/>
        <v>4.1005973891879766E-2</v>
      </c>
      <c r="K48" s="37">
        <f t="shared" ref="K48:M48" si="43">+AVERAGE(H44:H48)</f>
        <v>3.0376109763641201E-2</v>
      </c>
      <c r="L48" s="37">
        <f t="shared" si="43"/>
        <v>3.1707906885996985E-2</v>
      </c>
      <c r="M48" s="37">
        <f t="shared" si="43"/>
        <v>1.0259918301700121E-2</v>
      </c>
    </row>
    <row r="49" spans="1:13" x14ac:dyDescent="0.3">
      <c r="A49" s="5">
        <v>1993</v>
      </c>
      <c r="B49" s="2">
        <v>3.8977810215459701</v>
      </c>
      <c r="C49" s="2">
        <v>5.0752812321337597</v>
      </c>
      <c r="D49" s="23">
        <v>6.1947383073496596</v>
      </c>
      <c r="E49">
        <f t="shared" si="0"/>
        <v>1.3693532369611967</v>
      </c>
      <c r="F49">
        <f t="shared" si="1"/>
        <v>1.497072907690683</v>
      </c>
      <c r="G49">
        <f t="shared" si="2"/>
        <v>1.4810143432393759</v>
      </c>
      <c r="H49">
        <f t="shared" si="3"/>
        <v>1.7394136949004491E-2</v>
      </c>
      <c r="I49">
        <f t="shared" si="3"/>
        <v>2.2356368503419155E-2</v>
      </c>
      <c r="J49">
        <f t="shared" si="3"/>
        <v>5.096233321525645E-2</v>
      </c>
      <c r="K49" s="37">
        <f t="shared" ref="K49:M49" si="44">+AVERAGE(H45:H49)</f>
        <v>1.9812017996066623E-2</v>
      </c>
      <c r="L49" s="37">
        <f t="shared" si="44"/>
        <v>2.8052683080224662E-2</v>
      </c>
      <c r="M49" s="37">
        <f t="shared" si="44"/>
        <v>1.5829713020539239E-2</v>
      </c>
    </row>
    <row r="50" spans="1:13" x14ac:dyDescent="0.3">
      <c r="A50" s="5">
        <v>1994</v>
      </c>
      <c r="B50" s="2">
        <v>4.0321943264495896</v>
      </c>
      <c r="C50" s="2">
        <v>5.2012085092692901</v>
      </c>
      <c r="D50" s="23">
        <v>6.5729398663697101</v>
      </c>
      <c r="E50">
        <f t="shared" si="0"/>
        <v>1.4165747953666048</v>
      </c>
      <c r="F50">
        <f t="shared" si="1"/>
        <v>1.5342181034574209</v>
      </c>
      <c r="G50">
        <f t="shared" si="2"/>
        <v>1.5714333255682402</v>
      </c>
      <c r="H50">
        <f t="shared" si="3"/>
        <v>3.4484570621237109E-2</v>
      </c>
      <c r="I50">
        <f t="shared" si="3"/>
        <v>2.481188162307757E-2</v>
      </c>
      <c r="J50">
        <f t="shared" si="3"/>
        <v>6.1052063905805198E-2</v>
      </c>
      <c r="K50" s="37">
        <f t="shared" ref="K50:M50" si="45">+AVERAGE(H46:H50)</f>
        <v>1.8171973832612265E-2</v>
      </c>
      <c r="L50" s="37">
        <f t="shared" si="45"/>
        <v>2.6141399077700057E-2</v>
      </c>
      <c r="M50" s="37">
        <f t="shared" si="45"/>
        <v>2.217901805718454E-2</v>
      </c>
    </row>
    <row r="51" spans="1:13" x14ac:dyDescent="0.3">
      <c r="A51" s="5">
        <v>1995</v>
      </c>
      <c r="B51" s="2">
        <v>4.1629885862583897</v>
      </c>
      <c r="C51" s="2">
        <v>5.3262578199607304</v>
      </c>
      <c r="D51" s="23">
        <v>6.9117483296213802</v>
      </c>
      <c r="E51">
        <f t="shared" si="0"/>
        <v>1.462524924954461</v>
      </c>
      <c r="F51">
        <f t="shared" si="1"/>
        <v>1.5711043224862813</v>
      </c>
      <c r="G51">
        <f t="shared" si="2"/>
        <v>1.6524343572165481</v>
      </c>
      <c r="H51">
        <f t="shared" si="3"/>
        <v>3.2437489173287481E-2</v>
      </c>
      <c r="I51">
        <f t="shared" si="3"/>
        <v>2.4042356784694352E-2</v>
      </c>
      <c r="J51">
        <f t="shared" si="3"/>
        <v>5.1545955103769581E-2</v>
      </c>
      <c r="K51" s="37">
        <f t="shared" ref="K51:M51" si="46">+AVERAGE(H47:H51)</f>
        <v>2.066146645919633E-2</v>
      </c>
      <c r="L51" s="37">
        <f t="shared" si="46"/>
        <v>2.4885833500873256E-2</v>
      </c>
      <c r="M51" s="37">
        <f t="shared" si="46"/>
        <v>3.2695443441163707E-2</v>
      </c>
    </row>
    <row r="52" spans="1:13" x14ac:dyDescent="0.3">
      <c r="A52" s="5">
        <v>1996</v>
      </c>
      <c r="B52" s="2">
        <v>4.3224634623546203</v>
      </c>
      <c r="C52" s="2">
        <v>5.4512938511741096</v>
      </c>
      <c r="D52" s="23">
        <v>7.4408407572383002</v>
      </c>
      <c r="E52">
        <f t="shared" si="0"/>
        <v>1.518551016874254</v>
      </c>
      <c r="F52">
        <f t="shared" si="1"/>
        <v>1.6079866244224872</v>
      </c>
      <c r="G52">
        <f t="shared" si="2"/>
        <v>1.7789277513394792</v>
      </c>
      <c r="H52">
        <f t="shared" si="3"/>
        <v>3.8307786051261727E-2</v>
      </c>
      <c r="I52">
        <f t="shared" si="3"/>
        <v>2.3475399697099331E-2</v>
      </c>
      <c r="J52">
        <f t="shared" si="3"/>
        <v>7.6549724090706706E-2</v>
      </c>
      <c r="K52" s="37">
        <f t="shared" ref="K52:M52" si="47">+AVERAGE(H48:H52)</f>
        <v>2.9057529712622411E-2</v>
      </c>
      <c r="L52" s="37">
        <f t="shared" si="47"/>
        <v>2.5610269496514258E-2</v>
      </c>
      <c r="M52" s="37">
        <f t="shared" si="47"/>
        <v>5.6223210041483541E-2</v>
      </c>
    </row>
    <row r="53" spans="1:13" x14ac:dyDescent="0.3">
      <c r="A53" s="5">
        <v>1997</v>
      </c>
      <c r="B53" s="2">
        <v>4.4882301772602702</v>
      </c>
      <c r="C53" s="2">
        <v>5.6025834739411904</v>
      </c>
      <c r="D53" s="23">
        <v>7.9750835189309504</v>
      </c>
      <c r="E53">
        <f t="shared" si="0"/>
        <v>1.5767875330822485</v>
      </c>
      <c r="F53">
        <f t="shared" si="1"/>
        <v>1.6526130372457464</v>
      </c>
      <c r="G53">
        <f t="shared" si="2"/>
        <v>1.9066524676361947</v>
      </c>
      <c r="H53">
        <f t="shared" si="3"/>
        <v>3.8350055784011072E-2</v>
      </c>
      <c r="I53">
        <f t="shared" si="3"/>
        <v>2.7752975146349224E-2</v>
      </c>
      <c r="J53">
        <f t="shared" si="3"/>
        <v>7.1798709194649701E-2</v>
      </c>
      <c r="K53" s="37">
        <f t="shared" ref="K53:M53" si="48">+AVERAGE(H49:H53)</f>
        <v>3.2194807715760373E-2</v>
      </c>
      <c r="L53" s="37">
        <f t="shared" si="48"/>
        <v>2.4487796350927925E-2</v>
      </c>
      <c r="M53" s="37">
        <f t="shared" si="48"/>
        <v>6.2381757102037527E-2</v>
      </c>
    </row>
    <row r="54" spans="1:13" x14ac:dyDescent="0.3">
      <c r="A54" s="5">
        <v>1998</v>
      </c>
      <c r="B54" s="2">
        <v>4.6022842852656201</v>
      </c>
      <c r="C54" s="2">
        <v>5.8019940600902</v>
      </c>
      <c r="D54" s="23">
        <v>8.7163140311803993</v>
      </c>
      <c r="E54">
        <f t="shared" si="0"/>
        <v>1.616856577782944</v>
      </c>
      <c r="F54">
        <f t="shared" si="1"/>
        <v>1.711433853743612</v>
      </c>
      <c r="G54">
        <f t="shared" si="2"/>
        <v>2.083863023727913</v>
      </c>
      <c r="H54">
        <f t="shared" si="3"/>
        <v>2.5411822366688819E-2</v>
      </c>
      <c r="I54">
        <f t="shared" si="3"/>
        <v>3.5592613135799089E-2</v>
      </c>
      <c r="J54">
        <f t="shared" si="3"/>
        <v>9.2943291501580427E-2</v>
      </c>
      <c r="K54" s="37">
        <f t="shared" ref="K54:M54" si="49">+AVERAGE(H50:H54)</f>
        <v>3.3798344799297241E-2</v>
      </c>
      <c r="L54" s="37">
        <f t="shared" si="49"/>
        <v>2.7135045277403912E-2</v>
      </c>
      <c r="M54" s="37">
        <f t="shared" si="49"/>
        <v>7.0777948759302323E-2</v>
      </c>
    </row>
    <row r="55" spans="1:13" x14ac:dyDescent="0.3">
      <c r="A55" s="5">
        <v>1999</v>
      </c>
      <c r="B55" s="2">
        <v>4.79092741468593</v>
      </c>
      <c r="C55" s="2">
        <v>6.0206728561205596</v>
      </c>
      <c r="D55" s="23">
        <v>9.4419543429844097</v>
      </c>
      <c r="E55">
        <f t="shared" si="0"/>
        <v>1.6831299467778329</v>
      </c>
      <c r="F55">
        <f t="shared" si="1"/>
        <v>1.7759382794197103</v>
      </c>
      <c r="G55">
        <f t="shared" si="2"/>
        <v>2.2573463343206122</v>
      </c>
      <c r="H55">
        <f t="shared" si="3"/>
        <v>4.0989021478802901E-2</v>
      </c>
      <c r="I55">
        <f t="shared" si="3"/>
        <v>3.7690282645163498E-2</v>
      </c>
      <c r="J55">
        <f t="shared" si="3"/>
        <v>8.325082244721993E-2</v>
      </c>
      <c r="K55" s="37">
        <f t="shared" ref="K55:M55" si="50">+AVERAGE(H51:H55)</f>
        <v>3.5099234970810397E-2</v>
      </c>
      <c r="L55" s="37">
        <f t="shared" si="50"/>
        <v>2.9710725481821097E-2</v>
      </c>
      <c r="M55" s="37">
        <f t="shared" si="50"/>
        <v>7.5217700467585275E-2</v>
      </c>
    </row>
    <row r="56" spans="1:13" x14ac:dyDescent="0.3">
      <c r="A56" s="5">
        <v>2000</v>
      </c>
      <c r="B56" s="2">
        <v>4.9114044664428098</v>
      </c>
      <c r="C56" s="2">
        <v>6.2493666729610098</v>
      </c>
      <c r="D56" s="23">
        <v>10.045935412026701</v>
      </c>
      <c r="E56">
        <f t="shared" si="0"/>
        <v>1.7254554750440132</v>
      </c>
      <c r="F56">
        <f t="shared" si="1"/>
        <v>1.8433968697300391</v>
      </c>
      <c r="G56">
        <f t="shared" si="2"/>
        <v>2.4017438184298947</v>
      </c>
      <c r="H56">
        <f t="shared" si="3"/>
        <v>2.5146916521334495E-2</v>
      </c>
      <c r="I56">
        <f t="shared" si="3"/>
        <v>3.7984760558441799E-2</v>
      </c>
      <c r="J56">
        <f t="shared" si="3"/>
        <v>6.396780233226429E-2</v>
      </c>
      <c r="K56" s="37">
        <f t="shared" ref="K56:M56" si="51">+AVERAGE(H52:H56)</f>
        <v>3.3641120440419801E-2</v>
      </c>
      <c r="L56" s="37">
        <f t="shared" si="51"/>
        <v>3.2499206236570585E-2</v>
      </c>
      <c r="M56" s="37">
        <f t="shared" si="51"/>
        <v>7.7702069913284211E-2</v>
      </c>
    </row>
    <row r="57" spans="1:13" x14ac:dyDescent="0.3">
      <c r="A57" s="5">
        <v>2001</v>
      </c>
      <c r="B57" s="2">
        <v>5.0670473131402503</v>
      </c>
      <c r="C57" s="2">
        <v>6.3892758325500303</v>
      </c>
      <c r="D57" s="23">
        <v>10.0034799554565</v>
      </c>
      <c r="E57">
        <f t="shared" si="0"/>
        <v>1.7801353133306859</v>
      </c>
      <c r="F57">
        <f t="shared" si="1"/>
        <v>1.8846663487556252</v>
      </c>
      <c r="G57">
        <f t="shared" si="2"/>
        <v>2.3915937302405932</v>
      </c>
      <c r="H57">
        <f t="shared" si="3"/>
        <v>3.1690089415536971E-2</v>
      </c>
      <c r="I57">
        <f t="shared" si="3"/>
        <v>2.2387734135422388E-2</v>
      </c>
      <c r="J57">
        <f t="shared" si="3"/>
        <v>-4.2261327421411199E-3</v>
      </c>
      <c r="K57" s="37">
        <f t="shared" ref="K57:M57" si="52">+AVERAGE(H53:H57)</f>
        <v>3.2317581113274853E-2</v>
      </c>
      <c r="L57" s="37">
        <f t="shared" si="52"/>
        <v>3.2281673124235202E-2</v>
      </c>
      <c r="M57" s="37">
        <f t="shared" si="52"/>
        <v>6.1546898546714648E-2</v>
      </c>
    </row>
    <row r="58" spans="1:13" x14ac:dyDescent="0.3">
      <c r="A58" s="5">
        <v>2002</v>
      </c>
      <c r="B58" s="2">
        <v>5.1375630589329297</v>
      </c>
      <c r="C58" s="2">
        <v>6.5339044530930002</v>
      </c>
      <c r="D58" s="23">
        <v>9.8337973273941994</v>
      </c>
      <c r="E58">
        <f t="shared" si="0"/>
        <v>1.8049086303087751</v>
      </c>
      <c r="F58">
        <f t="shared" si="1"/>
        <v>1.9273279431753945</v>
      </c>
      <c r="G58">
        <f t="shared" si="2"/>
        <v>2.351026656461114</v>
      </c>
      <c r="H58">
        <f t="shared" si="3"/>
        <v>1.3916535890599047E-2</v>
      </c>
      <c r="I58">
        <f t="shared" si="3"/>
        <v>2.2636152254714492E-2</v>
      </c>
      <c r="J58">
        <f t="shared" si="3"/>
        <v>-1.6962359980513209E-2</v>
      </c>
      <c r="K58" s="37">
        <f t="shared" ref="K58:M58" si="53">+AVERAGE(H54:H58)</f>
        <v>2.7430877134592448E-2</v>
      </c>
      <c r="L58" s="37">
        <f t="shared" si="53"/>
        <v>3.1258308545908255E-2</v>
      </c>
      <c r="M58" s="37">
        <f t="shared" si="53"/>
        <v>4.3794684711682061E-2</v>
      </c>
    </row>
    <row r="59" spans="1:13" x14ac:dyDescent="0.3">
      <c r="A59" s="5">
        <v>2003</v>
      </c>
      <c r="B59" s="2">
        <v>5.3186619579099403</v>
      </c>
      <c r="C59" s="2">
        <v>6.6697229533172697</v>
      </c>
      <c r="D59" s="23">
        <v>10.250417594654699</v>
      </c>
      <c r="E59">
        <f t="shared" si="0"/>
        <v>1.8685315896678207</v>
      </c>
      <c r="F59">
        <f t="shared" si="1"/>
        <v>1.9673907865428841</v>
      </c>
      <c r="G59">
        <f t="shared" si="2"/>
        <v>2.4506306366268245</v>
      </c>
      <c r="H59">
        <f t="shared" si="3"/>
        <v>3.5249961294806065E-2</v>
      </c>
      <c r="I59">
        <f t="shared" si="3"/>
        <v>2.0786728853982028E-2</v>
      </c>
      <c r="J59">
        <f t="shared" si="3"/>
        <v>4.2366163689372849E-2</v>
      </c>
      <c r="K59" s="37">
        <f t="shared" ref="K59:M59" si="54">+AVERAGE(H55:H59)</f>
        <v>2.9398504920215895E-2</v>
      </c>
      <c r="L59" s="37">
        <f t="shared" si="54"/>
        <v>2.8297131689544841E-2</v>
      </c>
      <c r="M59" s="37">
        <f t="shared" si="54"/>
        <v>3.3679259149240547E-2</v>
      </c>
    </row>
    <row r="60" spans="1:13" x14ac:dyDescent="0.3">
      <c r="A60" s="5">
        <v>2004</v>
      </c>
      <c r="B60" s="2">
        <v>5.4619896692629402</v>
      </c>
      <c r="C60" s="2">
        <v>6.8538526577201599</v>
      </c>
      <c r="D60" s="23">
        <v>10.864699331848501</v>
      </c>
      <c r="E60">
        <f t="shared" si="0"/>
        <v>1.9188849226032931</v>
      </c>
      <c r="F60">
        <f t="shared" si="1"/>
        <v>2.0217041495576011</v>
      </c>
      <c r="G60">
        <f t="shared" si="2"/>
        <v>2.5974907650836871</v>
      </c>
      <c r="H60">
        <f t="shared" si="3"/>
        <v>2.6948076882352234E-2</v>
      </c>
      <c r="I60">
        <f t="shared" si="3"/>
        <v>2.7606799516509239E-2</v>
      </c>
      <c r="J60">
        <f t="shared" si="3"/>
        <v>5.9927484077734627E-2</v>
      </c>
      <c r="K60" s="37">
        <f t="shared" ref="K60:M60" si="55">+AVERAGE(H56:H60)</f>
        <v>2.6590316000925762E-2</v>
      </c>
      <c r="L60" s="37">
        <f t="shared" si="55"/>
        <v>2.628043506381399E-2</v>
      </c>
      <c r="M60" s="37">
        <f t="shared" si="55"/>
        <v>2.9014591475343486E-2</v>
      </c>
    </row>
    <row r="61" spans="1:13" x14ac:dyDescent="0.3">
      <c r="A61" s="5">
        <v>2005</v>
      </c>
      <c r="B61" s="2">
        <v>5.6495654486636404</v>
      </c>
      <c r="C61" s="2">
        <v>7.0376126116328601</v>
      </c>
      <c r="D61" s="23">
        <v>11.5231069042316</v>
      </c>
      <c r="E61">
        <f t="shared" si="0"/>
        <v>1.9847833143492695</v>
      </c>
      <c r="F61">
        <f t="shared" si="1"/>
        <v>2.0759084460169586</v>
      </c>
      <c r="G61">
        <f t="shared" si="2"/>
        <v>2.7549003294618761</v>
      </c>
      <c r="H61">
        <f t="shared" si="3"/>
        <v>3.4342023833599189E-2</v>
      </c>
      <c r="I61">
        <f t="shared" si="3"/>
        <v>2.6811191178105265E-2</v>
      </c>
      <c r="J61">
        <f t="shared" si="3"/>
        <v>6.060062522421239E-2</v>
      </c>
      <c r="K61" s="37">
        <f t="shared" ref="K61:M61" si="56">+AVERAGE(H57:H61)</f>
        <v>2.8429337463378702E-2</v>
      </c>
      <c r="L61" s="37">
        <f t="shared" si="56"/>
        <v>2.4045721187746682E-2</v>
      </c>
      <c r="M61" s="37">
        <f t="shared" si="56"/>
        <v>2.8341156053733108E-2</v>
      </c>
    </row>
    <row r="62" spans="1:13" x14ac:dyDescent="0.3">
      <c r="A62" s="5">
        <v>2006</v>
      </c>
      <c r="B62" s="2">
        <v>5.9017547099352203</v>
      </c>
      <c r="C62" s="2">
        <v>7.1913546446820398</v>
      </c>
      <c r="D62" s="23">
        <v>11.831291759465399</v>
      </c>
      <c r="E62">
        <f t="shared" si="0"/>
        <v>2.073381462716291</v>
      </c>
      <c r="F62">
        <f t="shared" si="1"/>
        <v>2.1212582546135645</v>
      </c>
      <c r="G62">
        <f t="shared" si="2"/>
        <v>2.8285799860228136</v>
      </c>
      <c r="H62">
        <f t="shared" si="3"/>
        <v>4.4638700721881808E-2</v>
      </c>
      <c r="I62">
        <f t="shared" si="3"/>
        <v>2.1845765252132665E-2</v>
      </c>
      <c r="J62">
        <f t="shared" si="3"/>
        <v>2.6744944553159122E-2</v>
      </c>
      <c r="K62" s="37">
        <f t="shared" ref="K62:M62" si="57">+AVERAGE(H58:H62)</f>
        <v>3.101905972464767E-2</v>
      </c>
      <c r="L62" s="37">
        <f t="shared" si="57"/>
        <v>2.3937327411088737E-2</v>
      </c>
      <c r="M62" s="37">
        <f t="shared" si="57"/>
        <v>3.4535371512793157E-2</v>
      </c>
    </row>
    <row r="63" spans="1:13" x14ac:dyDescent="0.3">
      <c r="A63" s="5">
        <v>2007</v>
      </c>
      <c r="B63" s="2">
        <v>6.2180636441105603</v>
      </c>
      <c r="C63" s="2">
        <v>7.3696002793752502</v>
      </c>
      <c r="D63" s="23">
        <v>11.762806236080101</v>
      </c>
      <c r="E63">
        <f t="shared" si="0"/>
        <v>2.1845058846626406</v>
      </c>
      <c r="F63">
        <f t="shared" si="1"/>
        <v>2.1738359736419834</v>
      </c>
      <c r="G63">
        <f t="shared" si="2"/>
        <v>2.8122067290092696</v>
      </c>
      <c r="H63">
        <f t="shared" si="3"/>
        <v>5.3595743930674455E-2</v>
      </c>
      <c r="I63">
        <f t="shared" si="3"/>
        <v>2.4786099907480263E-2</v>
      </c>
      <c r="J63">
        <f t="shared" si="3"/>
        <v>-5.7885076944795832E-3</v>
      </c>
      <c r="K63" s="37">
        <f t="shared" ref="K63:M63" si="58">+AVERAGE(H59:H63)</f>
        <v>3.8954901332662752E-2</v>
      </c>
      <c r="L63" s="37">
        <f t="shared" si="58"/>
        <v>2.4367316941641893E-2</v>
      </c>
      <c r="M63" s="37">
        <f t="shared" si="58"/>
        <v>3.6770141969999878E-2</v>
      </c>
    </row>
    <row r="64" spans="1:13" x14ac:dyDescent="0.3">
      <c r="A64" s="5">
        <v>2008</v>
      </c>
      <c r="B64" s="2">
        <v>6.3078096170672397</v>
      </c>
      <c r="C64" s="2">
        <v>7.5249786753834904</v>
      </c>
      <c r="D64" s="23">
        <v>11.268095768374099</v>
      </c>
      <c r="E64">
        <f t="shared" si="0"/>
        <v>2.2160350900985373</v>
      </c>
      <c r="F64">
        <f t="shared" si="1"/>
        <v>2.2196684657670698</v>
      </c>
      <c r="G64">
        <f t="shared" si="2"/>
        <v>2.6939332423707816</v>
      </c>
      <c r="H64">
        <f t="shared" si="3"/>
        <v>1.4433106203678658E-2</v>
      </c>
      <c r="I64">
        <f t="shared" si="3"/>
        <v>2.1083693839282658E-2</v>
      </c>
      <c r="J64">
        <f t="shared" si="3"/>
        <v>-4.2057180725172172E-2</v>
      </c>
      <c r="K64" s="37">
        <f t="shared" ref="K64:M64" si="59">+AVERAGE(H60:H64)</f>
        <v>3.4791530314437269E-2</v>
      </c>
      <c r="L64" s="37">
        <f t="shared" si="59"/>
        <v>2.4426709938702017E-2</v>
      </c>
      <c r="M64" s="37">
        <f t="shared" si="59"/>
        <v>1.9885473087090877E-2</v>
      </c>
    </row>
    <row r="65" spans="1:13" x14ac:dyDescent="0.3">
      <c r="A65" s="5">
        <v>2009</v>
      </c>
      <c r="B65" s="2">
        <v>6.4570343120936204</v>
      </c>
      <c r="C65" s="2">
        <v>7.5805000834471699</v>
      </c>
      <c r="D65" s="23">
        <v>9.8570434298440901</v>
      </c>
      <c r="E65">
        <f t="shared" si="0"/>
        <v>2.2684601283547585</v>
      </c>
      <c r="F65">
        <f t="shared" si="1"/>
        <v>2.236045803693234</v>
      </c>
      <c r="G65">
        <f t="shared" si="2"/>
        <v>2.3565842457319719</v>
      </c>
      <c r="H65">
        <f t="shared" si="3"/>
        <v>2.3657133630447191E-2</v>
      </c>
      <c r="I65">
        <f t="shared" si="3"/>
        <v>7.3782811166371864E-3</v>
      </c>
      <c r="J65">
        <f t="shared" si="3"/>
        <v>-0.12522544780728395</v>
      </c>
      <c r="K65" s="37">
        <f t="shared" ref="K65:M65" si="60">+AVERAGE(H61:H65)</f>
        <v>3.4133341664056259E-2</v>
      </c>
      <c r="L65" s="37">
        <f t="shared" si="60"/>
        <v>2.0381006258727609E-2</v>
      </c>
      <c r="M65" s="37">
        <f t="shared" si="60"/>
        <v>-1.714511328991284E-2</v>
      </c>
    </row>
    <row r="66" spans="1:13" x14ac:dyDescent="0.3">
      <c r="A66" s="5">
        <v>2010</v>
      </c>
      <c r="B66" s="2">
        <v>6.4642783599050198</v>
      </c>
      <c r="C66" s="2">
        <v>7.6815057580833903</v>
      </c>
      <c r="D66" s="23">
        <v>10.0796213808463</v>
      </c>
      <c r="E66">
        <f t="shared" si="0"/>
        <v>2.2710050789983192</v>
      </c>
      <c r="F66">
        <f t="shared" si="1"/>
        <v>2.265839789899065</v>
      </c>
      <c r="G66">
        <f t="shared" si="2"/>
        <v>2.4097973310259877</v>
      </c>
      <c r="H66">
        <f t="shared" si="3"/>
        <v>1.1218846704643681E-3</v>
      </c>
      <c r="I66">
        <f t="shared" si="3"/>
        <v>1.3324407825913376E-2</v>
      </c>
      <c r="J66">
        <f t="shared" si="3"/>
        <v>2.2580599607415097E-2</v>
      </c>
      <c r="K66" s="37">
        <f t="shared" ref="K66:M66" si="61">+AVERAGE(H62:H66)</f>
        <v>2.7489313831429295E-2</v>
      </c>
      <c r="L66" s="37">
        <f t="shared" si="61"/>
        <v>1.7683649588289229E-2</v>
      </c>
      <c r="M66" s="37">
        <f t="shared" si="61"/>
        <v>-2.4749118413272299E-2</v>
      </c>
    </row>
    <row r="67" spans="1:13" x14ac:dyDescent="0.3">
      <c r="A67" s="5">
        <v>2011</v>
      </c>
      <c r="B67" s="2">
        <v>6.6104866668410702</v>
      </c>
      <c r="C67" s="2">
        <v>7.72589641175907</v>
      </c>
      <c r="D67" s="23">
        <v>10.545935412026701</v>
      </c>
      <c r="E67">
        <f t="shared" si="0"/>
        <v>2.3223704115469617</v>
      </c>
      <c r="F67">
        <f t="shared" si="1"/>
        <v>2.2789338514757476</v>
      </c>
      <c r="G67">
        <f t="shared" si="2"/>
        <v>2.5212819062198379</v>
      </c>
      <c r="H67">
        <f t="shared" si="3"/>
        <v>2.2617885368754198E-2</v>
      </c>
      <c r="I67">
        <f t="shared" si="3"/>
        <v>5.7789000065471274E-3</v>
      </c>
      <c r="J67">
        <f t="shared" si="3"/>
        <v>4.6263050323150923E-2</v>
      </c>
      <c r="K67" s="37">
        <f t="shared" ref="K67:M67" si="62">+AVERAGE(H63:H67)</f>
        <v>2.3085150760803773E-2</v>
      </c>
      <c r="L67" s="37">
        <f t="shared" si="62"/>
        <v>1.4470276539172123E-2</v>
      </c>
      <c r="M67" s="37">
        <f t="shared" si="62"/>
        <v>-2.0845497259273937E-2</v>
      </c>
    </row>
    <row r="68" spans="1:13" x14ac:dyDescent="0.3">
      <c r="A68" s="5">
        <v>2012</v>
      </c>
      <c r="B68" s="2">
        <v>6.7875734081331203</v>
      </c>
      <c r="C68" s="2">
        <v>7.7688873975099204</v>
      </c>
      <c r="D68" s="23">
        <v>11.2747772828507</v>
      </c>
      <c r="E68">
        <f t="shared" ref="E68:E73" si="63">B68/B$36</f>
        <v>2.3845838353054361</v>
      </c>
      <c r="F68">
        <f t="shared" ref="F68:F73" si="64">C68/C$36</f>
        <v>2.2916150482604731</v>
      </c>
      <c r="G68">
        <f t="shared" ref="G68:G73" si="65">D68/D$36</f>
        <v>2.6955306332989291</v>
      </c>
      <c r="H68">
        <f t="shared" si="3"/>
        <v>2.678876007425246E-2</v>
      </c>
      <c r="I68">
        <f t="shared" si="3"/>
        <v>5.5645304388776129E-3</v>
      </c>
      <c r="J68">
        <f t="shared" si="3"/>
        <v>6.9111163908022633E-2</v>
      </c>
      <c r="K68" s="37">
        <f t="shared" ref="K68:M68" si="66">+AVERAGE(H64:H68)</f>
        <v>1.7723753989519375E-2</v>
      </c>
      <c r="L68" s="37">
        <f t="shared" si="66"/>
        <v>1.0625962645451592E-2</v>
      </c>
      <c r="M68" s="37">
        <f t="shared" si="66"/>
        <v>-5.8655629387734942E-3</v>
      </c>
    </row>
    <row r="69" spans="1:13" x14ac:dyDescent="0.3">
      <c r="A69" s="5">
        <v>2013</v>
      </c>
      <c r="B69" s="2">
        <v>7.07880883661604</v>
      </c>
      <c r="C69" s="2">
        <v>7.8103493792437098</v>
      </c>
      <c r="D69" s="23">
        <v>11.7345489977728</v>
      </c>
      <c r="E69">
        <f t="shared" si="63"/>
        <v>2.4868995309554425</v>
      </c>
      <c r="F69">
        <f t="shared" si="64"/>
        <v>2.3038452295477327</v>
      </c>
      <c r="G69">
        <f t="shared" si="65"/>
        <v>2.8054510965423107</v>
      </c>
      <c r="H69">
        <f t="shared" ref="H69:J73" si="67">E69/E68-1</f>
        <v>4.290714972363352E-2</v>
      </c>
      <c r="I69">
        <f t="shared" si="67"/>
        <v>5.3369265909399832E-3</v>
      </c>
      <c r="J69">
        <f t="shared" si="67"/>
        <v>4.0778784661354539E-2</v>
      </c>
      <c r="K69" s="37">
        <f t="shared" ref="K69:M69" si="68">+AVERAGE(H65:H69)</f>
        <v>2.3418562693510347E-2</v>
      </c>
      <c r="L69" s="37">
        <f t="shared" si="68"/>
        <v>7.4766091957830568E-3</v>
      </c>
      <c r="M69" s="37">
        <f t="shared" si="68"/>
        <v>1.0701630138531848E-2</v>
      </c>
    </row>
    <row r="70" spans="1:13" x14ac:dyDescent="0.3">
      <c r="A70" s="5">
        <v>2014</v>
      </c>
      <c r="B70" s="2">
        <v>7.3270206911504001</v>
      </c>
      <c r="C70" s="2">
        <v>7.9175979071036897</v>
      </c>
      <c r="D70" s="23">
        <v>12.4259465478841</v>
      </c>
      <c r="E70">
        <f t="shared" si="63"/>
        <v>2.5741003522894119</v>
      </c>
      <c r="F70">
        <f t="shared" si="64"/>
        <v>2.3354806913291055</v>
      </c>
      <c r="G70">
        <f t="shared" si="65"/>
        <v>2.970747778628223</v>
      </c>
      <c r="H70">
        <f t="shared" si="67"/>
        <v>3.50640708434522E-2</v>
      </c>
      <c r="I70">
        <f t="shared" si="67"/>
        <v>1.3731591591151782E-2</v>
      </c>
      <c r="J70">
        <f t="shared" si="67"/>
        <v>5.8919823015143091E-2</v>
      </c>
      <c r="K70" s="37">
        <f t="shared" ref="K70:M70" si="69">+AVERAGE(H66:H70)</f>
        <v>2.5699950136111351E-2</v>
      </c>
      <c r="L70" s="37">
        <f t="shared" si="69"/>
        <v>8.7472712906859762E-3</v>
      </c>
      <c r="M70" s="37">
        <f t="shared" si="69"/>
        <v>4.7530684303017254E-2</v>
      </c>
    </row>
    <row r="71" spans="1:13" x14ac:dyDescent="0.3">
      <c r="A71" s="5">
        <v>2015</v>
      </c>
      <c r="B71" s="2">
        <v>7.4523986705335101</v>
      </c>
      <c r="C71" s="2">
        <v>8.1034405302801193</v>
      </c>
      <c r="D71" s="23">
        <v>12.9728563474387</v>
      </c>
      <c r="E71">
        <f t="shared" si="63"/>
        <v>2.6181476553479661</v>
      </c>
      <c r="F71">
        <f t="shared" si="64"/>
        <v>2.3902993198003859</v>
      </c>
      <c r="G71">
        <f t="shared" si="65"/>
        <v>3.1015008818928993</v>
      </c>
      <c r="H71">
        <f t="shared" si="67"/>
        <v>1.7111727217386186E-2</v>
      </c>
      <c r="I71">
        <f t="shared" si="67"/>
        <v>2.3472096632956241E-2</v>
      </c>
      <c r="J71">
        <f t="shared" si="67"/>
        <v>4.4013532284808532E-2</v>
      </c>
      <c r="K71" s="37">
        <f t="shared" ref="K71:M71" si="70">+AVERAGE(H67:H71)</f>
        <v>2.8897918645495714E-2</v>
      </c>
      <c r="L71" s="37">
        <f t="shared" si="70"/>
        <v>1.0776809052094549E-2</v>
      </c>
      <c r="M71" s="37">
        <f t="shared" si="70"/>
        <v>5.1817270838495945E-2</v>
      </c>
    </row>
    <row r="72" spans="1:13" x14ac:dyDescent="0.3">
      <c r="A72" s="5">
        <v>2016</v>
      </c>
      <c r="B72" s="2">
        <v>7.7546027060119602</v>
      </c>
      <c r="C72" s="2">
        <v>8.2408880104655804</v>
      </c>
      <c r="D72" s="23">
        <v>13.3493875278396</v>
      </c>
      <c r="E72">
        <f t="shared" si="63"/>
        <v>2.7243167992577022</v>
      </c>
      <c r="F72">
        <f t="shared" si="64"/>
        <v>2.4308426689084501</v>
      </c>
      <c r="G72">
        <f t="shared" si="65"/>
        <v>3.1915205164897267</v>
      </c>
      <c r="H72">
        <f t="shared" si="67"/>
        <v>4.0551243812727344E-2</v>
      </c>
      <c r="I72">
        <f t="shared" si="67"/>
        <v>1.6961620150337531E-2</v>
      </c>
      <c r="J72">
        <f t="shared" si="67"/>
        <v>2.9024539416505624E-2</v>
      </c>
      <c r="K72" s="37">
        <f t="shared" ref="K72:M72" si="71">+AVERAGE(H68:H72)</f>
        <v>3.2484590334290339E-2</v>
      </c>
      <c r="L72" s="37">
        <f t="shared" si="71"/>
        <v>1.301335308085263E-2</v>
      </c>
      <c r="M72" s="37">
        <f t="shared" si="71"/>
        <v>4.8369568657166885E-2</v>
      </c>
    </row>
    <row r="73" spans="1:13" x14ac:dyDescent="0.3">
      <c r="A73" s="5">
        <v>2017</v>
      </c>
      <c r="B73" s="2">
        <v>8.0577045287048499</v>
      </c>
      <c r="C73" s="2">
        <v>8.3613863086732394</v>
      </c>
      <c r="D73" s="23">
        <v>13.9198218262806</v>
      </c>
      <c r="E73">
        <f t="shared" si="63"/>
        <v>2.8308013502725062</v>
      </c>
      <c r="F73">
        <f t="shared" si="64"/>
        <v>2.4663864603593284</v>
      </c>
      <c r="G73">
        <f t="shared" si="65"/>
        <v>3.3278977669805965</v>
      </c>
      <c r="H73">
        <f t="shared" si="67"/>
        <v>3.9086699110697509E-2</v>
      </c>
      <c r="I73">
        <f t="shared" si="67"/>
        <v>1.462200409162584E-2</v>
      </c>
      <c r="J73">
        <f t="shared" si="67"/>
        <v>4.2731121353049462E-2</v>
      </c>
      <c r="K73" s="37">
        <f t="shared" ref="K73:M73" si="72">+AVERAGE(H69:H73)</f>
        <v>3.4944178141579352E-2</v>
      </c>
      <c r="L73" s="37">
        <f t="shared" si="72"/>
        <v>1.4824847811402276E-2</v>
      </c>
      <c r="M73" s="37">
        <f t="shared" si="72"/>
        <v>4.3093560146172251E-2</v>
      </c>
    </row>
    <row r="74" spans="1:13" x14ac:dyDescent="0.3">
      <c r="A74" s="20">
        <v>2018</v>
      </c>
      <c r="B74">
        <v>8.3194605736699501</v>
      </c>
      <c r="C74">
        <v>8.5289051457716791</v>
      </c>
      <c r="D74" s="23">
        <v>14.619292873051201</v>
      </c>
      <c r="E74">
        <f t="shared" ref="E74:E79" si="73">B74/B$36</f>
        <v>2.9227604638003757</v>
      </c>
      <c r="F74">
        <f t="shared" ref="F74:F79" si="74">C74/C$36</f>
        <v>2.5158000595427743</v>
      </c>
      <c r="G74">
        <f t="shared" ref="G74:G79" si="75">D74/D$36</f>
        <v>3.4951246297713716</v>
      </c>
      <c r="H74">
        <f t="shared" ref="H74:H79" si="76">E74/E73-1</f>
        <v>3.2485187814050187E-2</v>
      </c>
      <c r="I74">
        <f t="shared" ref="I74:I79" si="77">F74/F73-1</f>
        <v>2.0034816107548314E-2</v>
      </c>
      <c r="J74">
        <f t="shared" ref="J74:J79" si="78">G74/G73-1</f>
        <v>5.0250000000000128E-2</v>
      </c>
      <c r="K74" s="37">
        <f t="shared" ref="K74:K79" si="79">+AVERAGE(H70:H74)</f>
        <v>3.2859785759662682E-2</v>
      </c>
      <c r="L74" s="37">
        <f t="shared" ref="L74:L79" si="80">+AVERAGE(I70:I74)</f>
        <v>1.776442571472394E-2</v>
      </c>
      <c r="M74" s="37">
        <f t="shared" ref="M74:M79" si="81">+AVERAGE(J70:J74)</f>
        <v>4.4987803213901369E-2</v>
      </c>
    </row>
    <row r="75" spans="1:13" x14ac:dyDescent="0.3">
      <c r="A75" s="20">
        <v>2019</v>
      </c>
      <c r="B75">
        <v>8.6141336877872998</v>
      </c>
      <c r="C75">
        <v>8.7061126136736302</v>
      </c>
      <c r="D75" s="23">
        <v>15.047327394209301</v>
      </c>
      <c r="E75">
        <f t="shared" si="73"/>
        <v>3.0262838737691542</v>
      </c>
      <c r="F75">
        <f t="shared" si="74"/>
        <v>2.5680715469939126</v>
      </c>
      <c r="G75">
        <f t="shared" si="75"/>
        <v>3.597457486106018</v>
      </c>
      <c r="H75">
        <f t="shared" si="76"/>
        <v>3.5419738035654902E-2</v>
      </c>
      <c r="I75">
        <f t="shared" si="77"/>
        <v>2.0777282062962588E-2</v>
      </c>
      <c r="J75">
        <f t="shared" si="78"/>
        <v>2.9278743156389453E-2</v>
      </c>
      <c r="K75" s="37">
        <f t="shared" si="79"/>
        <v>3.2930919198103224E-2</v>
      </c>
      <c r="L75" s="37">
        <f t="shared" si="80"/>
        <v>1.9173563809086101E-2</v>
      </c>
      <c r="M75" s="37">
        <f t="shared" si="81"/>
        <v>3.905958724215064E-2</v>
      </c>
    </row>
    <row r="76" spans="1:13" x14ac:dyDescent="0.3">
      <c r="A76" s="20">
        <v>2020</v>
      </c>
      <c r="B76">
        <v>9.0708226815781003</v>
      </c>
      <c r="C76">
        <v>8.3660991393082096</v>
      </c>
      <c r="D76" s="23">
        <v>14.9246937639198</v>
      </c>
      <c r="E76">
        <f t="shared" si="73"/>
        <v>3.1867260711309613</v>
      </c>
      <c r="F76">
        <f t="shared" si="74"/>
        <v>2.4677766199858486</v>
      </c>
      <c r="G76">
        <f t="shared" si="75"/>
        <v>3.5681387067789267</v>
      </c>
      <c r="H76">
        <f t="shared" si="76"/>
        <v>5.3016241718917279E-2</v>
      </c>
      <c r="I76">
        <f t="shared" si="77"/>
        <v>-3.9054568836084602E-2</v>
      </c>
      <c r="J76">
        <f t="shared" si="78"/>
        <v>-8.1498612395908276E-3</v>
      </c>
      <c r="K76" s="37">
        <f t="shared" si="79"/>
        <v>4.0111822098409446E-2</v>
      </c>
      <c r="L76" s="37">
        <f t="shared" si="80"/>
        <v>6.6682307152779339E-3</v>
      </c>
      <c r="M76" s="37">
        <f t="shared" si="81"/>
        <v>2.8626908537270769E-2</v>
      </c>
    </row>
    <row r="77" spans="1:13" x14ac:dyDescent="0.3">
      <c r="A77" s="20">
        <v>2021</v>
      </c>
      <c r="B77">
        <v>9.8009451993869696</v>
      </c>
      <c r="C77">
        <v>8.8049195933474298</v>
      </c>
      <c r="D77" s="23">
        <v>15.7356625835189</v>
      </c>
      <c r="E77">
        <f t="shared" si="73"/>
        <v>3.4432298684487717</v>
      </c>
      <c r="F77">
        <f t="shared" si="74"/>
        <v>2.597216976694209</v>
      </c>
      <c r="G77">
        <f t="shared" si="75"/>
        <v>3.7620220306832146</v>
      </c>
      <c r="H77">
        <f t="shared" si="76"/>
        <v>8.0491322941597554E-2</v>
      </c>
      <c r="I77">
        <f t="shared" si="77"/>
        <v>5.2452217781811417E-2</v>
      </c>
      <c r="J77">
        <f t="shared" si="78"/>
        <v>5.4337384232271857E-2</v>
      </c>
      <c r="K77" s="37">
        <f t="shared" si="79"/>
        <v>4.8099837924183486E-2</v>
      </c>
      <c r="L77" s="37">
        <f t="shared" si="80"/>
        <v>1.3766350241572712E-2</v>
      </c>
      <c r="M77" s="37">
        <f t="shared" si="81"/>
        <v>3.3689477500424017E-2</v>
      </c>
    </row>
    <row r="78" spans="1:13" x14ac:dyDescent="0.3">
      <c r="A78" s="20">
        <v>2022</v>
      </c>
      <c r="B78">
        <v>9.5380502749311393</v>
      </c>
      <c r="C78">
        <v>9.0993521182437096</v>
      </c>
      <c r="D78" s="23">
        <v>16.0547048997772</v>
      </c>
      <c r="E78">
        <f t="shared" si="73"/>
        <v>3.3508706482169801</v>
      </c>
      <c r="F78">
        <f t="shared" si="74"/>
        <v>2.6840667365408897</v>
      </c>
      <c r="G78">
        <f t="shared" si="75"/>
        <v>3.8382974475023972</v>
      </c>
      <c r="H78">
        <f t="shared" si="76"/>
        <v>-2.682342560922335E-2</v>
      </c>
      <c r="I78">
        <f t="shared" si="77"/>
        <v>3.3439547263865776E-2</v>
      </c>
      <c r="J78">
        <f t="shared" si="78"/>
        <v>2.0275111681185454E-2</v>
      </c>
      <c r="K78" s="37">
        <f t="shared" si="79"/>
        <v>3.4917812980199317E-2</v>
      </c>
      <c r="L78" s="37">
        <f t="shared" si="80"/>
        <v>1.7529858876020699E-2</v>
      </c>
      <c r="M78" s="37">
        <f t="shared" si="81"/>
        <v>2.9198275566051212E-2</v>
      </c>
    </row>
    <row r="79" spans="1:13" x14ac:dyDescent="0.3">
      <c r="A79" s="20">
        <v>2023</v>
      </c>
      <c r="B79">
        <v>9.9665350343467001</v>
      </c>
      <c r="C79">
        <v>9.3717427242633207</v>
      </c>
      <c r="D79" s="23">
        <v>16.572661469933099</v>
      </c>
      <c r="E79">
        <f t="shared" si="73"/>
        <v>3.501404243883552</v>
      </c>
      <c r="F79">
        <f t="shared" si="74"/>
        <v>2.7644147168655118</v>
      </c>
      <c r="G79">
        <f t="shared" si="75"/>
        <v>3.9621285234117449</v>
      </c>
      <c r="H79">
        <f t="shared" si="76"/>
        <v>4.4923726240125639E-2</v>
      </c>
      <c r="I79">
        <f t="shared" si="77"/>
        <v>2.9935164886462973E-2</v>
      </c>
      <c r="J79">
        <f t="shared" si="78"/>
        <v>3.2261980110458888E-2</v>
      </c>
      <c r="K79" s="37">
        <f t="shared" si="79"/>
        <v>3.7405520665414402E-2</v>
      </c>
      <c r="L79" s="37">
        <f t="shared" si="80"/>
        <v>1.950992863180363E-2</v>
      </c>
      <c r="M79" s="37">
        <f t="shared" si="81"/>
        <v>2.5600671588142963E-2</v>
      </c>
    </row>
    <row r="80" spans="1:13" x14ac:dyDescent="0.3">
      <c r="K80" s="37"/>
      <c r="L80" s="37"/>
      <c r="M80" s="37"/>
    </row>
    <row r="81" spans="7:13" x14ac:dyDescent="0.3">
      <c r="H81" t="s">
        <v>230</v>
      </c>
      <c r="I81" t="s">
        <v>231</v>
      </c>
      <c r="J81" t="s">
        <v>200</v>
      </c>
      <c r="K81" t="s">
        <v>198</v>
      </c>
      <c r="L81" t="s">
        <v>229</v>
      </c>
      <c r="M81" t="s">
        <v>200</v>
      </c>
    </row>
    <row r="82" spans="7:13" x14ac:dyDescent="0.3">
      <c r="G82" t="s">
        <v>226</v>
      </c>
      <c r="H82" s="37">
        <f t="shared" ref="H82:M82" si="82">AVERAGE(H6:H15)</f>
        <v>2.8747803353805602E-2</v>
      </c>
      <c r="I82" s="37">
        <f t="shared" si="82"/>
        <v>4.442871895488304E-2</v>
      </c>
      <c r="J82" s="37">
        <f t="shared" si="82"/>
        <v>5.6359212897048649E-2</v>
      </c>
      <c r="K82" s="37">
        <f t="shared" si="82"/>
        <v>3.010742919867444E-2</v>
      </c>
      <c r="L82" s="37">
        <f t="shared" si="82"/>
        <v>4.411416715824238E-2</v>
      </c>
      <c r="M82" s="37">
        <f t="shared" si="82"/>
        <v>5.208197249702852E-2</v>
      </c>
    </row>
    <row r="83" spans="7:13" x14ac:dyDescent="0.3">
      <c r="G83" t="s">
        <v>227</v>
      </c>
      <c r="H83" s="37">
        <f t="shared" ref="H83:M83" si="83">AVERAGE(H16:H25)</f>
        <v>4.1002279830929411E-2</v>
      </c>
      <c r="I83" s="37">
        <f t="shared" si="83"/>
        <v>4.5622962798872527E-2</v>
      </c>
      <c r="J83" s="37">
        <f t="shared" si="83"/>
        <v>4.9038550927651858E-2</v>
      </c>
      <c r="K83" s="37">
        <f t="shared" si="83"/>
        <v>3.7342883692523372E-2</v>
      </c>
      <c r="L83" s="37">
        <f t="shared" si="83"/>
        <v>4.2950294125441789E-2</v>
      </c>
      <c r="M83" s="37">
        <f t="shared" si="83"/>
        <v>5.1444125085182466E-2</v>
      </c>
    </row>
    <row r="84" spans="7:13" x14ac:dyDescent="0.3">
      <c r="G84" t="s">
        <v>228</v>
      </c>
      <c r="H84" s="37">
        <f t="shared" ref="H84:M84" si="84">AVERAGE(H26:H35)</f>
        <v>3.3801232105445292E-2</v>
      </c>
      <c r="I84" s="37">
        <f t="shared" si="84"/>
        <v>2.9165321602278582E-2</v>
      </c>
      <c r="J84" s="37">
        <f t="shared" si="84"/>
        <v>3.8027741239073244E-2</v>
      </c>
      <c r="K84" s="37">
        <f t="shared" si="84"/>
        <v>3.3853517033921261E-2</v>
      </c>
      <c r="L84" s="37">
        <f t="shared" si="84"/>
        <v>3.2485039645120915E-2</v>
      </c>
      <c r="M84" s="37">
        <f t="shared" si="84"/>
        <v>2.8154366546534481E-2</v>
      </c>
    </row>
    <row r="85" spans="7:13" x14ac:dyDescent="0.3">
      <c r="G85" t="s">
        <v>222</v>
      </c>
      <c r="H85" s="37">
        <f t="shared" ref="H85:M85" si="85">AVERAGE(H36:H45)</f>
        <v>2.9480344167961338E-2</v>
      </c>
      <c r="I85" s="37">
        <f t="shared" si="85"/>
        <v>3.2253676471631666E-2</v>
      </c>
      <c r="J85" s="37">
        <f t="shared" si="85"/>
        <v>3.2077815888967097E-2</v>
      </c>
      <c r="K85" s="37">
        <f t="shared" si="85"/>
        <v>2.6847598149451098E-2</v>
      </c>
      <c r="L85" s="37">
        <f t="shared" si="85"/>
        <v>3.0932851996991455E-2</v>
      </c>
      <c r="M85" s="37">
        <f t="shared" si="85"/>
        <v>4.3701760932897224E-2</v>
      </c>
    </row>
    <row r="86" spans="7:13" x14ac:dyDescent="0.3">
      <c r="G86" t="s">
        <v>223</v>
      </c>
      <c r="H86" s="37">
        <f t="shared" ref="H86:M86" si="86">AVERAGE(H46:H55)</f>
        <v>2.6635604401711331E-2</v>
      </c>
      <c r="I86" s="37">
        <f t="shared" si="86"/>
        <v>2.7926062279760577E-2</v>
      </c>
      <c r="J86" s="37">
        <f t="shared" si="86"/>
        <v>4.8698359262384902E-2</v>
      </c>
      <c r="K86" s="37">
        <f t="shared" si="86"/>
        <v>2.9181848770408036E-2</v>
      </c>
      <c r="L86" s="37">
        <f t="shared" si="86"/>
        <v>2.8622286872034573E-2</v>
      </c>
      <c r="M86" s="37">
        <f t="shared" si="86"/>
        <v>3.7126622816843646E-2</v>
      </c>
    </row>
    <row r="87" spans="7:13" x14ac:dyDescent="0.3">
      <c r="G87" t="s">
        <v>224</v>
      </c>
      <c r="H87" s="37">
        <f t="shared" ref="H87:M87" si="87">AVERAGE(H56:H65)</f>
        <v>3.0361828832491011E-2</v>
      </c>
      <c r="I87" s="37">
        <f t="shared" si="87"/>
        <v>2.3330720661270798E-2</v>
      </c>
      <c r="J87" s="37">
        <f t="shared" si="87"/>
        <v>5.9347390927153246E-3</v>
      </c>
      <c r="K87" s="37">
        <f t="shared" si="87"/>
        <v>3.1670657010861136E-2</v>
      </c>
      <c r="L87" s="37">
        <f t="shared" si="87"/>
        <v>2.6777483639797983E-2</v>
      </c>
      <c r="M87" s="37">
        <f t="shared" si="87"/>
        <v>3.4812453312996913E-2</v>
      </c>
    </row>
    <row r="88" spans="7:13" x14ac:dyDescent="0.3">
      <c r="G88" s="58" t="s">
        <v>225</v>
      </c>
      <c r="H88" s="37">
        <f t="shared" ref="H88:M88" si="88">AVERAGE(H66:H79)</f>
        <v>3.1768729425892143E-2</v>
      </c>
      <c r="I88" s="37">
        <f t="shared" si="88"/>
        <v>1.5455466899636854E-2</v>
      </c>
      <c r="J88" s="37">
        <f t="shared" si="88"/>
        <v>3.797685517929749E-2</v>
      </c>
      <c r="K88" s="37">
        <f t="shared" si="88"/>
        <v>3.1433508368479433E-2</v>
      </c>
      <c r="L88" s="37">
        <f t="shared" si="88"/>
        <v>1.3716509799444035E-2</v>
      </c>
      <c r="M88" s="37">
        <f t="shared" si="88"/>
        <v>2.5086804222857528E-2</v>
      </c>
    </row>
  </sheetData>
  <mergeCells count="4">
    <mergeCell ref="B1:D1"/>
    <mergeCell ref="E1:G1"/>
    <mergeCell ref="H1:J1"/>
    <mergeCell ref="K1:M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AE804-BA4A-42DC-A526-1A65105B95E5}">
  <dimension ref="A1:BR80"/>
  <sheetViews>
    <sheetView zoomScale="69" zoomScaleNormal="85" workbookViewId="0">
      <selection activeCell="H1" sqref="H1"/>
    </sheetView>
  </sheetViews>
  <sheetFormatPr defaultRowHeight="14.4" x14ac:dyDescent="0.3"/>
  <cols>
    <col min="1" max="1" width="8.88671875" style="4"/>
    <col min="2" max="2" width="12.77734375" bestFit="1" customWidth="1"/>
    <col min="3" max="3" width="11.77734375" bestFit="1" customWidth="1"/>
    <col min="4" max="4" width="12.77734375" bestFit="1" customWidth="1"/>
    <col min="5" max="9" width="12" bestFit="1" customWidth="1"/>
    <col min="11" max="11" width="12.77734375" bestFit="1" customWidth="1"/>
    <col min="14" max="14" width="0" hidden="1" customWidth="1"/>
    <col min="15" max="15" width="18.77734375" hidden="1" customWidth="1"/>
    <col min="16" max="19" width="11" hidden="1" customWidth="1"/>
    <col min="20" max="24" width="0" hidden="1" customWidth="1"/>
    <col min="25" max="25" width="14" hidden="1" customWidth="1"/>
    <col min="26" max="31" width="0" hidden="1" customWidth="1"/>
    <col min="32" max="32" width="13.6640625" hidden="1" customWidth="1"/>
    <col min="33" max="36" width="0" hidden="1" customWidth="1"/>
    <col min="37" max="40" width="9.77734375" hidden="1" customWidth="1"/>
    <col min="41" max="67" width="0" hidden="1" customWidth="1"/>
  </cols>
  <sheetData>
    <row r="1" spans="1:70" x14ac:dyDescent="0.3">
      <c r="A1" s="4" t="s">
        <v>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  <c r="L1" s="1" t="s">
        <v>45</v>
      </c>
      <c r="M1" s="1" t="s">
        <v>46</v>
      </c>
      <c r="O1" s="1" t="s">
        <v>215</v>
      </c>
      <c r="P1" s="1" t="s">
        <v>216</v>
      </c>
      <c r="Q1" s="1"/>
      <c r="R1" s="1"/>
      <c r="S1" s="1"/>
      <c r="U1" t="s">
        <v>201</v>
      </c>
      <c r="V1" t="s">
        <v>202</v>
      </c>
      <c r="W1" t="s">
        <v>97</v>
      </c>
      <c r="Y1" t="s">
        <v>203</v>
      </c>
      <c r="Z1" t="s">
        <v>204</v>
      </c>
    </row>
    <row r="2" spans="1:70" x14ac:dyDescent="0.3">
      <c r="A2" s="5">
        <v>1947</v>
      </c>
      <c r="B2" s="3">
        <f>C2+D2</f>
        <v>206249</v>
      </c>
      <c r="C2" s="3">
        <v>109002</v>
      </c>
      <c r="D2" s="3">
        <v>97247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3">
        <v>43367</v>
      </c>
      <c r="L2" s="23">
        <v>1</v>
      </c>
      <c r="M2" s="23">
        <v>1</v>
      </c>
      <c r="O2" s="45">
        <f>H2/M2</f>
        <v>1</v>
      </c>
      <c r="P2" s="46">
        <f>J2/M2</f>
        <v>1</v>
      </c>
      <c r="Q2" s="46"/>
      <c r="R2" s="46"/>
      <c r="S2" s="46"/>
      <c r="U2">
        <v>1</v>
      </c>
      <c r="V2">
        <v>1</v>
      </c>
      <c r="W2">
        <v>1</v>
      </c>
      <c r="Y2">
        <f>U2/W2</f>
        <v>1</v>
      </c>
      <c r="Z2">
        <f>V2/W2</f>
        <v>1</v>
      </c>
      <c r="BQ2" s="55">
        <f>K2/$K$2</f>
        <v>1</v>
      </c>
      <c r="BR2" s="18">
        <f>BQ2/L2</f>
        <v>1</v>
      </c>
    </row>
    <row r="3" spans="1:70" x14ac:dyDescent="0.3">
      <c r="A3" s="5">
        <v>1948</v>
      </c>
      <c r="B3" s="3">
        <f t="shared" ref="B3:B66" si="0">C3+D3</f>
        <v>221299</v>
      </c>
      <c r="C3" s="3">
        <v>118787</v>
      </c>
      <c r="D3" s="3">
        <v>102512</v>
      </c>
      <c r="E3" s="2">
        <v>1.0218831196792899</v>
      </c>
      <c r="F3" s="2">
        <v>1.04998818513829</v>
      </c>
      <c r="G3" s="2">
        <v>0.97686170362012303</v>
      </c>
      <c r="H3" s="2">
        <v>1.1155816540107599</v>
      </c>
      <c r="I3" s="2">
        <v>1.0094287840074101</v>
      </c>
      <c r="J3" s="2">
        <v>1.04429406445037</v>
      </c>
      <c r="K3" s="3">
        <v>53170</v>
      </c>
      <c r="L3" s="23">
        <v>1.1316815144766099</v>
      </c>
      <c r="M3" s="23">
        <v>1.0833855989999901</v>
      </c>
      <c r="O3" s="45">
        <f t="shared" ref="O3:O66" si="1">H3/M3</f>
        <v>1.0297180016427099</v>
      </c>
      <c r="P3" s="46">
        <f t="shared" ref="P3:P66" si="2">J3/M3</f>
        <v>0.9639172473903076</v>
      </c>
      <c r="Q3" s="46"/>
      <c r="R3" s="46"/>
      <c r="S3" s="46"/>
      <c r="U3">
        <v>1.0496765938118493</v>
      </c>
      <c r="V3">
        <v>0.9807681255535371</v>
      </c>
      <c r="W3">
        <v>0.98601273843223736</v>
      </c>
      <c r="Y3">
        <f t="shared" ref="Y3:Y66" si="3">U3/W3</f>
        <v>1.0645669704844154</v>
      </c>
      <c r="Z3">
        <f>V3/W3</f>
        <v>0.99468098871923383</v>
      </c>
      <c r="BQ3" s="55">
        <f>C3/$C$2</f>
        <v>1.0897689950643108</v>
      </c>
      <c r="BR3" s="18">
        <f t="shared" ref="BR3:BR66" si="4">BQ3/L3</f>
        <v>0.96296438629053405</v>
      </c>
    </row>
    <row r="4" spans="1:70" x14ac:dyDescent="0.3">
      <c r="A4" s="5">
        <v>1949</v>
      </c>
      <c r="B4" s="3">
        <f t="shared" si="0"/>
        <v>219369</v>
      </c>
      <c r="C4" s="3">
        <v>110728</v>
      </c>
      <c r="D4" s="3">
        <v>108641</v>
      </c>
      <c r="E4" s="2">
        <v>1.01876325772315</v>
      </c>
      <c r="F4" s="2">
        <v>1.0440231541261999</v>
      </c>
      <c r="G4" s="2">
        <v>1.0068307077296199</v>
      </c>
      <c r="H4" s="2">
        <v>1.00894277860614</v>
      </c>
      <c r="I4" s="2">
        <v>1.0441633635041401</v>
      </c>
      <c r="J4" s="2">
        <v>1.0699145431998001</v>
      </c>
      <c r="K4" s="3">
        <v>53106</v>
      </c>
      <c r="L4" s="23">
        <v>1.11344654788418</v>
      </c>
      <c r="M4" s="23">
        <v>1.0998028430312601</v>
      </c>
      <c r="O4" s="45">
        <f t="shared" si="1"/>
        <v>0.91738513407121869</v>
      </c>
      <c r="P4" s="46">
        <f t="shared" si="2"/>
        <v>0.9728239474730922</v>
      </c>
      <c r="Q4" s="46"/>
      <c r="R4" s="46"/>
      <c r="S4" s="46"/>
      <c r="U4">
        <v>1.0521277490658589</v>
      </c>
      <c r="V4">
        <v>0.98032026682589823</v>
      </c>
      <c r="W4">
        <v>0.97328459573874482</v>
      </c>
      <c r="Y4">
        <f t="shared" si="3"/>
        <v>1.0810072959875321</v>
      </c>
      <c r="Z4">
        <f t="shared" ref="Z4:Z66" si="5">V4/W4</f>
        <v>1.0072287911654589</v>
      </c>
      <c r="BQ4" s="55">
        <f t="shared" ref="BQ3:BQ66" si="6">K4/$K$2</f>
        <v>1.2245716789263725</v>
      </c>
      <c r="BR4" s="18">
        <f t="shared" si="4"/>
        <v>1.0998028430312685</v>
      </c>
    </row>
    <row r="5" spans="1:70" x14ac:dyDescent="0.3">
      <c r="A5" s="5">
        <v>1950</v>
      </c>
      <c r="B5" s="3">
        <f t="shared" si="0"/>
        <v>237611</v>
      </c>
      <c r="C5" s="3">
        <v>123721</v>
      </c>
      <c r="D5" s="3">
        <v>113890</v>
      </c>
      <c r="E5" s="2">
        <v>1.0910355709606001</v>
      </c>
      <c r="F5" s="2">
        <v>1.05593158439299</v>
      </c>
      <c r="G5" s="2">
        <v>1.0529062170049801</v>
      </c>
      <c r="H5" s="2">
        <v>1.07800125141652</v>
      </c>
      <c r="I5" s="2">
        <v>1.0708011180204</v>
      </c>
      <c r="J5" s="2">
        <v>1.0937059240112099</v>
      </c>
      <c r="K5" s="3">
        <v>62216</v>
      </c>
      <c r="L5" s="23">
        <v>1.28382516703786</v>
      </c>
      <c r="M5" s="23">
        <v>1.11747243990388</v>
      </c>
      <c r="O5" s="45">
        <f t="shared" si="1"/>
        <v>0.96467815484491493</v>
      </c>
      <c r="P5" s="46">
        <f t="shared" si="2"/>
        <v>0.97873189973730856</v>
      </c>
      <c r="Q5" s="46"/>
      <c r="R5" s="46"/>
      <c r="S5" s="46"/>
      <c r="U5">
        <v>1.1089718866784188</v>
      </c>
      <c r="V5">
        <v>1.0118130304834019</v>
      </c>
      <c r="W5">
        <v>1.0146998714116864</v>
      </c>
      <c r="Y5">
        <f t="shared" si="3"/>
        <v>1.0929063045367078</v>
      </c>
      <c r="Z5">
        <f t="shared" si="5"/>
        <v>0.99715498049263751</v>
      </c>
      <c r="BQ5" s="55">
        <f t="shared" si="6"/>
        <v>1.4346392418198168</v>
      </c>
      <c r="BR5" s="18">
        <f t="shared" si="4"/>
        <v>1.1174724399038902</v>
      </c>
    </row>
    <row r="6" spans="1:70" x14ac:dyDescent="0.3">
      <c r="A6" s="5">
        <v>1951</v>
      </c>
      <c r="B6" s="3">
        <f t="shared" si="0"/>
        <v>274485</v>
      </c>
      <c r="C6" s="3">
        <v>137726</v>
      </c>
      <c r="D6" s="3">
        <v>136759</v>
      </c>
      <c r="E6" s="2">
        <v>1.1826698841065699</v>
      </c>
      <c r="F6" s="2">
        <v>1.1252827061750901</v>
      </c>
      <c r="G6" s="2">
        <v>1.0626643251722101</v>
      </c>
      <c r="H6" s="2">
        <v>1.1890096154122201</v>
      </c>
      <c r="I6" s="2">
        <v>1.22762349837319</v>
      </c>
      <c r="J6" s="2">
        <v>1.1455512173220701</v>
      </c>
      <c r="K6" s="3">
        <v>72430</v>
      </c>
      <c r="L6" s="23">
        <v>1.3697104677060099</v>
      </c>
      <c r="M6" s="23">
        <v>1.2193554688561801</v>
      </c>
      <c r="O6" s="45">
        <f t="shared" si="1"/>
        <v>0.97511320183569927</v>
      </c>
      <c r="P6" s="46">
        <f t="shared" si="2"/>
        <v>0.93947273504801498</v>
      </c>
      <c r="Q6" s="46"/>
      <c r="R6" s="46"/>
      <c r="S6" s="46"/>
      <c r="U6">
        <v>1.105953828457795</v>
      </c>
      <c r="V6">
        <v>1.0249990167554468</v>
      </c>
      <c r="W6">
        <v>1.0157501259471713</v>
      </c>
      <c r="Y6">
        <f t="shared" si="3"/>
        <v>1.0888050123808846</v>
      </c>
      <c r="Z6">
        <f t="shared" si="5"/>
        <v>1.0091054783770281</v>
      </c>
      <c r="BQ6" s="55">
        <f t="shared" si="6"/>
        <v>1.6701639495468905</v>
      </c>
      <c r="BR6" s="18">
        <f t="shared" si="4"/>
        <v>1.2193554688561883</v>
      </c>
    </row>
    <row r="7" spans="1:70" x14ac:dyDescent="0.3">
      <c r="A7" s="5">
        <v>1952</v>
      </c>
      <c r="B7" s="3">
        <f t="shared" si="0"/>
        <v>288961</v>
      </c>
      <c r="C7" s="3">
        <v>134910</v>
      </c>
      <c r="D7" s="3">
        <v>154051</v>
      </c>
      <c r="E7" s="2">
        <v>1.2256986478757299</v>
      </c>
      <c r="F7" s="2">
        <v>1.1430459074121</v>
      </c>
      <c r="G7" s="2">
        <v>1.0780865741230501</v>
      </c>
      <c r="H7" s="2">
        <v>1.14803740435431</v>
      </c>
      <c r="I7" s="2">
        <v>1.3408956442825299</v>
      </c>
      <c r="J7" s="2">
        <v>1.18139010568804</v>
      </c>
      <c r="K7" s="3">
        <v>78380</v>
      </c>
      <c r="L7" s="23">
        <v>1.4486358574610201</v>
      </c>
      <c r="M7" s="23">
        <v>1.24763241075875</v>
      </c>
      <c r="O7" s="45">
        <f t="shared" si="1"/>
        <v>0.92017279645382799</v>
      </c>
      <c r="P7" s="46">
        <f t="shared" si="2"/>
        <v>0.94690559134286634</v>
      </c>
      <c r="Q7" s="46"/>
      <c r="R7" s="46"/>
      <c r="S7" s="46"/>
      <c r="U7">
        <v>1.1238217488434394</v>
      </c>
      <c r="V7">
        <v>1.0258359694239509</v>
      </c>
      <c r="W7">
        <v>1.020643644789526</v>
      </c>
      <c r="Y7">
        <f t="shared" si="3"/>
        <v>1.1010912129621799</v>
      </c>
      <c r="Z7">
        <f t="shared" si="5"/>
        <v>1.0050873041349273</v>
      </c>
      <c r="BQ7" s="55">
        <f t="shared" si="6"/>
        <v>1.8073650471556713</v>
      </c>
      <c r="BR7" s="18">
        <f t="shared" si="4"/>
        <v>1.2476324107587569</v>
      </c>
    </row>
    <row r="8" spans="1:70" x14ac:dyDescent="0.3">
      <c r="A8" s="5">
        <v>1953</v>
      </c>
      <c r="B8" s="3">
        <f t="shared" si="0"/>
        <v>304086</v>
      </c>
      <c r="C8" s="3">
        <v>138220</v>
      </c>
      <c r="D8" s="3">
        <v>165866</v>
      </c>
      <c r="E8" s="2">
        <v>1.27091689406245</v>
      </c>
      <c r="F8" s="2">
        <v>1.16007861643316</v>
      </c>
      <c r="G8" s="2">
        <v>1.12024688543236</v>
      </c>
      <c r="H8" s="2">
        <v>1.1319380968697701</v>
      </c>
      <c r="I8" s="2">
        <v>1.3975040059889701</v>
      </c>
      <c r="J8" s="2">
        <v>1.2204727786732099</v>
      </c>
      <c r="K8" s="3">
        <v>85132</v>
      </c>
      <c r="L8" s="23">
        <v>1.5702951002227099</v>
      </c>
      <c r="M8" s="23">
        <v>1.2501213745767901</v>
      </c>
      <c r="O8" s="45">
        <f t="shared" si="1"/>
        <v>0.90546255738805426</v>
      </c>
      <c r="P8" s="46">
        <f t="shared" si="2"/>
        <v>0.97628342614842722</v>
      </c>
      <c r="Q8" s="46"/>
      <c r="R8" s="46"/>
      <c r="S8" s="46"/>
      <c r="U8">
        <v>1.1616130762327979</v>
      </c>
      <c r="V8">
        <v>1.0325297723107383</v>
      </c>
      <c r="W8">
        <v>1.0461721427672477</v>
      </c>
      <c r="Y8">
        <f t="shared" si="3"/>
        <v>1.1103460212199834</v>
      </c>
      <c r="Z8">
        <f t="shared" si="5"/>
        <v>0.98695972689501776</v>
      </c>
      <c r="BQ8" s="55">
        <f t="shared" si="6"/>
        <v>1.9630594691816359</v>
      </c>
      <c r="BR8" s="18">
        <f t="shared" si="4"/>
        <v>1.2501213745768049</v>
      </c>
    </row>
    <row r="9" spans="1:70" x14ac:dyDescent="0.3">
      <c r="A9" s="5">
        <v>1954</v>
      </c>
      <c r="B9" s="3">
        <f t="shared" si="0"/>
        <v>305146</v>
      </c>
      <c r="C9" s="3">
        <v>136405</v>
      </c>
      <c r="D9" s="3">
        <v>168741</v>
      </c>
      <c r="E9" s="2">
        <v>1.2617433762319099</v>
      </c>
      <c r="F9" s="2">
        <v>1.17258624756304</v>
      </c>
      <c r="G9" s="2">
        <v>1.14494247271352</v>
      </c>
      <c r="H9" s="2">
        <v>1.0929798542036799</v>
      </c>
      <c r="I9" s="2">
        <v>1.3831221664434299</v>
      </c>
      <c r="J9" s="2">
        <v>1.25453812649104</v>
      </c>
      <c r="K9" s="3">
        <v>85403</v>
      </c>
      <c r="L9" s="23">
        <v>1.56945991091314</v>
      </c>
      <c r="M9" s="23">
        <v>1.2547682464882099</v>
      </c>
      <c r="O9" s="45">
        <f t="shared" si="1"/>
        <v>0.87106113600074253</v>
      </c>
      <c r="P9" s="46">
        <f t="shared" si="2"/>
        <v>0.99981660358571078</v>
      </c>
      <c r="Q9" s="46"/>
      <c r="R9" s="46"/>
      <c r="S9" s="46"/>
      <c r="U9">
        <v>1.1480665919279096</v>
      </c>
      <c r="V9">
        <v>1.0300635729177305</v>
      </c>
      <c r="W9">
        <v>1.0445505297077573</v>
      </c>
      <c r="Y9">
        <f t="shared" si="3"/>
        <v>1.0991010576090694</v>
      </c>
      <c r="Z9">
        <f t="shared" si="5"/>
        <v>0.98613091815282516</v>
      </c>
      <c r="BQ9" s="55">
        <f t="shared" si="6"/>
        <v>1.9693084603500357</v>
      </c>
      <c r="BR9" s="18">
        <f t="shared" si="4"/>
        <v>1.2547682464882182</v>
      </c>
    </row>
    <row r="10" spans="1:70" x14ac:dyDescent="0.3">
      <c r="A10" s="5">
        <v>1955</v>
      </c>
      <c r="B10" s="3">
        <f t="shared" si="0"/>
        <v>332353</v>
      </c>
      <c r="C10" s="3">
        <v>155282</v>
      </c>
      <c r="D10" s="3">
        <v>177071</v>
      </c>
      <c r="E10" s="2">
        <v>1.35151057687253</v>
      </c>
      <c r="F10" s="2">
        <v>1.1923075744659599</v>
      </c>
      <c r="G10" s="2">
        <v>1.2497306327270401</v>
      </c>
      <c r="H10" s="2">
        <v>1.13990913578524</v>
      </c>
      <c r="I10" s="2">
        <v>1.41020125400243</v>
      </c>
      <c r="J10" s="2">
        <v>1.2911899316739099</v>
      </c>
      <c r="K10" s="3">
        <v>93125</v>
      </c>
      <c r="L10" s="23">
        <v>1.6826280623608001</v>
      </c>
      <c r="M10" s="23">
        <v>1.2762001111074801</v>
      </c>
      <c r="O10" s="45">
        <f t="shared" si="1"/>
        <v>0.89320563904044215</v>
      </c>
      <c r="P10" s="46">
        <f t="shared" si="2"/>
        <v>1.0117456662446314</v>
      </c>
      <c r="Q10" s="46"/>
      <c r="R10" s="46"/>
      <c r="S10" s="46"/>
      <c r="U10">
        <v>1.2033073664078522</v>
      </c>
      <c r="V10">
        <v>1.0560310613517379</v>
      </c>
      <c r="W10">
        <v>1.0781542273510138</v>
      </c>
      <c r="Y10">
        <f t="shared" si="3"/>
        <v>1.1160809241218996</v>
      </c>
      <c r="Z10">
        <f t="shared" si="5"/>
        <v>0.97948051824307936</v>
      </c>
      <c r="BQ10" s="55">
        <f t="shared" si="6"/>
        <v>2.1473701201374316</v>
      </c>
      <c r="BR10" s="18">
        <f t="shared" si="4"/>
        <v>1.2762001111074888</v>
      </c>
    </row>
    <row r="11" spans="1:70" x14ac:dyDescent="0.3">
      <c r="A11" s="5">
        <v>1956</v>
      </c>
      <c r="B11" s="3">
        <f t="shared" si="0"/>
        <v>348472</v>
      </c>
      <c r="C11" s="3">
        <v>160857</v>
      </c>
      <c r="D11" s="3">
        <v>187615</v>
      </c>
      <c r="E11" s="2">
        <v>1.3812879929306601</v>
      </c>
      <c r="F11" s="2">
        <v>1.22318402289744</v>
      </c>
      <c r="G11" s="2">
        <v>1.2804528588797199</v>
      </c>
      <c r="H11" s="2">
        <v>1.15250257423939</v>
      </c>
      <c r="I11" s="2">
        <v>1.44840152314366</v>
      </c>
      <c r="J11" s="2">
        <v>1.33199431824198</v>
      </c>
      <c r="K11" s="3">
        <v>100881</v>
      </c>
      <c r="L11" s="23">
        <v>1.7142260579064501</v>
      </c>
      <c r="M11" s="23">
        <v>1.3570064318342101</v>
      </c>
      <c r="O11" s="45">
        <f t="shared" si="1"/>
        <v>0.84929779786054471</v>
      </c>
      <c r="P11" s="46">
        <f t="shared" si="2"/>
        <v>0.98156816872384145</v>
      </c>
      <c r="Q11" s="46"/>
      <c r="R11" s="46"/>
      <c r="S11" s="46"/>
      <c r="U11">
        <v>1.1665095490682402</v>
      </c>
      <c r="V11">
        <v>1.0470042735392213</v>
      </c>
      <c r="W11">
        <v>1.0359145020775968</v>
      </c>
      <c r="Y11">
        <f t="shared" si="3"/>
        <v>1.1260673991229257</v>
      </c>
      <c r="Z11">
        <f t="shared" si="5"/>
        <v>1.010705296083203</v>
      </c>
      <c r="BQ11" s="55">
        <f t="shared" si="6"/>
        <v>2.3262157861968777</v>
      </c>
      <c r="BR11" s="18">
        <f t="shared" si="4"/>
        <v>1.3570064318342228</v>
      </c>
    </row>
    <row r="12" spans="1:70" x14ac:dyDescent="0.3">
      <c r="A12" s="5">
        <v>1957</v>
      </c>
      <c r="B12" s="3">
        <f t="shared" si="0"/>
        <v>368080</v>
      </c>
      <c r="C12" s="3">
        <v>166650</v>
      </c>
      <c r="D12" s="3">
        <v>201430</v>
      </c>
      <c r="E12" s="2">
        <v>1.41336934788445</v>
      </c>
      <c r="F12" s="2">
        <v>1.26269092754362</v>
      </c>
      <c r="G12" s="2">
        <v>1.31012121739712</v>
      </c>
      <c r="H12" s="2">
        <v>1.1669691396394799</v>
      </c>
      <c r="I12" s="2">
        <v>1.50096204149912</v>
      </c>
      <c r="J12" s="2">
        <v>1.37999728154622</v>
      </c>
      <c r="K12" s="3">
        <v>105957</v>
      </c>
      <c r="L12" s="23">
        <v>1.7374721603563399</v>
      </c>
      <c r="M12" s="23">
        <v>1.4062172428197399</v>
      </c>
      <c r="O12" s="45">
        <f t="shared" si="1"/>
        <v>0.82986405237037142</v>
      </c>
      <c r="P12" s="46">
        <f t="shared" si="2"/>
        <v>0.98135425987172242</v>
      </c>
      <c r="Q12" s="46"/>
      <c r="R12" s="46"/>
      <c r="S12" s="46"/>
      <c r="U12">
        <v>1.1579885768460338</v>
      </c>
      <c r="V12">
        <v>1.0514782693094447</v>
      </c>
      <c r="W12">
        <v>1.0348674429339175</v>
      </c>
      <c r="Y12">
        <f t="shared" si="3"/>
        <v>1.1189728546905098</v>
      </c>
      <c r="Z12">
        <f t="shared" si="5"/>
        <v>1.0160511633532836</v>
      </c>
      <c r="BQ12" s="55">
        <f t="shared" si="6"/>
        <v>2.4432633108123687</v>
      </c>
      <c r="BR12" s="18">
        <f t="shared" si="4"/>
        <v>1.406217242819751</v>
      </c>
    </row>
    <row r="13" spans="1:70" x14ac:dyDescent="0.3">
      <c r="A13" s="5">
        <v>1958</v>
      </c>
      <c r="B13" s="3">
        <f t="shared" si="0"/>
        <v>377294</v>
      </c>
      <c r="C13" s="3">
        <v>164665</v>
      </c>
      <c r="D13" s="3">
        <v>212629</v>
      </c>
      <c r="E13" s="2">
        <v>1.40908420336218</v>
      </c>
      <c r="F13" s="2">
        <v>1.29822838653379</v>
      </c>
      <c r="G13" s="2">
        <v>1.2713855480125</v>
      </c>
      <c r="H13" s="2">
        <v>1.1882000367374099</v>
      </c>
      <c r="I13" s="2">
        <v>1.5350515171312999</v>
      </c>
      <c r="J13" s="2">
        <v>1.4243716757487701</v>
      </c>
      <c r="K13" s="3">
        <v>103935</v>
      </c>
      <c r="L13" s="23">
        <v>1.69807906458797</v>
      </c>
      <c r="M13" s="23">
        <v>1.41138186472778</v>
      </c>
      <c r="O13" s="45">
        <f t="shared" si="1"/>
        <v>0.84186999027834597</v>
      </c>
      <c r="P13" s="46">
        <f t="shared" si="2"/>
        <v>1.0092036119675489</v>
      </c>
      <c r="Q13" s="46"/>
      <c r="R13" s="46"/>
      <c r="S13" s="46"/>
      <c r="U13">
        <v>1.1427304612643614</v>
      </c>
      <c r="V13">
        <v>1.0521501216592453</v>
      </c>
      <c r="W13">
        <v>1.0510914904543185</v>
      </c>
      <c r="Y13">
        <f t="shared" si="3"/>
        <v>1.0871845806404858</v>
      </c>
      <c r="Z13">
        <f t="shared" si="5"/>
        <v>1.0010071732237782</v>
      </c>
      <c r="BQ13" s="55">
        <f t="shared" si="6"/>
        <v>2.3966379966333848</v>
      </c>
      <c r="BR13" s="18">
        <f t="shared" si="4"/>
        <v>1.4113818647277867</v>
      </c>
    </row>
    <row r="14" spans="1:70" x14ac:dyDescent="0.3">
      <c r="A14" s="5">
        <v>1959</v>
      </c>
      <c r="B14" s="3">
        <f t="shared" si="0"/>
        <v>404038</v>
      </c>
      <c r="C14" s="3">
        <v>177672</v>
      </c>
      <c r="D14" s="3">
        <v>226366</v>
      </c>
      <c r="E14" s="2">
        <v>1.48682189082714</v>
      </c>
      <c r="F14" s="2">
        <v>1.3175663338689201</v>
      </c>
      <c r="G14" s="2">
        <v>1.33123435282764</v>
      </c>
      <c r="H14" s="2">
        <v>1.22441885391317</v>
      </c>
      <c r="I14" s="2">
        <v>1.60023047367912</v>
      </c>
      <c r="J14" s="2">
        <v>1.4546296901718001</v>
      </c>
      <c r="K14" s="3">
        <v>117615</v>
      </c>
      <c r="L14" s="23">
        <v>1.9032572383073401</v>
      </c>
      <c r="M14" s="23">
        <v>1.4249703989070599</v>
      </c>
      <c r="O14" s="45">
        <f t="shared" si="1"/>
        <v>0.85925915012149634</v>
      </c>
      <c r="P14" s="46">
        <f t="shared" si="2"/>
        <v>1.0208139700919321</v>
      </c>
      <c r="Q14" s="46"/>
      <c r="R14" s="46"/>
      <c r="S14" s="46"/>
      <c r="U14">
        <v>1.1769023074522671</v>
      </c>
      <c r="V14">
        <v>1.0819234638407291</v>
      </c>
      <c r="W14">
        <v>1.0892086414937645</v>
      </c>
      <c r="Y14">
        <f t="shared" si="3"/>
        <v>1.0805113571613219</v>
      </c>
      <c r="Z14">
        <f t="shared" si="5"/>
        <v>0.99331149480870407</v>
      </c>
      <c r="BQ14" s="55">
        <f t="shared" si="6"/>
        <v>2.7120852260935733</v>
      </c>
      <c r="BR14" s="18">
        <f t="shared" si="4"/>
        <v>1.4249703989070672</v>
      </c>
    </row>
    <row r="15" spans="1:70" x14ac:dyDescent="0.3">
      <c r="A15" s="5">
        <v>1960</v>
      </c>
      <c r="B15" s="3">
        <f t="shared" si="0"/>
        <v>423133</v>
      </c>
      <c r="C15" s="3">
        <v>185480</v>
      </c>
      <c r="D15" s="3">
        <v>237653</v>
      </c>
      <c r="E15" s="2">
        <v>1.5317090387612899</v>
      </c>
      <c r="F15" s="2">
        <v>1.33939846469655</v>
      </c>
      <c r="G15" s="2">
        <v>1.38593090238516</v>
      </c>
      <c r="H15" s="2">
        <v>1.2277813784440399</v>
      </c>
      <c r="I15" s="2">
        <v>1.6407971581421501</v>
      </c>
      <c r="J15" s="2">
        <v>1.48940289363761</v>
      </c>
      <c r="K15" s="3">
        <v>119248</v>
      </c>
      <c r="L15" s="23">
        <v>1.92302338530066</v>
      </c>
      <c r="M15" s="23">
        <v>1.4299049128464201</v>
      </c>
      <c r="O15" s="45">
        <f t="shared" si="1"/>
        <v>0.85864547174677108</v>
      </c>
      <c r="P15" s="46">
        <f t="shared" si="2"/>
        <v>1.041609746394081</v>
      </c>
      <c r="Q15" s="46"/>
      <c r="R15" s="46"/>
      <c r="S15" s="46"/>
      <c r="U15">
        <v>1.1896560684720932</v>
      </c>
      <c r="V15">
        <v>1.076551374420831</v>
      </c>
      <c r="W15">
        <v>1.1005693540559423</v>
      </c>
      <c r="Y15">
        <f t="shared" si="3"/>
        <v>1.0809460249713827</v>
      </c>
      <c r="Z15">
        <f t="shared" si="5"/>
        <v>0.97817676864561287</v>
      </c>
      <c r="BQ15" s="55">
        <f t="shared" si="6"/>
        <v>2.7497405861599833</v>
      </c>
      <c r="BR15" s="18">
        <f t="shared" si="4"/>
        <v>1.4299049128464281</v>
      </c>
    </row>
    <row r="16" spans="1:70" x14ac:dyDescent="0.3">
      <c r="A16" s="5">
        <v>1961</v>
      </c>
      <c r="B16" s="3">
        <f t="shared" si="0"/>
        <v>438703</v>
      </c>
      <c r="C16" s="3">
        <v>187676</v>
      </c>
      <c r="D16" s="3">
        <v>251027</v>
      </c>
      <c r="E16" s="2">
        <v>1.5667297836184</v>
      </c>
      <c r="F16" s="2">
        <v>1.3576369934442201</v>
      </c>
      <c r="G16" s="2">
        <v>1.3954520312313801</v>
      </c>
      <c r="H16" s="2">
        <v>1.23384146108631</v>
      </c>
      <c r="I16" s="2">
        <v>1.7008740900938999</v>
      </c>
      <c r="J16" s="2">
        <v>1.5176515084762801</v>
      </c>
      <c r="K16" s="3">
        <v>123507</v>
      </c>
      <c r="L16" s="23">
        <v>1.9910913140311799</v>
      </c>
      <c r="M16" s="23">
        <v>1.43034570095747</v>
      </c>
      <c r="O16" s="45">
        <f t="shared" si="1"/>
        <v>0.86261765967512571</v>
      </c>
      <c r="P16" s="46">
        <f t="shared" si="2"/>
        <v>1.0610382563182927</v>
      </c>
      <c r="Q16" s="46"/>
      <c r="R16" s="46"/>
      <c r="S16" s="46"/>
      <c r="U16">
        <v>1.1981175095513132</v>
      </c>
      <c r="V16">
        <v>1.0839698045541242</v>
      </c>
      <c r="W16">
        <v>1.1212255242581564</v>
      </c>
      <c r="Y16">
        <f t="shared" si="3"/>
        <v>1.0685785184421586</v>
      </c>
      <c r="Z16">
        <f t="shared" si="5"/>
        <v>0.96677232287529136</v>
      </c>
      <c r="BQ16" s="55">
        <f t="shared" si="6"/>
        <v>2.8479489012382686</v>
      </c>
      <c r="BR16" s="18">
        <f t="shared" si="4"/>
        <v>1.4303457009574754</v>
      </c>
    </row>
    <row r="17" spans="1:70" x14ac:dyDescent="0.3">
      <c r="A17" s="5">
        <v>1962</v>
      </c>
      <c r="B17" s="3">
        <f t="shared" si="0"/>
        <v>470449</v>
      </c>
      <c r="C17" s="3">
        <v>199910</v>
      </c>
      <c r="D17" s="3">
        <v>270539</v>
      </c>
      <c r="E17" s="2">
        <v>1.6566457238447401</v>
      </c>
      <c r="F17" s="2">
        <v>1.3768640300886299</v>
      </c>
      <c r="G17" s="2">
        <v>1.4552616911310501</v>
      </c>
      <c r="H17" s="2">
        <v>1.2602565277384901</v>
      </c>
      <c r="I17" s="2">
        <v>1.7967030139697699</v>
      </c>
      <c r="J17" s="2">
        <v>1.54837935295145</v>
      </c>
      <c r="K17" s="3">
        <v>133473</v>
      </c>
      <c r="L17" s="23">
        <v>2.1408685968819601</v>
      </c>
      <c r="M17" s="23">
        <v>1.4376197490418201</v>
      </c>
      <c r="O17" s="45">
        <f t="shared" si="1"/>
        <v>0.87662716693928044</v>
      </c>
      <c r="P17" s="46">
        <f t="shared" si="2"/>
        <v>1.07704374121422</v>
      </c>
      <c r="Q17" s="46"/>
      <c r="R17" s="46"/>
      <c r="S17" s="46"/>
      <c r="U17">
        <v>1.2499043050525778</v>
      </c>
      <c r="V17">
        <v>1.1059431522454937</v>
      </c>
      <c r="W17">
        <v>1.1577639361922438</v>
      </c>
      <c r="Y17">
        <f t="shared" si="3"/>
        <v>1.079584763335584</v>
      </c>
      <c r="Z17">
        <f t="shared" si="5"/>
        <v>0.95524063038516904</v>
      </c>
      <c r="BQ17" s="55">
        <f t="shared" si="6"/>
        <v>3.0777549749809765</v>
      </c>
      <c r="BR17" s="18">
        <f t="shared" si="4"/>
        <v>1.4376197490418292</v>
      </c>
    </row>
    <row r="18" spans="1:70" x14ac:dyDescent="0.3">
      <c r="A18" s="5">
        <v>1963</v>
      </c>
      <c r="B18" s="3">
        <f t="shared" si="0"/>
        <v>495349</v>
      </c>
      <c r="C18" s="3">
        <v>209407</v>
      </c>
      <c r="D18" s="3">
        <v>285942</v>
      </c>
      <c r="E18" s="2">
        <v>1.7197204755797399</v>
      </c>
      <c r="F18" s="2">
        <v>1.39656636060391</v>
      </c>
      <c r="G18" s="2">
        <v>1.51966074600245</v>
      </c>
      <c r="H18" s="2">
        <v>1.2641833992084299</v>
      </c>
      <c r="I18" s="2">
        <v>1.8615279171225501</v>
      </c>
      <c r="J18" s="2">
        <v>1.5795456588996899</v>
      </c>
      <c r="K18" s="3">
        <v>142101</v>
      </c>
      <c r="L18" s="23">
        <v>2.2761692650334</v>
      </c>
      <c r="M18" s="23">
        <v>1.43957136508018</v>
      </c>
      <c r="O18" s="45">
        <f t="shared" si="1"/>
        <v>0.87816653614669427</v>
      </c>
      <c r="P18" s="46">
        <f t="shared" si="2"/>
        <v>1.0972333134812762</v>
      </c>
      <c r="Q18" s="46"/>
      <c r="R18" s="46"/>
      <c r="S18" s="46"/>
      <c r="U18">
        <v>1.2836550842511147</v>
      </c>
      <c r="V18">
        <v>1.1213102622276263</v>
      </c>
      <c r="W18">
        <v>1.1879760592956032</v>
      </c>
      <c r="Y18">
        <f t="shared" si="3"/>
        <v>1.0805395228353702</v>
      </c>
      <c r="Z18">
        <f t="shared" si="5"/>
        <v>0.94388287832373852</v>
      </c>
      <c r="BQ18" s="55">
        <f t="shared" si="6"/>
        <v>3.2767080960177095</v>
      </c>
      <c r="BR18" s="18">
        <f t="shared" si="4"/>
        <v>1.4395713650801922</v>
      </c>
    </row>
    <row r="19" spans="1:70" x14ac:dyDescent="0.3">
      <c r="A19" s="5">
        <v>1964</v>
      </c>
      <c r="B19" s="3">
        <f t="shared" si="0"/>
        <v>530739</v>
      </c>
      <c r="C19" s="3">
        <v>224448</v>
      </c>
      <c r="D19" s="3">
        <v>306291</v>
      </c>
      <c r="E19" s="2">
        <v>1.8109896939689101</v>
      </c>
      <c r="F19" s="2">
        <v>1.42093159620915</v>
      </c>
      <c r="G19" s="2">
        <v>1.6231350631079799</v>
      </c>
      <c r="H19" s="2">
        <v>1.2686055696283001</v>
      </c>
      <c r="I19" s="2">
        <v>1.94751068890254</v>
      </c>
      <c r="J19" s="2">
        <v>1.61725377392318</v>
      </c>
      <c r="K19" s="3">
        <v>153721</v>
      </c>
      <c r="L19" s="23">
        <v>2.4434855233852999</v>
      </c>
      <c r="M19" s="23">
        <v>1.45065470413917</v>
      </c>
      <c r="O19" s="45">
        <f t="shared" si="1"/>
        <v>0.87450553602354375</v>
      </c>
      <c r="P19" s="46">
        <f t="shared" si="2"/>
        <v>1.1148440557967729</v>
      </c>
      <c r="Q19" s="46"/>
      <c r="R19" s="46"/>
      <c r="S19" s="46"/>
      <c r="U19">
        <v>1.3252590714562826</v>
      </c>
      <c r="V19">
        <v>1.1428183674997712</v>
      </c>
      <c r="W19">
        <v>1.2254989350043595</v>
      </c>
      <c r="Y19">
        <f t="shared" si="3"/>
        <v>1.0814036908580165</v>
      </c>
      <c r="Z19">
        <f t="shared" si="5"/>
        <v>0.93253313801999005</v>
      </c>
      <c r="BQ19" s="55">
        <f t="shared" si="6"/>
        <v>3.5446537689948578</v>
      </c>
      <c r="BR19" s="18">
        <f t="shared" si="4"/>
        <v>1.4506547041391744</v>
      </c>
    </row>
    <row r="20" spans="1:70" x14ac:dyDescent="0.3">
      <c r="A20" s="5">
        <v>1965</v>
      </c>
      <c r="B20" s="3">
        <f t="shared" si="0"/>
        <v>574028</v>
      </c>
      <c r="C20" s="3">
        <v>244649</v>
      </c>
      <c r="D20" s="3">
        <v>329379</v>
      </c>
      <c r="E20" s="2">
        <v>1.92178540026203</v>
      </c>
      <c r="F20" s="2">
        <v>1.4482259852897601</v>
      </c>
      <c r="G20" s="2">
        <v>1.7158431730904899</v>
      </c>
      <c r="H20" s="2">
        <v>1.3080712102676699</v>
      </c>
      <c r="I20" s="2">
        <v>2.04631883421139</v>
      </c>
      <c r="J20" s="2">
        <v>1.65518443118735</v>
      </c>
      <c r="K20" s="3">
        <v>168261</v>
      </c>
      <c r="L20" s="23">
        <v>2.63474387527839</v>
      </c>
      <c r="M20" s="23">
        <v>1.47260300393576</v>
      </c>
      <c r="O20" s="45">
        <f t="shared" si="1"/>
        <v>0.88827145318300083</v>
      </c>
      <c r="P20" s="46">
        <f t="shared" si="2"/>
        <v>1.1239855050978524</v>
      </c>
      <c r="Q20" s="46"/>
      <c r="R20" s="46"/>
      <c r="S20" s="46"/>
      <c r="U20">
        <v>1.3650116019389198</v>
      </c>
      <c r="V20">
        <v>1.1563808172411412</v>
      </c>
      <c r="W20">
        <v>1.2528440477023484</v>
      </c>
      <c r="Y20">
        <f t="shared" si="3"/>
        <v>1.0895303405418104</v>
      </c>
      <c r="Z20">
        <f t="shared" si="5"/>
        <v>0.92300459850680072</v>
      </c>
      <c r="BQ20" s="55">
        <f t="shared" si="6"/>
        <v>3.8799317453363158</v>
      </c>
      <c r="BR20" s="18">
        <f t="shared" si="4"/>
        <v>1.4726030039357649</v>
      </c>
    </row>
    <row r="21" spans="1:70" x14ac:dyDescent="0.3">
      <c r="A21" s="5">
        <v>1966</v>
      </c>
      <c r="B21" s="3">
        <f t="shared" si="0"/>
        <v>629295</v>
      </c>
      <c r="C21" s="3">
        <v>268010</v>
      </c>
      <c r="D21" s="3">
        <v>361285</v>
      </c>
      <c r="E21" s="2">
        <v>2.04586398576089</v>
      </c>
      <c r="F21" s="2">
        <v>1.49137092562317</v>
      </c>
      <c r="G21" s="2">
        <v>1.81168678910457</v>
      </c>
      <c r="H21" s="2">
        <v>1.3571673864010301</v>
      </c>
      <c r="I21" s="2">
        <v>2.1689678223455</v>
      </c>
      <c r="J21" s="2">
        <v>1.7128550366999999</v>
      </c>
      <c r="K21" s="3">
        <v>184119</v>
      </c>
      <c r="L21" s="23">
        <v>2.8209910913140299</v>
      </c>
      <c r="M21" s="23">
        <v>1.5050035100415999</v>
      </c>
      <c r="O21" s="45">
        <f t="shared" si="1"/>
        <v>0.90177024661126304</v>
      </c>
      <c r="P21" s="46">
        <f t="shared" si="2"/>
        <v>1.1381070045827699</v>
      </c>
      <c r="Q21" s="46"/>
      <c r="R21" s="46"/>
      <c r="S21" s="46"/>
      <c r="U21">
        <v>1.3752929216759</v>
      </c>
      <c r="V21">
        <v>1.1724882864347852</v>
      </c>
      <c r="W21">
        <v>1.2788867198532681</v>
      </c>
      <c r="Y21">
        <f t="shared" si="3"/>
        <v>1.0753829094680825</v>
      </c>
      <c r="Z21">
        <f t="shared" si="5"/>
        <v>0.9168038640430245</v>
      </c>
      <c r="BQ21" s="55">
        <f t="shared" si="6"/>
        <v>4.2456014942237186</v>
      </c>
      <c r="BR21" s="18">
        <f t="shared" si="4"/>
        <v>1.505003510041607</v>
      </c>
    </row>
    <row r="22" spans="1:70" x14ac:dyDescent="0.3">
      <c r="A22" s="5">
        <v>1967</v>
      </c>
      <c r="B22" s="3">
        <f t="shared" si="0"/>
        <v>669456</v>
      </c>
      <c r="C22" s="3">
        <v>273643</v>
      </c>
      <c r="D22" s="3">
        <v>395813</v>
      </c>
      <c r="E22" s="2">
        <v>2.1128650080503202</v>
      </c>
      <c r="F22" s="2">
        <v>1.53624005622035</v>
      </c>
      <c r="G22" s="2">
        <v>1.8377635309278</v>
      </c>
      <c r="H22" s="2">
        <v>1.36603003224371</v>
      </c>
      <c r="I22" s="2">
        <v>2.2936251972765498</v>
      </c>
      <c r="J22" s="2">
        <v>1.77456287035038</v>
      </c>
      <c r="K22" s="3">
        <v>190502</v>
      </c>
      <c r="L22" s="23">
        <v>2.84660356347438</v>
      </c>
      <c r="M22" s="23">
        <v>1.54316786456052</v>
      </c>
      <c r="O22" s="45">
        <f t="shared" si="1"/>
        <v>0.88521155968520815</v>
      </c>
      <c r="P22" s="46">
        <f t="shared" si="2"/>
        <v>1.1499480459021605</v>
      </c>
      <c r="Q22" s="46"/>
      <c r="R22" s="46"/>
      <c r="S22" s="46"/>
      <c r="U22">
        <v>1.3553275868776431</v>
      </c>
      <c r="V22">
        <v>1.1725166488870302</v>
      </c>
      <c r="W22">
        <v>1.2766196326960562</v>
      </c>
      <c r="Y22">
        <f t="shared" si="3"/>
        <v>1.0616534104331186</v>
      </c>
      <c r="Z22">
        <f t="shared" si="5"/>
        <v>0.91845418859086958</v>
      </c>
      <c r="BQ22" s="55">
        <f t="shared" si="6"/>
        <v>4.3927871422971387</v>
      </c>
      <c r="BR22" s="18">
        <f t="shared" si="4"/>
        <v>1.5431678645605247</v>
      </c>
    </row>
    <row r="23" spans="1:70" x14ac:dyDescent="0.3">
      <c r="A23" s="5">
        <v>1968</v>
      </c>
      <c r="B23" s="3">
        <f t="shared" si="0"/>
        <v>733536</v>
      </c>
      <c r="C23" s="3">
        <v>295445</v>
      </c>
      <c r="D23" s="3">
        <v>438091</v>
      </c>
      <c r="E23" s="2">
        <v>2.21830830370026</v>
      </c>
      <c r="F23" s="2">
        <v>1.6032715431314899</v>
      </c>
      <c r="G23" s="2">
        <v>1.92805868796957</v>
      </c>
      <c r="H23" s="2">
        <v>1.4057947877581101</v>
      </c>
      <c r="I23" s="2">
        <v>2.4166628320795298</v>
      </c>
      <c r="J23" s="2">
        <v>1.8641122309512801</v>
      </c>
      <c r="K23" s="3">
        <v>207116</v>
      </c>
      <c r="L23" s="23">
        <v>2.9788418708240498</v>
      </c>
      <c r="M23" s="23">
        <v>1.6032705690122699</v>
      </c>
      <c r="O23" s="45">
        <f t="shared" si="1"/>
        <v>0.87682941041210583</v>
      </c>
      <c r="P23" s="46">
        <f t="shared" si="2"/>
        <v>1.1626934760610665</v>
      </c>
      <c r="Q23" s="46"/>
      <c r="R23" s="46"/>
      <c r="S23" s="46"/>
      <c r="U23">
        <v>1.3942867669369485</v>
      </c>
      <c r="V23">
        <v>1.181318390935552</v>
      </c>
      <c r="W23">
        <v>1.2988369825774004</v>
      </c>
      <c r="Y23">
        <f t="shared" si="3"/>
        <v>1.0734886561130546</v>
      </c>
      <c r="Z23">
        <f t="shared" si="5"/>
        <v>0.90952013746278959</v>
      </c>
      <c r="BQ23" s="55">
        <f t="shared" si="6"/>
        <v>4.7758895012336566</v>
      </c>
      <c r="BR23" s="18">
        <f t="shared" si="4"/>
        <v>1.6032705690122724</v>
      </c>
    </row>
    <row r="24" spans="1:70" x14ac:dyDescent="0.3">
      <c r="A24" s="5">
        <v>1969</v>
      </c>
      <c r="B24" s="3">
        <f t="shared" si="0"/>
        <v>793679</v>
      </c>
      <c r="C24" s="3">
        <v>315782</v>
      </c>
      <c r="D24" s="3">
        <v>477897</v>
      </c>
      <c r="E24" s="2">
        <v>2.2895646119404902</v>
      </c>
      <c r="F24" s="2">
        <v>1.6807405618701301</v>
      </c>
      <c r="G24" s="2">
        <v>1.98659638623752</v>
      </c>
      <c r="H24" s="2">
        <v>1.4582878698330499</v>
      </c>
      <c r="I24" s="2">
        <v>2.4985053227345499</v>
      </c>
      <c r="J24" s="2">
        <v>1.96687976652747</v>
      </c>
      <c r="K24" s="3">
        <v>223935</v>
      </c>
      <c r="L24" s="23">
        <v>3.0627783964365198</v>
      </c>
      <c r="M24" s="23">
        <v>1.6859590503897799</v>
      </c>
      <c r="O24" s="45">
        <f t="shared" si="1"/>
        <v>0.86496043275541346</v>
      </c>
      <c r="P24" s="46">
        <f t="shared" si="2"/>
        <v>1.1666236887976273</v>
      </c>
      <c r="Q24" s="46"/>
      <c r="R24" s="46"/>
      <c r="S24" s="46"/>
      <c r="U24">
        <v>1.386381988264245</v>
      </c>
      <c r="V24">
        <v>1.1753222717133358</v>
      </c>
      <c r="W24">
        <v>1.2887011352748188</v>
      </c>
      <c r="Y24">
        <f t="shared" si="3"/>
        <v>1.0757979102490629</v>
      </c>
      <c r="Z24">
        <f t="shared" si="5"/>
        <v>0.91202082433387111</v>
      </c>
      <c r="BQ24" s="55">
        <f t="shared" si="6"/>
        <v>5.1637189568104782</v>
      </c>
      <c r="BR24" s="18">
        <f t="shared" si="4"/>
        <v>1.6859590503897899</v>
      </c>
    </row>
    <row r="25" spans="1:70" x14ac:dyDescent="0.3">
      <c r="A25" s="5">
        <v>1970</v>
      </c>
      <c r="B25" s="3">
        <f t="shared" si="0"/>
        <v>845459</v>
      </c>
      <c r="C25" s="3">
        <v>324977</v>
      </c>
      <c r="D25" s="3">
        <v>520482</v>
      </c>
      <c r="E25" s="2">
        <v>2.3159056393561399</v>
      </c>
      <c r="F25" s="2">
        <v>1.77002679074469</v>
      </c>
      <c r="G25" s="2">
        <v>2.0209791687513698</v>
      </c>
      <c r="H25" s="2">
        <v>1.4752184034090701</v>
      </c>
      <c r="I25" s="2">
        <v>2.55576526010675</v>
      </c>
      <c r="J25" s="2">
        <v>2.0941536333140101</v>
      </c>
      <c r="K25" s="3">
        <v>227844</v>
      </c>
      <c r="L25" s="23">
        <v>2.9635300668151401</v>
      </c>
      <c r="M25" s="23">
        <v>1.7728372922278</v>
      </c>
      <c r="O25" s="45">
        <f t="shared" si="1"/>
        <v>0.83212284053166929</v>
      </c>
      <c r="P25" s="46">
        <f t="shared" si="2"/>
        <v>1.1812441234708202</v>
      </c>
      <c r="Q25" s="46"/>
      <c r="R25" s="46"/>
      <c r="S25" s="46"/>
      <c r="U25">
        <v>1.3675255367757002</v>
      </c>
      <c r="V25">
        <v>1.1754408074838429</v>
      </c>
      <c r="W25">
        <v>1.2842987417028178</v>
      </c>
      <c r="Y25">
        <f t="shared" si="3"/>
        <v>1.0648032987734102</v>
      </c>
      <c r="Z25">
        <f t="shared" si="5"/>
        <v>0.91523939821459066</v>
      </c>
      <c r="BQ25" s="55">
        <f t="shared" si="6"/>
        <v>5.2538566190882472</v>
      </c>
      <c r="BR25" s="18">
        <f t="shared" si="4"/>
        <v>1.7728372922278077</v>
      </c>
    </row>
    <row r="26" spans="1:70" x14ac:dyDescent="0.3">
      <c r="A26" s="5">
        <v>1971</v>
      </c>
      <c r="B26" s="3">
        <f t="shared" si="0"/>
        <v>917774</v>
      </c>
      <c r="C26" s="3">
        <v>350018</v>
      </c>
      <c r="D26" s="3">
        <v>567756</v>
      </c>
      <c r="E26" s="2">
        <v>2.3947128294381299</v>
      </c>
      <c r="F26" s="2">
        <v>1.85818942675734</v>
      </c>
      <c r="G26" s="2">
        <v>2.0826501010238201</v>
      </c>
      <c r="H26" s="2">
        <v>1.5418410374356899</v>
      </c>
      <c r="I26" s="2">
        <v>2.6195010572237099</v>
      </c>
      <c r="J26" s="2">
        <v>2.2287786654955002</v>
      </c>
      <c r="K26" s="3">
        <v>247077</v>
      </c>
      <c r="L26" s="23">
        <v>3.04871937639198</v>
      </c>
      <c r="M26" s="23">
        <v>1.86876842916358</v>
      </c>
      <c r="O26" s="45">
        <f t="shared" si="1"/>
        <v>0.82505730157576795</v>
      </c>
      <c r="P26" s="46">
        <f t="shared" si="2"/>
        <v>1.1926457182782422</v>
      </c>
      <c r="Q26" s="46"/>
      <c r="R26" s="46"/>
      <c r="S26" s="46"/>
      <c r="U26">
        <v>1.4014897514838451</v>
      </c>
      <c r="V26">
        <v>1.1834118869581645</v>
      </c>
      <c r="W26">
        <v>1.2987336303404251</v>
      </c>
      <c r="Y26">
        <f t="shared" si="3"/>
        <v>1.0791202435533185</v>
      </c>
      <c r="Z26">
        <f t="shared" si="5"/>
        <v>0.91120446819257894</v>
      </c>
      <c r="BQ26" s="55">
        <f t="shared" si="6"/>
        <v>5.6973505199806302</v>
      </c>
      <c r="BR26" s="18">
        <f t="shared" si="4"/>
        <v>1.8687684291635867</v>
      </c>
    </row>
    <row r="27" spans="1:70" x14ac:dyDescent="0.3">
      <c r="A27" s="5">
        <v>1972</v>
      </c>
      <c r="B27" s="3">
        <f t="shared" si="0"/>
        <v>999385</v>
      </c>
      <c r="C27" s="3">
        <v>378574</v>
      </c>
      <c r="D27" s="3">
        <v>620811</v>
      </c>
      <c r="E27" s="2">
        <v>2.5040661575672898</v>
      </c>
      <c r="F27" s="2">
        <v>1.9350652368469199</v>
      </c>
      <c r="G27" s="2">
        <v>2.2105095556572598</v>
      </c>
      <c r="H27" s="2">
        <v>1.57117268638407</v>
      </c>
      <c r="I27" s="2">
        <v>2.7134557062096198</v>
      </c>
      <c r="J27" s="2">
        <v>2.3526669645320202</v>
      </c>
      <c r="K27" s="3">
        <v>279724</v>
      </c>
      <c r="L27" s="23">
        <v>3.2868875278396401</v>
      </c>
      <c r="M27" s="23">
        <v>1.9623908331430699</v>
      </c>
      <c r="O27" s="45">
        <f t="shared" si="1"/>
        <v>0.8006420840580446</v>
      </c>
      <c r="P27" s="46">
        <f t="shared" si="2"/>
        <v>1.1988778814074783</v>
      </c>
      <c r="Q27" s="46"/>
      <c r="R27" s="46"/>
      <c r="S27" s="46"/>
      <c r="U27">
        <v>1.4454911771826973</v>
      </c>
      <c r="V27">
        <v>1.2035106756992351</v>
      </c>
      <c r="W27">
        <v>1.3174240380486943</v>
      </c>
      <c r="Y27">
        <f t="shared" si="3"/>
        <v>1.0972102644518995</v>
      </c>
      <c r="Z27">
        <f t="shared" si="5"/>
        <v>0.91353325955841647</v>
      </c>
      <c r="BQ27" s="55">
        <f t="shared" si="6"/>
        <v>6.4501579542048102</v>
      </c>
      <c r="BR27" s="18">
        <f t="shared" si="4"/>
        <v>1.9623908331430739</v>
      </c>
    </row>
    <row r="28" spans="1:70" x14ac:dyDescent="0.3">
      <c r="A28" s="5">
        <v>1973</v>
      </c>
      <c r="B28" s="3">
        <f t="shared" si="0"/>
        <v>1108687</v>
      </c>
      <c r="C28" s="3">
        <v>436441</v>
      </c>
      <c r="D28" s="3">
        <v>672246</v>
      </c>
      <c r="E28" s="2">
        <v>2.6354636564831799</v>
      </c>
      <c r="F28" s="2">
        <v>2.0396726091901898</v>
      </c>
      <c r="G28" s="2">
        <v>2.3818794530729801</v>
      </c>
      <c r="H28" s="2">
        <v>1.6810138728936601</v>
      </c>
      <c r="I28" s="2">
        <v>2.7903441992943399</v>
      </c>
      <c r="J28" s="2">
        <v>2.4773891762273998</v>
      </c>
      <c r="K28" s="3">
        <v>316688</v>
      </c>
      <c r="L28" s="23">
        <v>3.5192093541202598</v>
      </c>
      <c r="M28" s="23">
        <v>2.0750431108685299</v>
      </c>
      <c r="O28" s="45">
        <f t="shared" si="1"/>
        <v>0.81011033654623932</v>
      </c>
      <c r="P28" s="46">
        <f t="shared" si="2"/>
        <v>1.1938976897643654</v>
      </c>
      <c r="Q28" s="46"/>
      <c r="R28" s="46"/>
      <c r="S28" s="46"/>
      <c r="U28">
        <v>1.4605444538200629</v>
      </c>
      <c r="V28">
        <v>1.2143911093771234</v>
      </c>
      <c r="W28">
        <v>1.3312338245423465</v>
      </c>
      <c r="Y28">
        <f t="shared" si="3"/>
        <v>1.0971359252550326</v>
      </c>
      <c r="Z28">
        <f t="shared" si="5"/>
        <v>0.91222975782981508</v>
      </c>
      <c r="BQ28" s="55">
        <f t="shared" si="6"/>
        <v>7.3025111259713604</v>
      </c>
      <c r="BR28" s="18">
        <f t="shared" si="4"/>
        <v>2.0750431108685374</v>
      </c>
    </row>
    <row r="29" spans="1:70" x14ac:dyDescent="0.3">
      <c r="A29" s="5">
        <v>1974</v>
      </c>
      <c r="B29" s="3">
        <f t="shared" si="0"/>
        <v>1208541</v>
      </c>
      <c r="C29" s="3">
        <v>464502</v>
      </c>
      <c r="D29" s="3">
        <v>744039</v>
      </c>
      <c r="E29" s="2">
        <v>2.6466765648600798</v>
      </c>
      <c r="F29" s="2">
        <v>2.2139543665271302</v>
      </c>
      <c r="G29" s="2">
        <v>2.3473314776399001</v>
      </c>
      <c r="H29" s="2">
        <v>1.8154266187591599</v>
      </c>
      <c r="I29" s="2">
        <v>2.85087390047152</v>
      </c>
      <c r="J29" s="2">
        <v>2.6837464303102498</v>
      </c>
      <c r="K29" s="3">
        <v>336702</v>
      </c>
      <c r="L29" s="23">
        <v>3.3819599109131402</v>
      </c>
      <c r="M29" s="23">
        <v>2.2957144131305101</v>
      </c>
      <c r="O29" s="45">
        <f t="shared" si="1"/>
        <v>0.79078939800860759</v>
      </c>
      <c r="P29" s="46">
        <f t="shared" si="2"/>
        <v>1.1690245158371448</v>
      </c>
      <c r="Q29" s="46"/>
      <c r="R29" s="46"/>
      <c r="S29" s="46"/>
      <c r="U29">
        <v>1.3623107603809068</v>
      </c>
      <c r="V29">
        <v>1.2115946006270102</v>
      </c>
      <c r="W29">
        <v>1.2820162593951665</v>
      </c>
      <c r="Y29">
        <f t="shared" si="3"/>
        <v>1.0626314217134982</v>
      </c>
      <c r="Z29">
        <f t="shared" si="5"/>
        <v>0.94506960559035336</v>
      </c>
      <c r="BQ29" s="55">
        <f t="shared" si="6"/>
        <v>7.7640141121128972</v>
      </c>
      <c r="BR29" s="18">
        <f t="shared" si="4"/>
        <v>2.2957144131305176</v>
      </c>
    </row>
    <row r="30" spans="1:70" x14ac:dyDescent="0.3">
      <c r="A30" s="5">
        <v>1975</v>
      </c>
      <c r="B30" s="3">
        <f t="shared" si="0"/>
        <v>1336992</v>
      </c>
      <c r="C30" s="3">
        <v>498568</v>
      </c>
      <c r="D30" s="3">
        <v>838424</v>
      </c>
      <c r="E30" s="2">
        <v>2.6943440493317299</v>
      </c>
      <c r="F30" s="2">
        <v>2.4059350868918501</v>
      </c>
      <c r="G30" s="2">
        <v>2.4204028092843299</v>
      </c>
      <c r="H30" s="2">
        <v>1.8897409991744301</v>
      </c>
      <c r="I30" s="2">
        <v>2.9536463583685499</v>
      </c>
      <c r="J30" s="2">
        <v>2.9189657101101698</v>
      </c>
      <c r="K30" s="3">
        <v>347912</v>
      </c>
      <c r="L30" s="23">
        <v>3.13488307349665</v>
      </c>
      <c r="M30" s="23">
        <v>2.5591083953447402</v>
      </c>
      <c r="O30" s="45">
        <f t="shared" si="1"/>
        <v>0.73843726299833468</v>
      </c>
      <c r="P30" s="46">
        <f t="shared" si="2"/>
        <v>1.1406182385318433</v>
      </c>
      <c r="Q30" s="46"/>
      <c r="R30" s="46"/>
      <c r="S30" s="46"/>
      <c r="U30">
        <v>1.334175159539716</v>
      </c>
      <c r="V30">
        <v>1.215385021448911</v>
      </c>
      <c r="W30">
        <v>1.2552172680792419</v>
      </c>
      <c r="Y30">
        <f t="shared" si="3"/>
        <v>1.0629037645261978</v>
      </c>
      <c r="Z30">
        <f t="shared" si="5"/>
        <v>0.96826665180341009</v>
      </c>
      <c r="BQ30" s="55">
        <f t="shared" si="6"/>
        <v>8.0225055918094412</v>
      </c>
      <c r="BR30" s="18">
        <f t="shared" si="4"/>
        <v>2.5591083953447535</v>
      </c>
    </row>
    <row r="31" spans="1:70" x14ac:dyDescent="0.3">
      <c r="A31" s="5">
        <v>1976</v>
      </c>
      <c r="B31" s="3">
        <f t="shared" si="0"/>
        <v>1477659</v>
      </c>
      <c r="C31" s="3">
        <v>560273</v>
      </c>
      <c r="D31" s="3">
        <v>917386</v>
      </c>
      <c r="E31" s="2">
        <v>2.8209855878968102</v>
      </c>
      <c r="F31" s="2">
        <v>2.53969293272741</v>
      </c>
      <c r="G31" s="2">
        <v>2.5062652872306299</v>
      </c>
      <c r="H31" s="2">
        <v>2.0508702649551398</v>
      </c>
      <c r="I31" s="2">
        <v>3.0305457941927401</v>
      </c>
      <c r="J31" s="2">
        <v>3.1128274293345699</v>
      </c>
      <c r="K31" s="3">
        <v>395754</v>
      </c>
      <c r="L31" s="23">
        <v>3.3866926503340702</v>
      </c>
      <c r="M31" s="23">
        <v>2.6945742040441298</v>
      </c>
      <c r="O31" s="45">
        <f t="shared" si="1"/>
        <v>0.76111107345906737</v>
      </c>
      <c r="P31" s="46">
        <f t="shared" si="2"/>
        <v>1.155220525997283</v>
      </c>
      <c r="Q31" s="46"/>
      <c r="R31" s="46"/>
      <c r="S31" s="46"/>
      <c r="U31">
        <v>1.3798026704703565</v>
      </c>
      <c r="V31">
        <v>1.2351858535284104</v>
      </c>
      <c r="W31">
        <v>1.2886050135412737</v>
      </c>
      <c r="Y31">
        <f t="shared" si="3"/>
        <v>1.0707723902753246</v>
      </c>
      <c r="Z31">
        <f t="shared" si="5"/>
        <v>0.95854496959773605</v>
      </c>
      <c r="BQ31" s="55">
        <f t="shared" si="6"/>
        <v>9.1256946526160441</v>
      </c>
      <c r="BR31" s="18">
        <f t="shared" si="4"/>
        <v>2.6945742040441334</v>
      </c>
    </row>
    <row r="32" spans="1:70" x14ac:dyDescent="0.3">
      <c r="A32" s="5">
        <v>1977</v>
      </c>
      <c r="B32" s="3">
        <f t="shared" si="0"/>
        <v>1614374</v>
      </c>
      <c r="C32" s="3">
        <v>598489</v>
      </c>
      <c r="D32" s="3">
        <v>1015885</v>
      </c>
      <c r="E32" s="2">
        <v>2.9080792520532999</v>
      </c>
      <c r="F32" s="2">
        <v>2.6915723922705901</v>
      </c>
      <c r="G32" s="2">
        <v>2.5549982856947802</v>
      </c>
      <c r="H32" s="2">
        <v>2.1489736631091998</v>
      </c>
      <c r="I32" s="2">
        <v>3.1309558720653299</v>
      </c>
      <c r="J32" s="2">
        <v>3.3365019930067499</v>
      </c>
      <c r="K32" s="3">
        <v>467452</v>
      </c>
      <c r="L32" s="23">
        <v>3.73663697104677</v>
      </c>
      <c r="M32" s="23">
        <v>2.8846739706924902</v>
      </c>
      <c r="O32" s="45">
        <f t="shared" si="1"/>
        <v>0.74496240647719392</v>
      </c>
      <c r="P32" s="46">
        <f t="shared" si="2"/>
        <v>1.156630533261197</v>
      </c>
      <c r="Q32" s="46"/>
      <c r="R32" s="46"/>
      <c r="S32" s="46"/>
      <c r="U32">
        <v>1.3874692376239497</v>
      </c>
      <c r="V32">
        <v>1.2435773805758583</v>
      </c>
      <c r="W32">
        <v>1.2917105208393211</v>
      </c>
      <c r="Y32">
        <f t="shared" si="3"/>
        <v>1.0741332637922674</v>
      </c>
      <c r="Z32">
        <f t="shared" si="5"/>
        <v>0.96273689848698674</v>
      </c>
      <c r="BQ32" s="55">
        <f t="shared" si="6"/>
        <v>10.778979408305855</v>
      </c>
      <c r="BR32" s="18">
        <f t="shared" si="4"/>
        <v>2.8846739706924924</v>
      </c>
    </row>
    <row r="33" spans="1:70" x14ac:dyDescent="0.3">
      <c r="A33" s="5">
        <v>1978</v>
      </c>
      <c r="B33" s="3">
        <f t="shared" si="0"/>
        <v>1793448</v>
      </c>
      <c r="C33" s="3">
        <v>661856</v>
      </c>
      <c r="D33" s="3">
        <v>1131592</v>
      </c>
      <c r="E33" s="2">
        <v>3.02570277645194</v>
      </c>
      <c r="F33" s="2">
        <v>2.8738903191133298</v>
      </c>
      <c r="G33" s="2">
        <v>2.6633315266584501</v>
      </c>
      <c r="H33" s="2">
        <v>2.2798370843329101</v>
      </c>
      <c r="I33" s="2">
        <v>3.2491382222603198</v>
      </c>
      <c r="J33" s="2">
        <v>3.5813393024237299</v>
      </c>
      <c r="K33" s="3">
        <v>558153</v>
      </c>
      <c r="L33" s="23">
        <v>4.1347438752783896</v>
      </c>
      <c r="M33" s="23">
        <v>3.1127573753721598</v>
      </c>
      <c r="O33" s="45">
        <f t="shared" si="1"/>
        <v>0.73241721387306447</v>
      </c>
      <c r="P33" s="46">
        <f t="shared" si="2"/>
        <v>1.1505359623461004</v>
      </c>
      <c r="Q33" s="46"/>
      <c r="R33" s="46"/>
      <c r="S33" s="46"/>
      <c r="U33">
        <v>1.3735294600300088</v>
      </c>
      <c r="V33">
        <v>1.2552034441076565</v>
      </c>
      <c r="W33">
        <v>1.2903441692860464</v>
      </c>
      <c r="Y33">
        <f t="shared" si="3"/>
        <v>1.0644675217077852</v>
      </c>
      <c r="Z33">
        <f t="shared" si="5"/>
        <v>0.97276639363757234</v>
      </c>
      <c r="AC33" t="s">
        <v>205</v>
      </c>
      <c r="AF33" t="s">
        <v>205</v>
      </c>
      <c r="AH33" s="32" t="s">
        <v>208</v>
      </c>
      <c r="AI33" s="32" t="s">
        <v>209</v>
      </c>
      <c r="AJ33" s="32" t="s">
        <v>210</v>
      </c>
      <c r="BQ33" s="55">
        <f t="shared" si="6"/>
        <v>12.87045449304771</v>
      </c>
      <c r="BR33" s="18">
        <f t="shared" si="4"/>
        <v>3.1127573753721687</v>
      </c>
    </row>
    <row r="34" spans="1:70" x14ac:dyDescent="0.3">
      <c r="A34" s="5">
        <v>1979</v>
      </c>
      <c r="B34" s="3">
        <f t="shared" si="0"/>
        <v>1985564</v>
      </c>
      <c r="C34" s="3">
        <v>730401</v>
      </c>
      <c r="D34" s="3">
        <v>1255163</v>
      </c>
      <c r="E34" s="2">
        <v>3.0976212741968001</v>
      </c>
      <c r="F34" s="2">
        <v>3.1078762682734502</v>
      </c>
      <c r="G34" s="2">
        <v>2.7627466540380801</v>
      </c>
      <c r="H34" s="2">
        <v>2.4254137255708099</v>
      </c>
      <c r="I34" s="2">
        <v>3.33016386907634</v>
      </c>
      <c r="J34" s="2">
        <v>3.8757728078396001</v>
      </c>
      <c r="K34" s="3">
        <v>641769</v>
      </c>
      <c r="L34" s="23">
        <v>4.3704064587973201</v>
      </c>
      <c r="M34" s="23">
        <v>3.3860824263406002</v>
      </c>
      <c r="O34" s="45">
        <f t="shared" si="1"/>
        <v>0.71628903853707948</v>
      </c>
      <c r="P34" s="46">
        <f t="shared" si="2"/>
        <v>1.1446185650088314</v>
      </c>
      <c r="Q34" s="46"/>
      <c r="R34" s="46" t="s">
        <v>217</v>
      </c>
      <c r="S34" s="46" t="s">
        <v>218</v>
      </c>
      <c r="U34">
        <v>1.3321290012172116</v>
      </c>
      <c r="V34">
        <v>1.2574343011826239</v>
      </c>
      <c r="W34">
        <v>1.2739707988824231</v>
      </c>
      <c r="Y34">
        <f t="shared" si="3"/>
        <v>1.0456511266865827</v>
      </c>
      <c r="Z34">
        <f t="shared" si="5"/>
        <v>0.98701971998549287</v>
      </c>
      <c r="AC34" t="s">
        <v>206</v>
      </c>
      <c r="AF34" t="s">
        <v>207</v>
      </c>
      <c r="AH34" s="32">
        <v>1.09E-2</v>
      </c>
      <c r="AI34" s="32">
        <v>4.0000000000000002E-4</v>
      </c>
      <c r="AJ34" s="32">
        <v>1.2200000000000001E-2</v>
      </c>
      <c r="AK34" t="s">
        <v>211</v>
      </c>
      <c r="AL34" t="s">
        <v>212</v>
      </c>
      <c r="AM34" t="s">
        <v>213</v>
      </c>
      <c r="AN34" t="s">
        <v>214</v>
      </c>
      <c r="BQ34" s="55">
        <f t="shared" si="6"/>
        <v>14.798556506099107</v>
      </c>
      <c r="BR34" s="18">
        <f t="shared" si="4"/>
        <v>3.3860824263406109</v>
      </c>
    </row>
    <row r="35" spans="1:70" s="17" customFormat="1" x14ac:dyDescent="0.3">
      <c r="A35" s="47">
        <v>1980</v>
      </c>
      <c r="B35" s="27">
        <f t="shared" si="0"/>
        <v>2184931</v>
      </c>
      <c r="C35" s="27">
        <v>775321</v>
      </c>
      <c r="D35" s="27">
        <v>1409610</v>
      </c>
      <c r="E35" s="48">
        <v>3.1301074885217601</v>
      </c>
      <c r="F35" s="48">
        <v>3.38443537594063</v>
      </c>
      <c r="G35" s="48">
        <v>2.8464394112038902</v>
      </c>
      <c r="H35" s="48">
        <v>2.4988784785688498</v>
      </c>
      <c r="I35" s="48">
        <v>3.3901363160479998</v>
      </c>
      <c r="J35" s="48">
        <v>4.2756839755284997</v>
      </c>
      <c r="K35" s="27">
        <v>672378</v>
      </c>
      <c r="L35" s="49">
        <v>4.1827672605790598</v>
      </c>
      <c r="M35" s="49">
        <v>3.7067254083531802</v>
      </c>
      <c r="O35" s="50">
        <f t="shared" si="1"/>
        <v>0.67414717932371704</v>
      </c>
      <c r="P35" s="51">
        <f t="shared" si="2"/>
        <v>1.1534935838228426</v>
      </c>
      <c r="Q35" s="51"/>
      <c r="R35" s="51">
        <f>O35/$O$35</f>
        <v>1</v>
      </c>
      <c r="S35" s="51">
        <f>P35/$P$35</f>
        <v>1</v>
      </c>
      <c r="U35" s="17">
        <v>1.2697138496695868</v>
      </c>
      <c r="V35" s="17">
        <v>1.2427327571229168</v>
      </c>
      <c r="W35" s="17">
        <v>1.2454677912531757</v>
      </c>
      <c r="Y35" s="17">
        <f>U35/W35</f>
        <v>1.0194674311023451</v>
      </c>
      <c r="Z35" s="17">
        <f t="shared" si="5"/>
        <v>0.99780401054971724</v>
      </c>
      <c r="AB35" s="17">
        <f>O35/P35</f>
        <v>0.58443947047325306</v>
      </c>
      <c r="AC35" s="17">
        <f>AB35/$AB$35</f>
        <v>1</v>
      </c>
      <c r="AE35" s="17">
        <f>Z35/Y35</f>
        <v>0.97875025734838506</v>
      </c>
      <c r="AF35" s="53">
        <f>AE35/$AE$35</f>
        <v>1</v>
      </c>
      <c r="AG35" s="17">
        <f>AF35/AC35</f>
        <v>1</v>
      </c>
      <c r="AH35" s="17">
        <v>1</v>
      </c>
      <c r="AI35" s="17">
        <v>1</v>
      </c>
      <c r="AJ35" s="17">
        <v>1</v>
      </c>
      <c r="AK35" s="30">
        <f>AJ35/AI35</f>
        <v>1</v>
      </c>
      <c r="AL35" s="30">
        <f>AH35/AJ35</f>
        <v>1</v>
      </c>
      <c r="AM35" s="30"/>
      <c r="AN35" s="30"/>
      <c r="AO35" s="17">
        <f>AI35/AH35</f>
        <v>1</v>
      </c>
      <c r="AP35" s="17">
        <f>AO35/AC35</f>
        <v>1</v>
      </c>
      <c r="BQ35" s="55">
        <f t="shared" si="6"/>
        <v>15.50436968201628</v>
      </c>
      <c r="BR35" s="18">
        <f t="shared" si="4"/>
        <v>3.7067254083531926</v>
      </c>
    </row>
    <row r="36" spans="1:70" x14ac:dyDescent="0.3">
      <c r="A36" s="5">
        <v>1981</v>
      </c>
      <c r="B36" s="3">
        <f t="shared" si="0"/>
        <v>2458282</v>
      </c>
      <c r="C36" s="3">
        <v>876569</v>
      </c>
      <c r="D36" s="3">
        <v>1581713</v>
      </c>
      <c r="E36" s="2">
        <v>3.21560416027347</v>
      </c>
      <c r="F36" s="2">
        <v>3.7066116900022501</v>
      </c>
      <c r="G36" s="2">
        <v>2.8570628873055499</v>
      </c>
      <c r="H36" s="2">
        <v>2.8146982383597901</v>
      </c>
      <c r="I36" s="2">
        <v>3.4487343791846898</v>
      </c>
      <c r="J36" s="2">
        <v>4.7161946920352502</v>
      </c>
      <c r="K36" s="3">
        <v>748760</v>
      </c>
      <c r="L36" s="23">
        <v>4.2625278396436501</v>
      </c>
      <c r="M36" s="23">
        <v>4.0505689301558698</v>
      </c>
      <c r="O36" s="45">
        <f t="shared" si="1"/>
        <v>0.69488960363192187</v>
      </c>
      <c r="P36" s="46">
        <f t="shared" si="2"/>
        <v>1.164328955600261</v>
      </c>
      <c r="Q36" s="46"/>
      <c r="R36" s="18">
        <f t="shared" ref="R36:R78" si="7">O36/$O$35</f>
        <v>1.0307683914497914</v>
      </c>
      <c r="S36" s="18">
        <f t="shared" ref="S36:S78" si="8">P36/$P$35</f>
        <v>1.0093935258326348</v>
      </c>
      <c r="U36">
        <v>1.2722378044350893</v>
      </c>
      <c r="V36">
        <v>1.2424756356060795</v>
      </c>
      <c r="W36">
        <v>1.2481973865532514</v>
      </c>
      <c r="Y36">
        <f t="shared" si="3"/>
        <v>1.0192601091308344</v>
      </c>
      <c r="Z36">
        <f t="shared" si="5"/>
        <v>0.99541598868190884</v>
      </c>
      <c r="AB36" s="52">
        <f t="shared" ref="AB36:AB78" si="9">O36/P36</f>
        <v>0.5968155307738412</v>
      </c>
      <c r="AC36">
        <f t="shared" ref="AC36:AC78" si="10">AB36/$AB$35</f>
        <v>1.0211759487951191</v>
      </c>
      <c r="AE36">
        <f t="shared" ref="AE36:AE78" si="11">Z36/Y36</f>
        <v>0.97660644203052505</v>
      </c>
      <c r="AF36" s="54">
        <f t="shared" ref="AF36:AF78" si="12">AE36/$AE$35</f>
        <v>0.99780964009790607</v>
      </c>
      <c r="AG36" s="17">
        <f t="shared" ref="AG36:AG78" si="13">AF36/AC36</f>
        <v>0.97711823439948542</v>
      </c>
      <c r="AH36">
        <f>AH35*EXP($AH$34)</f>
        <v>1.0109596214276102</v>
      </c>
      <c r="AI36">
        <f>AI35*EXP($AI$34)</f>
        <v>1.0004000800106678</v>
      </c>
      <c r="AJ36">
        <f>AJ35*EXP($AJ$34)</f>
        <v>1.0122747235666463</v>
      </c>
      <c r="AK36" s="18">
        <f t="shared" ref="AK36:AK78" si="14">AJ36/AI36</f>
        <v>1.0118698946484008</v>
      </c>
      <c r="AL36" s="18">
        <f>AH36/AJ36</f>
        <v>0.99870084463395226</v>
      </c>
      <c r="AM36" s="18"/>
      <c r="AN36" s="18"/>
      <c r="AO36">
        <f t="shared" ref="AO36:AO78" si="15">AI36/AH36</f>
        <v>0.98955493256789928</v>
      </c>
      <c r="AP36" s="17">
        <f t="shared" ref="AP36:AP78" si="16">AO36/AC36</f>
        <v>0.96903470330991515</v>
      </c>
      <c r="BQ36" s="55">
        <f>C36/C35</f>
        <v>1.1305884917343914</v>
      </c>
      <c r="BR36" s="18">
        <f t="shared" si="4"/>
        <v>0.26523896951929565</v>
      </c>
    </row>
    <row r="37" spans="1:70" x14ac:dyDescent="0.3">
      <c r="A37" s="5">
        <v>1982</v>
      </c>
      <c r="B37" s="3">
        <f t="shared" si="0"/>
        <v>2590897</v>
      </c>
      <c r="C37" s="3">
        <v>856384</v>
      </c>
      <c r="D37" s="3">
        <v>1734513</v>
      </c>
      <c r="E37" s="2">
        <v>3.1885254410612802</v>
      </c>
      <c r="F37" s="2">
        <v>3.93974921505083</v>
      </c>
      <c r="G37" s="2">
        <v>2.8308332587324401</v>
      </c>
      <c r="H37" s="2">
        <v>2.7753629653416101</v>
      </c>
      <c r="I37" s="2">
        <v>3.51130053387375</v>
      </c>
      <c r="J37" s="2">
        <v>5.0796447920502299</v>
      </c>
      <c r="K37" s="3">
        <v>752891</v>
      </c>
      <c r="L37" s="23">
        <v>4.0509465478841804</v>
      </c>
      <c r="M37" s="23">
        <v>4.2856451913212004</v>
      </c>
      <c r="O37" s="45">
        <f t="shared" si="1"/>
        <v>0.64759513245799216</v>
      </c>
      <c r="P37" s="46">
        <f t="shared" si="2"/>
        <v>1.1852695604239349</v>
      </c>
      <c r="Q37" s="46"/>
      <c r="R37" s="18">
        <f t="shared" si="7"/>
        <v>0.96061387234110951</v>
      </c>
      <c r="S37" s="18">
        <f t="shared" si="8"/>
        <v>1.0275475971836638</v>
      </c>
      <c r="U37">
        <v>1.2339415549374935</v>
      </c>
      <c r="V37">
        <v>1.2136399770840434</v>
      </c>
      <c r="W37">
        <v>1.2224386365448474</v>
      </c>
      <c r="Y37">
        <f t="shared" si="3"/>
        <v>1.0094098125245439</v>
      </c>
      <c r="Z37">
        <f t="shared" si="5"/>
        <v>0.99280237126202675</v>
      </c>
      <c r="AB37" s="52">
        <f t="shared" si="9"/>
        <v>0.54636949608860874</v>
      </c>
      <c r="AC37">
        <f t="shared" si="10"/>
        <v>0.93486070618430861</v>
      </c>
      <c r="AE37">
        <f t="shared" si="11"/>
        <v>0.98354737485562804</v>
      </c>
      <c r="AF37" s="54">
        <f t="shared" si="12"/>
        <v>1.0049012681950544</v>
      </c>
      <c r="AG37" s="17">
        <f t="shared" si="13"/>
        <v>1.0749208534997912</v>
      </c>
      <c r="AH37">
        <f t="shared" ref="AH37:AH78" si="17">AH36*EXP($AH$34)</f>
        <v>1.0220393561570569</v>
      </c>
      <c r="AI37">
        <f t="shared" ref="AI37:AI78" si="18">AI36*EXP($AI$34)</f>
        <v>1.0008003200853506</v>
      </c>
      <c r="AJ37">
        <f t="shared" ref="AJ37:AJ78" si="19">AJ36*EXP($AJ$34)</f>
        <v>1.0247001159719302</v>
      </c>
      <c r="AK37" s="18">
        <f t="shared" si="14"/>
        <v>1.0238806836957661</v>
      </c>
      <c r="AL37" s="18">
        <f t="shared" ref="AL37:AL77" si="20">AH37/AJ37</f>
        <v>0.99740337707256954</v>
      </c>
      <c r="AM37" s="18"/>
      <c r="AN37" s="18"/>
      <c r="AO37">
        <f t="shared" si="15"/>
        <v>0.97921896456945978</v>
      </c>
      <c r="AP37" s="17">
        <f t="shared" si="16"/>
        <v>1.0474490564120533</v>
      </c>
      <c r="BQ37" s="55">
        <f t="shared" si="6"/>
        <v>17.3609195932391</v>
      </c>
      <c r="BR37" s="18">
        <f t="shared" si="4"/>
        <v>4.2856451913212119</v>
      </c>
    </row>
    <row r="38" spans="1:70" x14ac:dyDescent="0.3">
      <c r="A38" s="5">
        <v>1983</v>
      </c>
      <c r="B38" s="3">
        <f t="shared" si="0"/>
        <v>2819604</v>
      </c>
      <c r="C38" s="3">
        <v>909404</v>
      </c>
      <c r="D38" s="3">
        <v>1910200</v>
      </c>
      <c r="E38" s="2">
        <v>3.3103905568915302</v>
      </c>
      <c r="F38" s="2">
        <v>4.1296874701986601</v>
      </c>
      <c r="G38" s="2">
        <v>2.88579045848177</v>
      </c>
      <c r="H38" s="2">
        <v>2.8910632981544899</v>
      </c>
      <c r="I38" s="2">
        <v>3.6585037622685599</v>
      </c>
      <c r="J38" s="2">
        <v>5.3690706928073899</v>
      </c>
      <c r="K38" s="3">
        <v>814433</v>
      </c>
      <c r="L38" s="23">
        <v>4.3449331848552299</v>
      </c>
      <c r="M38" s="23">
        <v>4.3222798290951499</v>
      </c>
      <c r="O38" s="45">
        <f t="shared" si="1"/>
        <v>0.66887462461210456</v>
      </c>
      <c r="P38" s="46">
        <f t="shared" si="2"/>
        <v>1.2421848897116365</v>
      </c>
      <c r="Q38" s="46"/>
      <c r="R38" s="18">
        <f t="shared" si="7"/>
        <v>0.99217892639274741</v>
      </c>
      <c r="S38" s="18">
        <f t="shared" si="8"/>
        <v>1.0768892927820701</v>
      </c>
      <c r="U38">
        <v>1.2576329065241358</v>
      </c>
      <c r="V38">
        <v>1.2423627993273765</v>
      </c>
      <c r="W38">
        <v>1.2861730333415045</v>
      </c>
      <c r="Y38">
        <f t="shared" si="3"/>
        <v>0.97781004104617186</v>
      </c>
      <c r="Z38">
        <f t="shared" si="5"/>
        <v>0.96593752716124981</v>
      </c>
      <c r="AB38" s="52">
        <f t="shared" si="9"/>
        <v>0.53846623811965588</v>
      </c>
      <c r="AC38">
        <f t="shared" si="10"/>
        <v>0.92133790635945567</v>
      </c>
      <c r="AE38">
        <f t="shared" si="11"/>
        <v>0.98785805689598005</v>
      </c>
      <c r="AF38" s="54">
        <f t="shared" si="12"/>
        <v>1.0093055398751769</v>
      </c>
      <c r="AG38" s="17">
        <f t="shared" si="13"/>
        <v>1.09547814423843</v>
      </c>
      <c r="AH38">
        <f t="shared" si="17"/>
        <v>1.0332405205846567</v>
      </c>
      <c r="AI38">
        <f t="shared" si="18"/>
        <v>1.0012007202880866</v>
      </c>
      <c r="AJ38">
        <f t="shared" si="19"/>
        <v>1.0372780266341961</v>
      </c>
      <c r="AK38" s="18">
        <f t="shared" si="14"/>
        <v>1.0360340395437675</v>
      </c>
      <c r="AL38" s="18">
        <f t="shared" si="20"/>
        <v>0.99610759512313152</v>
      </c>
      <c r="AM38" s="18"/>
      <c r="AN38" s="18"/>
      <c r="AO38">
        <f t="shared" si="15"/>
        <v>0.96899095645373989</v>
      </c>
      <c r="AP38" s="17">
        <f t="shared" si="16"/>
        <v>1.0517215776810691</v>
      </c>
      <c r="BQ38" s="55">
        <f t="shared" si="6"/>
        <v>18.78001706366592</v>
      </c>
      <c r="BR38" s="18">
        <f t="shared" si="4"/>
        <v>4.3222798290951525</v>
      </c>
    </row>
    <row r="39" spans="1:70" x14ac:dyDescent="0.3">
      <c r="A39" s="5">
        <v>1984</v>
      </c>
      <c r="B39" s="3">
        <f t="shared" si="0"/>
        <v>3089746</v>
      </c>
      <c r="C39" s="3">
        <v>1024075</v>
      </c>
      <c r="D39" s="3">
        <v>2065671</v>
      </c>
      <c r="E39" s="2">
        <v>3.47674829984564</v>
      </c>
      <c r="F39" s="2">
        <v>4.3088146902494202</v>
      </c>
      <c r="G39" s="2">
        <v>2.94906717220662</v>
      </c>
      <c r="H39" s="2">
        <v>3.18575690281207</v>
      </c>
      <c r="I39" s="2">
        <v>3.7596189913344502</v>
      </c>
      <c r="J39" s="2">
        <v>5.6499044765600797</v>
      </c>
      <c r="K39" s="3">
        <v>947866</v>
      </c>
      <c r="L39" s="23">
        <v>4.99707683741648</v>
      </c>
      <c r="M39" s="23">
        <v>4.3739270756594797</v>
      </c>
      <c r="O39" s="45">
        <f t="shared" si="1"/>
        <v>0.72835162720030877</v>
      </c>
      <c r="P39" s="46">
        <f t="shared" si="2"/>
        <v>1.2917235195806767</v>
      </c>
      <c r="Q39" s="46"/>
      <c r="R39" s="18">
        <f t="shared" si="7"/>
        <v>1.080404471811286</v>
      </c>
      <c r="S39" s="18">
        <f t="shared" si="8"/>
        <v>1.1198358947951148</v>
      </c>
      <c r="U39">
        <v>1.3141653280511603</v>
      </c>
      <c r="V39">
        <v>1.2535856624038773</v>
      </c>
      <c r="W39">
        <v>1.3439101140044269</v>
      </c>
      <c r="Y39">
        <f t="shared" si="3"/>
        <v>0.97786698258811622</v>
      </c>
      <c r="Z39">
        <f t="shared" si="5"/>
        <v>0.93278981186367338</v>
      </c>
      <c r="AB39" s="52">
        <f t="shared" si="9"/>
        <v>0.56386031233429001</v>
      </c>
      <c r="AC39">
        <f t="shared" si="10"/>
        <v>0.96478821301665518</v>
      </c>
      <c r="AE39">
        <f t="shared" si="11"/>
        <v>0.95390255369381904</v>
      </c>
      <c r="AF39" s="54">
        <f t="shared" si="12"/>
        <v>0.97461282541893468</v>
      </c>
      <c r="AG39" s="17">
        <f t="shared" si="13"/>
        <v>1.0101831803806562</v>
      </c>
      <c r="AH39">
        <f t="shared" si="17"/>
        <v>1.0445644455339314</v>
      </c>
      <c r="AI39">
        <f t="shared" si="18"/>
        <v>1.0016012806829402</v>
      </c>
      <c r="AJ39">
        <f t="shared" si="19"/>
        <v>1.0500103276728872</v>
      </c>
      <c r="AK39" s="18">
        <f t="shared" si="14"/>
        <v>1.0483316544453092</v>
      </c>
      <c r="AL39" s="18">
        <f t="shared" si="20"/>
        <v>0.99481349659576646</v>
      </c>
      <c r="AM39" s="18"/>
      <c r="AN39" s="18"/>
      <c r="AO39">
        <f t="shared" si="15"/>
        <v>0.95886978057248495</v>
      </c>
      <c r="AP39" s="17">
        <f t="shared" si="16"/>
        <v>0.99386556306936547</v>
      </c>
      <c r="BQ39" s="55">
        <f t="shared" si="6"/>
        <v>21.856849678326839</v>
      </c>
      <c r="BR39" s="18">
        <f t="shared" si="4"/>
        <v>4.3739270756594903</v>
      </c>
    </row>
    <row r="40" spans="1:70" x14ac:dyDescent="0.3">
      <c r="A40" s="5">
        <v>1985</v>
      </c>
      <c r="B40" s="3">
        <f t="shared" si="0"/>
        <v>3311276</v>
      </c>
      <c r="C40" s="3">
        <v>1043627</v>
      </c>
      <c r="D40" s="3">
        <v>2267649</v>
      </c>
      <c r="E40" s="2">
        <v>3.5917769484438402</v>
      </c>
      <c r="F40" s="2">
        <v>4.4698639239902302</v>
      </c>
      <c r="G40" s="2">
        <v>3.0822665651273802</v>
      </c>
      <c r="H40" s="2">
        <v>3.1062803148117601</v>
      </c>
      <c r="I40" s="2">
        <v>3.9424151096721101</v>
      </c>
      <c r="J40" s="2">
        <v>5.9147619397915596</v>
      </c>
      <c r="K40" s="3">
        <v>1027702</v>
      </c>
      <c r="L40" s="23">
        <v>5.3471603563474304</v>
      </c>
      <c r="M40" s="23">
        <v>4.4318455146013704</v>
      </c>
      <c r="O40" s="45">
        <f t="shared" si="1"/>
        <v>0.70089995343422062</v>
      </c>
      <c r="P40" s="46">
        <f t="shared" si="2"/>
        <v>1.3346047194796167</v>
      </c>
      <c r="Q40" s="46"/>
      <c r="R40" s="18">
        <f t="shared" si="7"/>
        <v>1.0396838775433892</v>
      </c>
      <c r="S40" s="18">
        <f t="shared" si="8"/>
        <v>1.1570109606128418</v>
      </c>
      <c r="U40">
        <v>1.3512727183196291</v>
      </c>
      <c r="V40">
        <v>1.2578897168506402</v>
      </c>
      <c r="W40">
        <v>1.3814887499240927</v>
      </c>
      <c r="Y40">
        <f t="shared" si="3"/>
        <v>0.97812792061743259</v>
      </c>
      <c r="Z40">
        <f t="shared" si="5"/>
        <v>0.91053200174069915</v>
      </c>
      <c r="AB40" s="52">
        <f t="shared" si="9"/>
        <v>0.52517419068285065</v>
      </c>
      <c r="AC40">
        <f t="shared" si="10"/>
        <v>0.89859466585579506</v>
      </c>
      <c r="AE40">
        <f t="shared" si="11"/>
        <v>0.93089255765844592</v>
      </c>
      <c r="AF40" s="54">
        <f t="shared" si="12"/>
        <v>0.95110325710708421</v>
      </c>
      <c r="AG40" s="17">
        <f t="shared" si="13"/>
        <v>1.0584341230217313</v>
      </c>
      <c r="AH40">
        <f t="shared" si="17"/>
        <v>1.0560124764137249</v>
      </c>
      <c r="AI40">
        <f t="shared" si="18"/>
        <v>1.0020020013340007</v>
      </c>
      <c r="AJ40">
        <f t="shared" si="19"/>
        <v>1.0628989141871956</v>
      </c>
      <c r="AK40" s="18">
        <f t="shared" si="14"/>
        <v>1.0607752407401589</v>
      </c>
      <c r="AL40" s="18">
        <f t="shared" si="20"/>
        <v>0.99352107930344735</v>
      </c>
      <c r="AM40" s="18"/>
      <c r="AN40" s="18"/>
      <c r="AO40">
        <f t="shared" si="15"/>
        <v>0.9488543210558017</v>
      </c>
      <c r="AP40" s="17">
        <f t="shared" si="16"/>
        <v>1.0559313972247328</v>
      </c>
      <c r="BQ40" s="55">
        <f t="shared" si="6"/>
        <v>23.697788641132657</v>
      </c>
      <c r="BR40" s="18">
        <f t="shared" si="4"/>
        <v>4.4318455146013767</v>
      </c>
    </row>
    <row r="41" spans="1:70" x14ac:dyDescent="0.3">
      <c r="A41" s="5">
        <v>1986</v>
      </c>
      <c r="B41" s="3">
        <f t="shared" si="0"/>
        <v>3498970</v>
      </c>
      <c r="C41" s="3">
        <v>1063639</v>
      </c>
      <c r="D41" s="3">
        <v>2435331</v>
      </c>
      <c r="E41" s="2">
        <v>3.7197709965820001</v>
      </c>
      <c r="F41" s="2">
        <v>4.5607056055030002</v>
      </c>
      <c r="G41" s="2">
        <v>3.2054795924431301</v>
      </c>
      <c r="H41" s="2">
        <v>3.0441550589992801</v>
      </c>
      <c r="I41" s="2">
        <v>4.0996228632340204</v>
      </c>
      <c r="J41" s="2">
        <v>6.1085464132436202</v>
      </c>
      <c r="K41" s="3">
        <v>1080662</v>
      </c>
      <c r="L41" s="23">
        <v>5.5153118040089</v>
      </c>
      <c r="M41" s="23">
        <v>4.5181477657850602</v>
      </c>
      <c r="O41" s="45">
        <f t="shared" si="1"/>
        <v>0.6737617308694499</v>
      </c>
      <c r="P41" s="46">
        <f t="shared" si="2"/>
        <v>1.3520023535977064</v>
      </c>
      <c r="Q41" s="46"/>
      <c r="R41" s="18">
        <f t="shared" si="7"/>
        <v>0.99942824287323462</v>
      </c>
      <c r="S41" s="18">
        <f t="shared" si="8"/>
        <v>1.1720935188186981</v>
      </c>
      <c r="U41">
        <v>1.3833341133285872</v>
      </c>
      <c r="V41">
        <v>1.2661500043537266</v>
      </c>
      <c r="W41">
        <v>1.3966587140344453</v>
      </c>
      <c r="Y41">
        <f t="shared" si="3"/>
        <v>0.99045965877564457</v>
      </c>
      <c r="Z41">
        <f t="shared" si="5"/>
        <v>0.90655647770690817</v>
      </c>
      <c r="AB41" s="52">
        <f t="shared" si="9"/>
        <v>0.49834360796529381</v>
      </c>
      <c r="AC41">
        <f t="shared" si="10"/>
        <v>0.85268643399761712</v>
      </c>
      <c r="AE41">
        <f t="shared" si="11"/>
        <v>0.91528864368645446</v>
      </c>
      <c r="AF41" s="54">
        <f t="shared" si="12"/>
        <v>0.93516056503130862</v>
      </c>
      <c r="AG41" s="17">
        <f t="shared" si="13"/>
        <v>1.0967226963457495</v>
      </c>
      <c r="AH41">
        <f t="shared" si="17"/>
        <v>1.0675859733780524</v>
      </c>
      <c r="AI41">
        <f t="shared" si="18"/>
        <v>1.0024028823053837</v>
      </c>
      <c r="AJ41">
        <f t="shared" si="19"/>
        <v>1.075945704538132</v>
      </c>
      <c r="AK41" s="18">
        <f t="shared" si="14"/>
        <v>1.0733665310933767</v>
      </c>
      <c r="AL41" s="18">
        <f t="shared" si="20"/>
        <v>0.99223034106198871</v>
      </c>
      <c r="AM41" s="18"/>
      <c r="AN41" s="18"/>
      <c r="AO41">
        <f t="shared" si="15"/>
        <v>0.93894347368913378</v>
      </c>
      <c r="AP41" s="17">
        <f t="shared" si="16"/>
        <v>1.1011591556430904</v>
      </c>
      <c r="BQ41" s="55">
        <f t="shared" si="6"/>
        <v>24.918993704890816</v>
      </c>
      <c r="BR41" s="18">
        <f t="shared" si="4"/>
        <v>4.5181477657850664</v>
      </c>
    </row>
    <row r="42" spans="1:70" x14ac:dyDescent="0.3">
      <c r="A42" s="5">
        <v>1987</v>
      </c>
      <c r="B42" s="3">
        <f t="shared" si="0"/>
        <v>3735551</v>
      </c>
      <c r="C42" s="3">
        <v>1134232</v>
      </c>
      <c r="D42" s="3">
        <v>2601319</v>
      </c>
      <c r="E42" s="2">
        <v>3.8674623705971101</v>
      </c>
      <c r="F42" s="2">
        <v>4.6831354784397003</v>
      </c>
      <c r="G42" s="2">
        <v>3.3034933875684298</v>
      </c>
      <c r="H42" s="2">
        <v>3.1498798440833502</v>
      </c>
      <c r="I42" s="2">
        <v>4.2473832707343302</v>
      </c>
      <c r="J42" s="2">
        <v>6.2979027242451604</v>
      </c>
      <c r="K42" s="3">
        <v>1119664</v>
      </c>
      <c r="L42" s="23">
        <v>5.6128897550111301</v>
      </c>
      <c r="M42" s="23">
        <v>4.5998304370603398</v>
      </c>
      <c r="O42" s="45">
        <f t="shared" si="1"/>
        <v>0.68478172993184849</v>
      </c>
      <c r="P42" s="46">
        <f t="shared" si="2"/>
        <v>1.3691597571735763</v>
      </c>
      <c r="Q42" s="46"/>
      <c r="R42" s="18">
        <f t="shared" si="7"/>
        <v>1.015774820297846</v>
      </c>
      <c r="S42" s="18">
        <f t="shared" si="8"/>
        <v>1.1869678135841772</v>
      </c>
      <c r="U42">
        <v>1.4300331124900085</v>
      </c>
      <c r="V42">
        <v>1.2350709458220739</v>
      </c>
      <c r="W42">
        <v>1.3990716455776517</v>
      </c>
      <c r="Y42">
        <f t="shared" si="3"/>
        <v>1.0221300081452036</v>
      </c>
      <c r="Z42">
        <f t="shared" si="5"/>
        <v>0.88277891252104901</v>
      </c>
      <c r="AB42" s="52">
        <f t="shared" si="9"/>
        <v>0.50014742716764993</v>
      </c>
      <c r="AC42">
        <f t="shared" si="10"/>
        <v>0.85577284293042832</v>
      </c>
      <c r="AE42">
        <f t="shared" si="11"/>
        <v>0.86366597740631212</v>
      </c>
      <c r="AF42" s="54">
        <f t="shared" si="12"/>
        <v>0.88241711398998002</v>
      </c>
      <c r="AG42" s="17">
        <f t="shared" si="13"/>
        <v>1.0311347471232126</v>
      </c>
      <c r="AH42">
        <f t="shared" si="17"/>
        <v>1.0792863114877025</v>
      </c>
      <c r="AI42">
        <f t="shared" si="18"/>
        <v>1.0028039236612298</v>
      </c>
      <c r="AJ42">
        <f t="shared" si="19"/>
        <v>1.0891526406340579</v>
      </c>
      <c r="AK42" s="18">
        <f t="shared" si="14"/>
        <v>1.0861072787365744</v>
      </c>
      <c r="AL42" s="18">
        <f t="shared" si="20"/>
        <v>0.99094127969004264</v>
      </c>
      <c r="AM42" s="18"/>
      <c r="AN42" s="18"/>
      <c r="AO42">
        <f t="shared" si="15"/>
        <v>0.92913614579152004</v>
      </c>
      <c r="AP42" s="17">
        <f t="shared" si="16"/>
        <v>1.0857275426150161</v>
      </c>
      <c r="BQ42" s="55">
        <f t="shared" si="6"/>
        <v>25.818341134964374</v>
      </c>
      <c r="BR42" s="18">
        <f t="shared" si="4"/>
        <v>4.5998304370603442</v>
      </c>
    </row>
    <row r="43" spans="1:70" x14ac:dyDescent="0.3">
      <c r="A43" s="5">
        <v>1988</v>
      </c>
      <c r="B43" s="3">
        <f t="shared" si="0"/>
        <v>4059555</v>
      </c>
      <c r="C43" s="3">
        <v>1235720</v>
      </c>
      <c r="D43" s="3">
        <v>2823835</v>
      </c>
      <c r="E43" s="2">
        <v>4.0506179222562402</v>
      </c>
      <c r="F43" s="2">
        <v>4.8592070560748102</v>
      </c>
      <c r="G43" s="2">
        <v>3.5354468404611699</v>
      </c>
      <c r="H43" s="2">
        <v>3.2065742275798499</v>
      </c>
      <c r="I43" s="2">
        <v>4.4199650185272601</v>
      </c>
      <c r="J43" s="2">
        <v>6.5696808454038997</v>
      </c>
      <c r="K43" s="3">
        <v>1176882</v>
      </c>
      <c r="L43" s="23">
        <v>5.7426224944320703</v>
      </c>
      <c r="M43" s="23">
        <v>4.7256687133979298</v>
      </c>
      <c r="O43" s="45">
        <f t="shared" si="1"/>
        <v>0.67854401610691939</v>
      </c>
      <c r="P43" s="46">
        <f t="shared" si="2"/>
        <v>1.3902118925048508</v>
      </c>
      <c r="Q43" s="46"/>
      <c r="R43" s="18">
        <f t="shared" si="7"/>
        <v>1.0065220725059076</v>
      </c>
      <c r="S43" s="18">
        <f t="shared" si="8"/>
        <v>1.2052185742529142</v>
      </c>
      <c r="U43">
        <v>1.4602403702159634</v>
      </c>
      <c r="V43">
        <v>1.2440905270277276</v>
      </c>
      <c r="W43">
        <v>1.424309193257024</v>
      </c>
      <c r="Y43">
        <f t="shared" si="3"/>
        <v>1.025227090528549</v>
      </c>
      <c r="Z43">
        <f t="shared" si="5"/>
        <v>0.87346942146937689</v>
      </c>
      <c r="AB43" s="52">
        <f t="shared" si="9"/>
        <v>0.48808675840366672</v>
      </c>
      <c r="AC43">
        <f t="shared" si="10"/>
        <v>0.83513654204161769</v>
      </c>
      <c r="AE43">
        <f t="shared" si="11"/>
        <v>0.85197653235934834</v>
      </c>
      <c r="AF43" s="54">
        <f t="shared" si="12"/>
        <v>0.87047387825726852</v>
      </c>
      <c r="AG43" s="17">
        <f t="shared" si="13"/>
        <v>1.0423132439268714</v>
      </c>
      <c r="AH43">
        <f t="shared" si="17"/>
        <v>1.0911148808736095</v>
      </c>
      <c r="AI43">
        <f t="shared" si="18"/>
        <v>1.0032051254657059</v>
      </c>
      <c r="AJ43">
        <f t="shared" si="19"/>
        <v>1.1025216882197237</v>
      </c>
      <c r="AK43" s="18">
        <f t="shared" si="14"/>
        <v>1.0989992577120389</v>
      </c>
      <c r="AL43" s="18">
        <f t="shared" si="20"/>
        <v>0.98965389300909523</v>
      </c>
      <c r="AM43" s="18"/>
      <c r="AN43" s="18"/>
      <c r="AO43">
        <f t="shared" si="15"/>
        <v>0.91943125609512544</v>
      </c>
      <c r="AP43" s="17">
        <f t="shared" si="16"/>
        <v>1.1009352480822316</v>
      </c>
      <c r="BQ43" s="55">
        <f t="shared" si="6"/>
        <v>27.137731454792814</v>
      </c>
      <c r="BR43" s="18">
        <f t="shared" si="4"/>
        <v>4.7256687133979298</v>
      </c>
    </row>
    <row r="44" spans="1:70" x14ac:dyDescent="0.3">
      <c r="A44" s="5">
        <v>1989</v>
      </c>
      <c r="B44" s="3">
        <f t="shared" si="0"/>
        <v>4399138</v>
      </c>
      <c r="C44" s="3">
        <v>1341456</v>
      </c>
      <c r="D44" s="3">
        <v>3057682</v>
      </c>
      <c r="E44" s="2">
        <v>4.2079524753031103</v>
      </c>
      <c r="F44" s="2">
        <v>5.0687982641598097</v>
      </c>
      <c r="G44" s="2">
        <v>3.68635665148819</v>
      </c>
      <c r="H44" s="2">
        <v>3.3384479940800502</v>
      </c>
      <c r="I44" s="2">
        <v>4.5718717095032497</v>
      </c>
      <c r="J44" s="2">
        <v>6.8773649171550799</v>
      </c>
      <c r="K44" s="3">
        <v>1242441</v>
      </c>
      <c r="L44" s="23">
        <v>5.9109131403118003</v>
      </c>
      <c r="M44" s="23">
        <v>4.8468749718170097</v>
      </c>
      <c r="O44" s="45">
        <f t="shared" si="1"/>
        <v>0.6887836004625727</v>
      </c>
      <c r="P44" s="46">
        <f t="shared" si="2"/>
        <v>1.4189276507326276</v>
      </c>
      <c r="Q44" s="46"/>
      <c r="R44" s="18">
        <f t="shared" si="7"/>
        <v>1.0217110173976229</v>
      </c>
      <c r="S44" s="18">
        <f t="shared" si="8"/>
        <v>1.23011317152723</v>
      </c>
      <c r="U44">
        <v>1.4657843877146699</v>
      </c>
      <c r="V44">
        <v>1.2497957944208951</v>
      </c>
      <c r="W44">
        <v>1.4512905354818049</v>
      </c>
      <c r="Y44">
        <f t="shared" si="3"/>
        <v>1.0099868716004914</v>
      </c>
      <c r="Z44">
        <f t="shared" si="5"/>
        <v>0.86116167911615515</v>
      </c>
      <c r="AB44" s="52">
        <f t="shared" si="9"/>
        <v>0.48542545499549367</v>
      </c>
      <c r="AC44">
        <f t="shared" si="10"/>
        <v>0.8305829423232105</v>
      </c>
      <c r="AE44">
        <f t="shared" si="11"/>
        <v>0.85264640890975341</v>
      </c>
      <c r="AF44" s="54">
        <f t="shared" si="12"/>
        <v>0.87115829856303673</v>
      </c>
      <c r="AG44" s="17">
        <f t="shared" si="13"/>
        <v>1.048851660890523</v>
      </c>
      <c r="AH44">
        <f t="shared" si="17"/>
        <v>1.1030730869020162</v>
      </c>
      <c r="AI44">
        <f t="shared" si="18"/>
        <v>1.0036064877830042</v>
      </c>
      <c r="AJ44">
        <f t="shared" si="19"/>
        <v>1.116054837168853</v>
      </c>
      <c r="AK44" s="18">
        <f t="shared" si="14"/>
        <v>1.1120442631197518</v>
      </c>
      <c r="AL44" s="18">
        <f t="shared" si="20"/>
        <v>0.9883681788434624</v>
      </c>
      <c r="AM44" s="18"/>
      <c r="AN44" s="18"/>
      <c r="AO44">
        <f t="shared" si="15"/>
        <v>0.90982773462603084</v>
      </c>
      <c r="AP44" s="17">
        <f t="shared" si="16"/>
        <v>1.0954086440556627</v>
      </c>
      <c r="BQ44" s="55">
        <f t="shared" si="6"/>
        <v>28.649456960361565</v>
      </c>
      <c r="BR44" s="18">
        <f t="shared" si="4"/>
        <v>4.8468749718170123</v>
      </c>
    </row>
    <row r="45" spans="1:70" x14ac:dyDescent="0.3">
      <c r="A45" s="5">
        <v>1990</v>
      </c>
      <c r="B45" s="3">
        <f t="shared" si="0"/>
        <v>4693871</v>
      </c>
      <c r="C45" s="3">
        <v>1401041</v>
      </c>
      <c r="D45" s="3">
        <v>3292830</v>
      </c>
      <c r="E45" s="2">
        <v>4.3107390388154396</v>
      </c>
      <c r="F45" s="2">
        <v>5.2794375653380401</v>
      </c>
      <c r="G45" s="2">
        <v>3.7600470169455198</v>
      </c>
      <c r="H45" s="2">
        <v>3.41840175315046</v>
      </c>
      <c r="I45" s="2">
        <v>4.7104917040175804</v>
      </c>
      <c r="J45" s="2">
        <v>7.1883109267804501</v>
      </c>
      <c r="K45" s="3">
        <v>1269272</v>
      </c>
      <c r="L45" s="23">
        <v>5.9047884187082396</v>
      </c>
      <c r="M45" s="23">
        <v>4.9566811083896498</v>
      </c>
      <c r="O45" s="45">
        <f t="shared" si="1"/>
        <v>0.68965537189077852</v>
      </c>
      <c r="P45" s="46">
        <f t="shared" si="2"/>
        <v>1.4502266273724078</v>
      </c>
      <c r="Q45" s="46"/>
      <c r="R45" s="18">
        <f t="shared" si="7"/>
        <v>1.0230041644357524</v>
      </c>
      <c r="S45" s="18">
        <f t="shared" si="8"/>
        <v>1.2572472423870356</v>
      </c>
      <c r="U45">
        <v>1.4604236007435976</v>
      </c>
      <c r="V45">
        <v>1.2443032390878828</v>
      </c>
      <c r="W45">
        <v>1.4664841605027277</v>
      </c>
      <c r="Y45">
        <f t="shared" si="3"/>
        <v>0.99586728590573215</v>
      </c>
      <c r="Z45">
        <f t="shared" si="5"/>
        <v>0.84849415534179462</v>
      </c>
      <c r="AB45" s="52">
        <f t="shared" si="9"/>
        <v>0.47555006843332492</v>
      </c>
      <c r="AC45">
        <f t="shared" si="10"/>
        <v>0.81368574926714932</v>
      </c>
      <c r="AE45">
        <f t="shared" si="11"/>
        <v>0.85201529094320738</v>
      </c>
      <c r="AF45" s="54">
        <f t="shared" si="12"/>
        <v>0.87051347833253601</v>
      </c>
      <c r="AG45" s="17">
        <f t="shared" si="13"/>
        <v>1.0698398971796776</v>
      </c>
      <c r="AH45">
        <f t="shared" si="17"/>
        <v>1.1151623503414476</v>
      </c>
      <c r="AI45">
        <f t="shared" si="18"/>
        <v>1.0040080106773428</v>
      </c>
      <c r="AJ45">
        <f t="shared" si="19"/>
        <v>1.129754101780319</v>
      </c>
      <c r="AK45" s="18">
        <f t="shared" si="14"/>
        <v>1.1252441113673415</v>
      </c>
      <c r="AL45" s="18">
        <f t="shared" si="20"/>
        <v>0.98708413502028713</v>
      </c>
      <c r="AM45" s="18"/>
      <c r="AN45" s="18"/>
      <c r="AO45">
        <f t="shared" si="15"/>
        <v>0.90032452258626661</v>
      </c>
      <c r="AP45" s="17">
        <f t="shared" si="16"/>
        <v>1.1064769456723913</v>
      </c>
      <c r="BQ45" s="55">
        <f t="shared" si="6"/>
        <v>29.268153204049163</v>
      </c>
      <c r="BR45" s="18">
        <f t="shared" si="4"/>
        <v>4.956681108389656</v>
      </c>
    </row>
    <row r="46" spans="1:70" x14ac:dyDescent="0.3">
      <c r="A46" s="5">
        <v>1991</v>
      </c>
      <c r="B46" s="3">
        <f t="shared" si="0"/>
        <v>4919298</v>
      </c>
      <c r="C46" s="3">
        <v>1426455</v>
      </c>
      <c r="D46" s="3">
        <v>3492843</v>
      </c>
      <c r="E46" s="2">
        <v>4.3521975870974599</v>
      </c>
      <c r="F46" s="2">
        <v>5.4802779825170003</v>
      </c>
      <c r="G46" s="2">
        <v>3.7462381306627002</v>
      </c>
      <c r="H46" s="2">
        <v>3.4932384283937501</v>
      </c>
      <c r="I46" s="2">
        <v>4.80401013080147</v>
      </c>
      <c r="J46" s="2">
        <v>7.4765103323993403</v>
      </c>
      <c r="K46" s="3">
        <v>1238832</v>
      </c>
      <c r="L46" s="23">
        <v>5.6621659242761604</v>
      </c>
      <c r="M46" s="23">
        <v>5.0451077171738001</v>
      </c>
      <c r="O46" s="45">
        <f t="shared" si="1"/>
        <v>0.69240115855258966</v>
      </c>
      <c r="P46" s="46">
        <f t="shared" si="2"/>
        <v>1.4819327458458267</v>
      </c>
      <c r="Q46" s="46"/>
      <c r="R46" s="18">
        <f t="shared" si="7"/>
        <v>1.0270771424827208</v>
      </c>
      <c r="S46" s="18">
        <f t="shared" si="8"/>
        <v>1.2847342773546166</v>
      </c>
      <c r="U46">
        <v>1.450289523176991</v>
      </c>
      <c r="V46">
        <v>1.2387470426221574</v>
      </c>
      <c r="W46">
        <v>1.4798240548188353</v>
      </c>
      <c r="Y46">
        <f t="shared" si="3"/>
        <v>0.98004186271626736</v>
      </c>
      <c r="Z46">
        <f t="shared" si="5"/>
        <v>0.83709075993754456</v>
      </c>
      <c r="AB46" s="52">
        <f t="shared" si="9"/>
        <v>0.46722846262324502</v>
      </c>
      <c r="AC46">
        <f t="shared" si="10"/>
        <v>0.79944713905942089</v>
      </c>
      <c r="AE46">
        <f t="shared" si="11"/>
        <v>0.85413775858255492</v>
      </c>
      <c r="AF46" s="54">
        <f t="shared" si="12"/>
        <v>0.87268202707457943</v>
      </c>
      <c r="AG46" s="17">
        <f t="shared" si="13"/>
        <v>1.091606917377079</v>
      </c>
      <c r="AH46">
        <f t="shared" si="17"/>
        <v>1.1273841075315139</v>
      </c>
      <c r="AI46">
        <f t="shared" si="18"/>
        <v>1.0044096942129652</v>
      </c>
      <c r="AJ46">
        <f t="shared" si="19"/>
        <v>1.1436215210779572</v>
      </c>
      <c r="AK46" s="18">
        <f t="shared" si="14"/>
        <v>1.1386006404230054</v>
      </c>
      <c r="AL46" s="18">
        <f t="shared" si="20"/>
        <v>0.98580175936953485</v>
      </c>
      <c r="AM46" s="18"/>
      <c r="AN46" s="18"/>
      <c r="AO46">
        <f t="shared" si="15"/>
        <v>0.89092057223707921</v>
      </c>
      <c r="AP46" s="17">
        <f t="shared" si="16"/>
        <v>1.1144208650058842</v>
      </c>
      <c r="BQ46" s="55">
        <f t="shared" si="6"/>
        <v>28.566237000484239</v>
      </c>
      <c r="BR46" s="18">
        <f t="shared" si="4"/>
        <v>5.0451077171738108</v>
      </c>
    </row>
    <row r="47" spans="1:70" x14ac:dyDescent="0.3">
      <c r="A47" s="5">
        <v>1992</v>
      </c>
      <c r="B47" s="3">
        <f t="shared" si="0"/>
        <v>5227532</v>
      </c>
      <c r="C47" s="3">
        <v>1489977</v>
      </c>
      <c r="D47" s="3">
        <v>3737555</v>
      </c>
      <c r="E47" s="2">
        <v>4.4993507948987403</v>
      </c>
      <c r="F47" s="2">
        <v>5.6331966304112298</v>
      </c>
      <c r="G47" s="2">
        <v>3.8311416195445802</v>
      </c>
      <c r="H47" s="2">
        <v>3.5679346541432602</v>
      </c>
      <c r="I47" s="2">
        <v>4.9642975663791598</v>
      </c>
      <c r="J47" s="2">
        <v>7.7420072545352303</v>
      </c>
      <c r="K47" s="3">
        <v>1292796</v>
      </c>
      <c r="L47" s="23">
        <v>5.8943485523385197</v>
      </c>
      <c r="M47" s="23">
        <v>5.0574873615929601</v>
      </c>
      <c r="O47" s="45">
        <f t="shared" si="1"/>
        <v>0.70547574300204785</v>
      </c>
      <c r="P47" s="46">
        <f t="shared" si="2"/>
        <v>1.5308011075477459</v>
      </c>
      <c r="Q47" s="46"/>
      <c r="R47" s="18">
        <f t="shared" si="7"/>
        <v>1.0464714006661848</v>
      </c>
      <c r="S47" s="18">
        <f t="shared" si="8"/>
        <v>1.3270998027353149</v>
      </c>
      <c r="U47">
        <v>1.4865272014737474</v>
      </c>
      <c r="V47">
        <v>1.2612929555942809</v>
      </c>
      <c r="W47">
        <v>1.5418147636901136</v>
      </c>
      <c r="Y47">
        <f t="shared" si="3"/>
        <v>0.9641412421787664</v>
      </c>
      <c r="Z47">
        <f t="shared" si="5"/>
        <v>0.81805738620348678</v>
      </c>
      <c r="AB47" s="52">
        <f t="shared" si="9"/>
        <v>0.46085395387006145</v>
      </c>
      <c r="AC47">
        <f t="shared" si="10"/>
        <v>0.78854009209351039</v>
      </c>
      <c r="AE47">
        <f t="shared" si="11"/>
        <v>0.84848293010974274</v>
      </c>
      <c r="AF47" s="54">
        <f t="shared" si="12"/>
        <v>0.86690442606721707</v>
      </c>
      <c r="AG47" s="17">
        <f t="shared" si="13"/>
        <v>1.0993790103501975</v>
      </c>
      <c r="AH47">
        <f t="shared" si="17"/>
        <v>1.1397398105535634</v>
      </c>
      <c r="AI47">
        <f t="shared" si="18"/>
        <v>1.0048115384541407</v>
      </c>
      <c r="AJ47">
        <f t="shared" si="19"/>
        <v>1.1576591591140566</v>
      </c>
      <c r="AK47" s="18">
        <f t="shared" si="14"/>
        <v>1.1521157100714283</v>
      </c>
      <c r="AL47" s="18">
        <f t="shared" si="20"/>
        <v>0.98452104972399079</v>
      </c>
      <c r="AM47" s="18"/>
      <c r="AN47" s="18"/>
      <c r="AO47">
        <f t="shared" si="15"/>
        <v>0.88161484678341717</v>
      </c>
      <c r="AP47" s="17">
        <f t="shared" si="16"/>
        <v>1.1180342707024582</v>
      </c>
      <c r="BQ47" s="55">
        <f t="shared" si="6"/>
        <v>29.810593308275877</v>
      </c>
      <c r="BR47" s="18">
        <f t="shared" si="4"/>
        <v>5.057487361592969</v>
      </c>
    </row>
    <row r="48" spans="1:70" x14ac:dyDescent="0.3">
      <c r="A48" s="5">
        <v>1993</v>
      </c>
      <c r="B48" s="3">
        <f t="shared" si="0"/>
        <v>5480664</v>
      </c>
      <c r="C48" s="3">
        <v>1538123</v>
      </c>
      <c r="D48" s="3">
        <v>3942541</v>
      </c>
      <c r="E48" s="2">
        <v>4.5971257098698999</v>
      </c>
      <c r="F48" s="2">
        <v>5.7803607905678502</v>
      </c>
      <c r="G48" s="2">
        <v>3.8977810215459701</v>
      </c>
      <c r="H48" s="2">
        <v>3.6202550088790999</v>
      </c>
      <c r="I48" s="2">
        <v>5.0752812321337597</v>
      </c>
      <c r="J48" s="2">
        <v>7.9880337928047398</v>
      </c>
      <c r="K48" s="3">
        <v>1377895</v>
      </c>
      <c r="L48" s="23">
        <v>6.1947383073496596</v>
      </c>
      <c r="M48" s="23">
        <v>5.1290127611196903</v>
      </c>
      <c r="O48" s="45">
        <f t="shared" si="1"/>
        <v>0.70583856533216727</v>
      </c>
      <c r="P48" s="46">
        <f t="shared" si="2"/>
        <v>1.557421313777529</v>
      </c>
      <c r="Q48" s="46"/>
      <c r="R48" s="18">
        <f t="shared" si="7"/>
        <v>1.0470095952047771</v>
      </c>
      <c r="S48" s="18">
        <f t="shared" si="8"/>
        <v>1.3501776998325488</v>
      </c>
      <c r="U48">
        <v>1.4915351323276824</v>
      </c>
      <c r="V48">
        <v>1.2570566804401757</v>
      </c>
      <c r="W48">
        <v>1.5560883068225482</v>
      </c>
      <c r="Y48">
        <f t="shared" si="3"/>
        <v>0.95851573833449077</v>
      </c>
      <c r="Z48">
        <f t="shared" si="5"/>
        <v>0.80783119757966715</v>
      </c>
      <c r="AB48" s="52">
        <f t="shared" si="9"/>
        <v>0.45320977637075877</v>
      </c>
      <c r="AC48">
        <f t="shared" si="10"/>
        <v>0.77546058962063202</v>
      </c>
      <c r="AE48">
        <f t="shared" si="11"/>
        <v>0.84279387940290695</v>
      </c>
      <c r="AF48" s="54">
        <f t="shared" si="12"/>
        <v>0.86109185982355807</v>
      </c>
      <c r="AG48" s="17">
        <f t="shared" si="13"/>
        <v>1.1104263341671796</v>
      </c>
      <c r="AH48">
        <f t="shared" si="17"/>
        <v>1.1522309274032068</v>
      </c>
      <c r="AI48">
        <f t="shared" si="18"/>
        <v>1.0052135434651646</v>
      </c>
      <c r="AJ48">
        <f t="shared" si="19"/>
        <v>1.1718691052765777</v>
      </c>
      <c r="AK48" s="18">
        <f t="shared" si="14"/>
        <v>1.1657912021727437</v>
      </c>
      <c r="AL48" s="18">
        <f t="shared" si="20"/>
        <v>0.98324200391925509</v>
      </c>
      <c r="AM48" s="18"/>
      <c r="AN48" s="18"/>
      <c r="AO48">
        <f t="shared" si="15"/>
        <v>0.87240632025962317</v>
      </c>
      <c r="AP48" s="17">
        <f t="shared" si="16"/>
        <v>1.1250169666087333</v>
      </c>
      <c r="BQ48" s="55">
        <f t="shared" si="6"/>
        <v>31.772891830193466</v>
      </c>
      <c r="BR48" s="18">
        <f t="shared" si="4"/>
        <v>5.1290127611197018</v>
      </c>
    </row>
    <row r="49" spans="1:70" x14ac:dyDescent="0.3">
      <c r="A49" s="5">
        <v>1994</v>
      </c>
      <c r="B49" s="3">
        <f t="shared" si="0"/>
        <v>5800364</v>
      </c>
      <c r="C49" s="3">
        <v>1651898</v>
      </c>
      <c r="D49" s="3">
        <v>4148466</v>
      </c>
      <c r="E49" s="2">
        <v>4.7584245668330398</v>
      </c>
      <c r="F49" s="2">
        <v>5.9101721758289196</v>
      </c>
      <c r="G49" s="2">
        <v>4.0321943264495896</v>
      </c>
      <c r="H49" s="2">
        <v>3.7584372743965502</v>
      </c>
      <c r="I49" s="2">
        <v>5.2012085092692901</v>
      </c>
      <c r="J49" s="2">
        <v>8.2017600249632601</v>
      </c>
      <c r="K49" s="3">
        <v>1486873</v>
      </c>
      <c r="L49" s="23">
        <v>6.5729398663697101</v>
      </c>
      <c r="M49" s="23">
        <v>5.2162072225247096</v>
      </c>
      <c r="O49" s="45">
        <f t="shared" si="1"/>
        <v>0.72053066798550602</v>
      </c>
      <c r="P49" s="46">
        <f t="shared" si="2"/>
        <v>1.5723608505326032</v>
      </c>
      <c r="Q49" s="46"/>
      <c r="R49" s="18">
        <f t="shared" si="7"/>
        <v>1.0688032080892476</v>
      </c>
      <c r="S49" s="18">
        <f t="shared" si="8"/>
        <v>1.3631292558399628</v>
      </c>
      <c r="U49">
        <v>1.5460143435254508</v>
      </c>
      <c r="V49">
        <v>1.2580519369842946</v>
      </c>
      <c r="W49">
        <v>1.5782089621684157</v>
      </c>
      <c r="Y49">
        <f t="shared" si="3"/>
        <v>0.97960053490082177</v>
      </c>
      <c r="Z49">
        <f t="shared" si="5"/>
        <v>0.79713901463071524</v>
      </c>
      <c r="AB49" s="52">
        <f t="shared" si="9"/>
        <v>0.45824765208408863</v>
      </c>
      <c r="AC49">
        <f t="shared" si="10"/>
        <v>0.78408060241554201</v>
      </c>
      <c r="AE49">
        <f t="shared" si="11"/>
        <v>0.81373885194072537</v>
      </c>
      <c r="AF49" s="54">
        <f t="shared" si="12"/>
        <v>0.83140601581581597</v>
      </c>
      <c r="AG49" s="17">
        <f t="shared" si="13"/>
        <v>1.0603578423627329</v>
      </c>
      <c r="AH49">
        <f t="shared" si="17"/>
        <v>1.1648589421647302</v>
      </c>
      <c r="AI49">
        <f t="shared" si="18"/>
        <v>1.0056157093103575</v>
      </c>
      <c r="AJ49">
        <f t="shared" si="19"/>
        <v>1.1862534746001407</v>
      </c>
      <c r="AK49" s="18">
        <f t="shared" si="14"/>
        <v>1.1796290209245668</v>
      </c>
      <c r="AL49" s="18">
        <f t="shared" si="20"/>
        <v>0.98196461979373995</v>
      </c>
      <c r="AM49" s="18"/>
      <c r="AN49" s="18"/>
      <c r="AO49">
        <f t="shared" si="15"/>
        <v>0.86329397741632041</v>
      </c>
      <c r="AP49" s="17">
        <f t="shared" si="16"/>
        <v>1.101027081599447</v>
      </c>
      <c r="BQ49" s="55">
        <f t="shared" si="6"/>
        <v>34.285816404178291</v>
      </c>
      <c r="BR49" s="18">
        <f t="shared" si="4"/>
        <v>5.2162072225247114</v>
      </c>
    </row>
    <row r="50" spans="1:70" x14ac:dyDescent="0.3">
      <c r="A50" s="5">
        <v>1995</v>
      </c>
      <c r="B50" s="3">
        <f t="shared" si="0"/>
        <v>6045746</v>
      </c>
      <c r="C50" s="3">
        <v>1681700</v>
      </c>
      <c r="D50" s="3">
        <v>4364046</v>
      </c>
      <c r="E50" s="2">
        <v>4.8561292059004</v>
      </c>
      <c r="F50" s="2">
        <v>6.0362582540185796</v>
      </c>
      <c r="G50" s="2">
        <v>4.1629885862583897</v>
      </c>
      <c r="H50" s="2">
        <v>3.70602920518315</v>
      </c>
      <c r="I50" s="2">
        <v>5.3262578199607304</v>
      </c>
      <c r="J50" s="2">
        <v>8.4254076427874391</v>
      </c>
      <c r="K50" s="3">
        <v>1594003</v>
      </c>
      <c r="L50" s="23">
        <v>6.9117483296213802</v>
      </c>
      <c r="M50" s="23">
        <v>5.3179204708383603</v>
      </c>
      <c r="O50" s="45">
        <f t="shared" si="1"/>
        <v>0.69689443937827478</v>
      </c>
      <c r="P50" s="46">
        <f t="shared" si="2"/>
        <v>1.584342543102979</v>
      </c>
      <c r="Q50" s="46"/>
      <c r="R50" s="18">
        <f t="shared" si="7"/>
        <v>1.0337422758000367</v>
      </c>
      <c r="S50" s="18">
        <f t="shared" si="8"/>
        <v>1.3735165633537738</v>
      </c>
      <c r="U50">
        <v>1.546263913509939</v>
      </c>
      <c r="V50">
        <v>1.2438920824356732</v>
      </c>
      <c r="W50">
        <v>1.574122866948926</v>
      </c>
      <c r="Y50">
        <f t="shared" si="3"/>
        <v>0.98230191935843914</v>
      </c>
      <c r="Z50">
        <f t="shared" si="5"/>
        <v>0.79021282807908821</v>
      </c>
      <c r="AB50" s="52">
        <f t="shared" si="9"/>
        <v>0.43986348937735881</v>
      </c>
      <c r="AC50">
        <f t="shared" si="10"/>
        <v>0.75262454300216397</v>
      </c>
      <c r="AE50">
        <f t="shared" si="11"/>
        <v>0.80445004993494451</v>
      </c>
      <c r="AF50" s="54">
        <f t="shared" si="12"/>
        <v>0.82191554372036446</v>
      </c>
      <c r="AG50" s="17">
        <f t="shared" si="13"/>
        <v>1.0920658266627923</v>
      </c>
      <c r="AH50">
        <f t="shared" si="17"/>
        <v>1.1776253551874221</v>
      </c>
      <c r="AI50">
        <f t="shared" si="18"/>
        <v>1.006018036054066</v>
      </c>
      <c r="AJ50">
        <f t="shared" si="19"/>
        <v>1.2008144080808312</v>
      </c>
      <c r="AK50" s="18">
        <f t="shared" si="14"/>
        <v>1.1936310931271379</v>
      </c>
      <c r="AL50" s="18">
        <f t="shared" si="20"/>
        <v>0.98068889518866587</v>
      </c>
      <c r="AM50" s="18"/>
      <c r="AN50" s="18"/>
      <c r="AO50">
        <f t="shared" si="15"/>
        <v>0.85427681360848051</v>
      </c>
      <c r="AP50" s="17">
        <f t="shared" si="16"/>
        <v>1.1350637200865561</v>
      </c>
      <c r="BQ50" s="55">
        <f t="shared" si="6"/>
        <v>36.75612793137639</v>
      </c>
      <c r="BR50" s="18">
        <f t="shared" si="4"/>
        <v>5.3179204708383621</v>
      </c>
    </row>
    <row r="51" spans="1:70" x14ac:dyDescent="0.3">
      <c r="A51" s="5">
        <v>1996</v>
      </c>
      <c r="B51" s="3">
        <f t="shared" si="0"/>
        <v>6351908</v>
      </c>
      <c r="C51" s="3">
        <v>1769807</v>
      </c>
      <c r="D51" s="3">
        <v>4582101</v>
      </c>
      <c r="E51" s="2">
        <v>4.9900483206532797</v>
      </c>
      <c r="F51" s="2">
        <v>6.1717396382002301</v>
      </c>
      <c r="G51" s="2">
        <v>4.3224634623546203</v>
      </c>
      <c r="H51" s="2">
        <v>3.75629862288825</v>
      </c>
      <c r="I51" s="2">
        <v>5.4512938511741096</v>
      </c>
      <c r="J51" s="2">
        <v>8.6434843906113308</v>
      </c>
      <c r="K51" s="3">
        <v>1721214</v>
      </c>
      <c r="L51" s="23">
        <v>7.4408407572383002</v>
      </c>
      <c r="M51" s="23">
        <v>5.3340057519229802</v>
      </c>
      <c r="O51" s="45">
        <f t="shared" si="1"/>
        <v>0.70421720515281672</v>
      </c>
      <c r="P51" s="46">
        <f t="shared" si="2"/>
        <v>1.620449019481323</v>
      </c>
      <c r="Q51" s="46"/>
      <c r="R51" s="18">
        <f t="shared" si="7"/>
        <v>1.0446045414879062</v>
      </c>
      <c r="S51" s="18">
        <f t="shared" si="8"/>
        <v>1.4048184074946679</v>
      </c>
      <c r="U51">
        <v>1.5653186644776678</v>
      </c>
      <c r="V51">
        <v>1.2609198073456052</v>
      </c>
      <c r="W51">
        <v>1.6151418350656104</v>
      </c>
      <c r="Y51">
        <f t="shared" si="3"/>
        <v>0.96915244871611006</v>
      </c>
      <c r="Z51">
        <f t="shared" si="5"/>
        <v>0.78068673596977567</v>
      </c>
      <c r="AB51" s="52">
        <f t="shared" si="9"/>
        <v>0.43458152443340931</v>
      </c>
      <c r="AC51">
        <f t="shared" si="10"/>
        <v>0.74358688348256929</v>
      </c>
      <c r="AE51">
        <f t="shared" si="11"/>
        <v>0.80553553468702954</v>
      </c>
      <c r="AF51" s="54">
        <f t="shared" si="12"/>
        <v>0.82302459553816498</v>
      </c>
      <c r="AG51" s="17">
        <f t="shared" si="13"/>
        <v>1.1068304374648881</v>
      </c>
      <c r="AH51">
        <f t="shared" si="17"/>
        <v>1.1905316832638313</v>
      </c>
      <c r="AI51">
        <f t="shared" si="18"/>
        <v>1.0064205237606625</v>
      </c>
      <c r="AJ51">
        <f t="shared" si="19"/>
        <v>1.2155540729948693</v>
      </c>
      <c r="AK51" s="18">
        <f t="shared" si="14"/>
        <v>1.2077993684516126</v>
      </c>
      <c r="AL51" s="18">
        <f t="shared" si="20"/>
        <v>0.97941482794805823</v>
      </c>
      <c r="AM51" s="18"/>
      <c r="AN51" s="18"/>
      <c r="AO51">
        <f t="shared" si="15"/>
        <v>0.84535383468465974</v>
      </c>
      <c r="AP51" s="17">
        <f t="shared" si="16"/>
        <v>1.1368595297505353</v>
      </c>
      <c r="BQ51" s="55">
        <f t="shared" si="6"/>
        <v>39.689487398252126</v>
      </c>
      <c r="BR51" s="18">
        <f t="shared" si="4"/>
        <v>5.3340057519229926</v>
      </c>
    </row>
    <row r="52" spans="1:70" x14ac:dyDescent="0.3">
      <c r="A52" s="5">
        <v>1997</v>
      </c>
      <c r="B52" s="3">
        <f t="shared" si="0"/>
        <v>6726275</v>
      </c>
      <c r="C52" s="3">
        <v>1891666</v>
      </c>
      <c r="D52" s="3">
        <v>4834609</v>
      </c>
      <c r="E52" s="2">
        <v>5.1753705319112999</v>
      </c>
      <c r="F52" s="2">
        <v>6.3014600880976097</v>
      </c>
      <c r="G52" s="2">
        <v>4.4882301772602702</v>
      </c>
      <c r="H52" s="2">
        <v>3.86665006693244</v>
      </c>
      <c r="I52" s="2">
        <v>5.6025834739411904</v>
      </c>
      <c r="J52" s="2">
        <v>8.8735378834823297</v>
      </c>
      <c r="K52" s="3">
        <v>1851279</v>
      </c>
      <c r="L52" s="23">
        <v>7.9750835189309504</v>
      </c>
      <c r="M52" s="23">
        <v>5.3527536323138598</v>
      </c>
      <c r="O52" s="45">
        <f t="shared" si="1"/>
        <v>0.72236652992769723</v>
      </c>
      <c r="P52" s="46">
        <f t="shared" si="2"/>
        <v>1.6577519708573853</v>
      </c>
      <c r="Q52" s="46"/>
      <c r="R52" s="18">
        <f t="shared" si="7"/>
        <v>1.0715264441992509</v>
      </c>
      <c r="S52" s="18">
        <f t="shared" si="8"/>
        <v>1.4371575135800567</v>
      </c>
      <c r="U52">
        <v>1.5969317026779783</v>
      </c>
      <c r="V52">
        <v>1.2699519827012127</v>
      </c>
      <c r="W52">
        <v>1.6428506284674627</v>
      </c>
      <c r="Y52">
        <f t="shared" si="3"/>
        <v>0.97204923868683069</v>
      </c>
      <c r="Z52">
        <f t="shared" si="5"/>
        <v>0.77301731557049136</v>
      </c>
      <c r="AB52" s="52">
        <f t="shared" si="9"/>
        <v>0.43575066875299262</v>
      </c>
      <c r="AC52">
        <f t="shared" si="10"/>
        <v>0.74558733755634454</v>
      </c>
      <c r="AE52">
        <f t="shared" si="11"/>
        <v>0.79524501929015723</v>
      </c>
      <c r="AF52" s="54">
        <f t="shared" si="12"/>
        <v>0.81251066175412578</v>
      </c>
      <c r="AG52" s="17">
        <f t="shared" si="13"/>
        <v>1.0897592016746447</v>
      </c>
      <c r="AH52">
        <f t="shared" si="17"/>
        <v>1.2035794598099785</v>
      </c>
      <c r="AI52">
        <f t="shared" si="18"/>
        <v>1.0068231724945449</v>
      </c>
      <c r="AJ52">
        <f t="shared" si="19"/>
        <v>1.2304746632211923</v>
      </c>
      <c r="AK52" s="18">
        <f t="shared" si="14"/>
        <v>1.2221358197115384</v>
      </c>
      <c r="AL52" s="18">
        <f t="shared" si="20"/>
        <v>0.97814241591874285</v>
      </c>
      <c r="AM52" s="18"/>
      <c r="AN52" s="18"/>
      <c r="AO52">
        <f t="shared" si="15"/>
        <v>0.8365240568773934</v>
      </c>
      <c r="AP52" s="17">
        <f t="shared" si="16"/>
        <v>1.1219665554126672</v>
      </c>
      <c r="BQ52" s="55">
        <f t="shared" si="6"/>
        <v>42.688657273964076</v>
      </c>
      <c r="BR52" s="18">
        <f t="shared" si="4"/>
        <v>5.3527536323138643</v>
      </c>
    </row>
    <row r="53" spans="1:70" x14ac:dyDescent="0.3">
      <c r="A53" s="5">
        <v>1998</v>
      </c>
      <c r="B53" s="3">
        <f t="shared" si="0"/>
        <v>7045863</v>
      </c>
      <c r="C53" s="3">
        <v>1933972</v>
      </c>
      <c r="D53" s="3">
        <v>5111891</v>
      </c>
      <c r="E53" s="2">
        <v>5.3395045373616599</v>
      </c>
      <c r="F53" s="2">
        <v>6.3979588823361402</v>
      </c>
      <c r="G53" s="2">
        <v>4.6022842852656201</v>
      </c>
      <c r="H53" s="2">
        <v>3.8551588155885699</v>
      </c>
      <c r="I53" s="2">
        <v>5.8019940600902</v>
      </c>
      <c r="J53" s="2">
        <v>9.0599978054274395</v>
      </c>
      <c r="K53" s="3">
        <v>2016953</v>
      </c>
      <c r="L53" s="23">
        <v>8.7163140311803993</v>
      </c>
      <c r="M53" s="23">
        <v>5.3358489837822098</v>
      </c>
      <c r="O53" s="45">
        <f t="shared" si="1"/>
        <v>0.72250148520056456</v>
      </c>
      <c r="P53" s="46">
        <f t="shared" si="2"/>
        <v>1.6979486925069309</v>
      </c>
      <c r="Q53" s="46"/>
      <c r="R53" s="18">
        <f t="shared" si="7"/>
        <v>1.0717266308602744</v>
      </c>
      <c r="S53" s="18">
        <f t="shared" si="8"/>
        <v>1.4720053204628034</v>
      </c>
      <c r="U53">
        <v>1.6121473569733598</v>
      </c>
      <c r="V53">
        <v>1.2688921744033097</v>
      </c>
      <c r="W53">
        <v>1.6738392211225741</v>
      </c>
      <c r="Y53">
        <f t="shared" si="3"/>
        <v>0.96314349468532579</v>
      </c>
      <c r="Z53">
        <f t="shared" si="5"/>
        <v>0.75807291309156721</v>
      </c>
      <c r="AB53" s="52">
        <f t="shared" si="9"/>
        <v>0.42551432112700033</v>
      </c>
      <c r="AC53">
        <f t="shared" si="10"/>
        <v>0.72807252525644406</v>
      </c>
      <c r="AE53">
        <f t="shared" si="11"/>
        <v>0.78708200519927884</v>
      </c>
      <c r="AF53" s="54">
        <f t="shared" si="12"/>
        <v>0.80417041966520564</v>
      </c>
      <c r="AG53" s="17">
        <f t="shared" si="13"/>
        <v>1.1045196622162856</v>
      </c>
      <c r="AH53">
        <f t="shared" si="17"/>
        <v>1.2167702350475433</v>
      </c>
      <c r="AI53">
        <f t="shared" si="18"/>
        <v>1.007225982320137</v>
      </c>
      <c r="AJ53">
        <f t="shared" si="19"/>
        <v>1.2455783995679945</v>
      </c>
      <c r="AK53" s="18">
        <f t="shared" si="14"/>
        <v>1.2366424431375516</v>
      </c>
      <c r="AL53" s="18">
        <f t="shared" si="20"/>
        <v>0.97687165695034306</v>
      </c>
      <c r="AM53" s="18"/>
      <c r="AN53" s="18"/>
      <c r="AO53">
        <f t="shared" si="15"/>
        <v>0.82778650669473464</v>
      </c>
      <c r="AP53" s="17">
        <f t="shared" si="16"/>
        <v>1.1369561107983974</v>
      </c>
      <c r="BQ53" s="55">
        <f t="shared" si="6"/>
        <v>46.508935365600571</v>
      </c>
      <c r="BR53" s="18">
        <f t="shared" si="4"/>
        <v>5.3358489837822125</v>
      </c>
    </row>
    <row r="54" spans="1:70" x14ac:dyDescent="0.3">
      <c r="A54" s="5">
        <v>1999</v>
      </c>
      <c r="B54" s="3">
        <f t="shared" si="0"/>
        <v>7436451</v>
      </c>
      <c r="C54" s="3">
        <v>2008392</v>
      </c>
      <c r="D54" s="3">
        <v>5428059</v>
      </c>
      <c r="E54" s="2">
        <v>5.5413807125321597</v>
      </c>
      <c r="F54" s="2">
        <v>6.5066265405565504</v>
      </c>
      <c r="G54" s="2">
        <v>4.79092741468593</v>
      </c>
      <c r="H54" s="2">
        <v>3.8458684520974198</v>
      </c>
      <c r="I54" s="2">
        <v>6.0206728561205596</v>
      </c>
      <c r="J54" s="2">
        <v>9.27093032821249</v>
      </c>
      <c r="K54" s="3">
        <v>2194721</v>
      </c>
      <c r="L54" s="23">
        <v>9.4419543429844097</v>
      </c>
      <c r="M54" s="23">
        <v>5.3599167356289801</v>
      </c>
      <c r="O54" s="45">
        <f t="shared" si="1"/>
        <v>0.71752391721549968</v>
      </c>
      <c r="P54" s="46">
        <f t="shared" si="2"/>
        <v>1.7296780501431721</v>
      </c>
      <c r="Q54" s="46"/>
      <c r="R54" s="18">
        <f t="shared" si="7"/>
        <v>1.06434312746854</v>
      </c>
      <c r="S54" s="18">
        <f t="shared" si="8"/>
        <v>1.4995125021942226</v>
      </c>
      <c r="U54">
        <v>1.6591448720685078</v>
      </c>
      <c r="V54">
        <v>1.2724927142725269</v>
      </c>
      <c r="W54">
        <v>1.7083186712916045</v>
      </c>
      <c r="Y54">
        <f t="shared" si="3"/>
        <v>0.97121508998908379</v>
      </c>
      <c r="Z54">
        <f t="shared" si="5"/>
        <v>0.74488017701664311</v>
      </c>
      <c r="AB54" s="52">
        <f t="shared" si="9"/>
        <v>0.41483090865153055</v>
      </c>
      <c r="AC54">
        <f t="shared" si="10"/>
        <v>0.70979276658987278</v>
      </c>
      <c r="AE54">
        <f t="shared" si="11"/>
        <v>0.76695696421378234</v>
      </c>
      <c r="AF54" s="54">
        <f t="shared" si="12"/>
        <v>0.783608441944741</v>
      </c>
      <c r="AG54" s="17">
        <f t="shared" si="13"/>
        <v>1.1039960941128044</v>
      </c>
      <c r="AH54">
        <f t="shared" si="17"/>
        <v>1.2301055761880486</v>
      </c>
      <c r="AI54">
        <f t="shared" si="18"/>
        <v>1.0076289533018885</v>
      </c>
      <c r="AJ54">
        <f t="shared" si="19"/>
        <v>1.2608675301032775</v>
      </c>
      <c r="AK54" s="18">
        <f t="shared" si="14"/>
        <v>1.2513212586553355</v>
      </c>
      <c r="AL54" s="18">
        <f t="shared" si="20"/>
        <v>0.97560254889527598</v>
      </c>
      <c r="AM54" s="18"/>
      <c r="AN54" s="18"/>
      <c r="AO54">
        <f t="shared" si="15"/>
        <v>0.81914022081292504</v>
      </c>
      <c r="AP54" s="17">
        <f t="shared" si="16"/>
        <v>1.1540554643130572</v>
      </c>
      <c r="BQ54" s="55">
        <f t="shared" si="6"/>
        <v>50.608089100006914</v>
      </c>
      <c r="BR54" s="18">
        <f t="shared" si="4"/>
        <v>5.3599167356289845</v>
      </c>
    </row>
    <row r="55" spans="1:70" x14ac:dyDescent="0.3">
      <c r="A55" s="5">
        <v>2000</v>
      </c>
      <c r="B55" s="3">
        <f t="shared" si="0"/>
        <v>7878238</v>
      </c>
      <c r="C55" s="3">
        <v>2051597</v>
      </c>
      <c r="D55" s="3">
        <v>5826641</v>
      </c>
      <c r="E55" s="2">
        <v>5.7295739255163403</v>
      </c>
      <c r="F55" s="2">
        <v>6.6667614858112403</v>
      </c>
      <c r="G55" s="2">
        <v>4.9114044664428098</v>
      </c>
      <c r="H55" s="2">
        <v>3.8322328374691801</v>
      </c>
      <c r="I55" s="2">
        <v>6.2493666729610098</v>
      </c>
      <c r="J55" s="2">
        <v>9.5875146575990495</v>
      </c>
      <c r="K55" s="3">
        <v>2372714</v>
      </c>
      <c r="L55" s="23">
        <v>10.045935412026701</v>
      </c>
      <c r="M55" s="23">
        <v>5.4462256492026899</v>
      </c>
      <c r="O55" s="45">
        <f t="shared" si="1"/>
        <v>0.70364929481579719</v>
      </c>
      <c r="P55" s="46">
        <f t="shared" si="2"/>
        <v>1.7603961486617123</v>
      </c>
      <c r="Q55" s="46"/>
      <c r="R55" s="18">
        <f t="shared" si="7"/>
        <v>1.0437621285038614</v>
      </c>
      <c r="S55" s="18">
        <f t="shared" si="8"/>
        <v>1.5261429914742204</v>
      </c>
      <c r="U55">
        <v>1.7187993679832165</v>
      </c>
      <c r="V55">
        <v>1.2659825494811239</v>
      </c>
      <c r="W55">
        <v>1.7285746554404666</v>
      </c>
      <c r="Y55">
        <f t="shared" si="3"/>
        <v>0.99434488558160705</v>
      </c>
      <c r="Z55">
        <f t="shared" si="5"/>
        <v>0.73238523166853475</v>
      </c>
      <c r="AB55" s="52">
        <f t="shared" si="9"/>
        <v>0.39971076700589531</v>
      </c>
      <c r="AC55">
        <f t="shared" si="10"/>
        <v>0.68392158161772909</v>
      </c>
      <c r="AE55">
        <f t="shared" si="11"/>
        <v>0.73655050907226394</v>
      </c>
      <c r="AF55" s="54">
        <f t="shared" si="12"/>
        <v>0.75254182927901858</v>
      </c>
      <c r="AG55" s="17">
        <f t="shared" si="13"/>
        <v>1.1003335024155505</v>
      </c>
      <c r="AH55">
        <f t="shared" si="17"/>
        <v>1.2435870676190619</v>
      </c>
      <c r="AI55">
        <f t="shared" si="18"/>
        <v>1.0080320855042748</v>
      </c>
      <c r="AJ55">
        <f t="shared" si="19"/>
        <v>1.2763443304894553</v>
      </c>
      <c r="AK55" s="18">
        <f t="shared" si="14"/>
        <v>1.2661743101668788</v>
      </c>
      <c r="AL55" s="18">
        <f t="shared" si="20"/>
        <v>0.97433508960874882</v>
      </c>
      <c r="AM55" s="18"/>
      <c r="AN55" s="18"/>
      <c r="AO55">
        <f t="shared" si="15"/>
        <v>0.8105842459701883</v>
      </c>
      <c r="AP55" s="17">
        <f t="shared" si="16"/>
        <v>1.1852005664930982</v>
      </c>
      <c r="BQ55" s="55">
        <f t="shared" si="6"/>
        <v>54.712431111213597</v>
      </c>
      <c r="BR55" s="18">
        <f t="shared" si="4"/>
        <v>5.4462256492027086</v>
      </c>
    </row>
    <row r="56" spans="1:70" x14ac:dyDescent="0.3">
      <c r="A56" s="5">
        <v>2001</v>
      </c>
      <c r="B56" s="3">
        <f t="shared" si="0"/>
        <v>8196921</v>
      </c>
      <c r="C56" s="3">
        <v>2050689</v>
      </c>
      <c r="D56" s="3">
        <v>6146232</v>
      </c>
      <c r="E56" s="2">
        <v>5.8079289549560098</v>
      </c>
      <c r="F56" s="2">
        <v>6.8428583450324396</v>
      </c>
      <c r="G56" s="2">
        <v>5.0670473131402503</v>
      </c>
      <c r="H56" s="2">
        <v>3.7128754063976701</v>
      </c>
      <c r="I56" s="2">
        <v>6.3892758325500303</v>
      </c>
      <c r="J56" s="2">
        <v>9.8919314786116193</v>
      </c>
      <c r="K56" s="3">
        <v>2385009</v>
      </c>
      <c r="L56" s="23">
        <v>10.0034799554565</v>
      </c>
      <c r="M56" s="23">
        <v>5.4976809929621799</v>
      </c>
      <c r="O56" s="45">
        <f t="shared" si="1"/>
        <v>0.67535300996014191</v>
      </c>
      <c r="P56" s="46">
        <f t="shared" si="2"/>
        <v>1.799291645199987</v>
      </c>
      <c r="Q56" s="46"/>
      <c r="R56" s="18">
        <f t="shared" si="7"/>
        <v>1.0017886756385075</v>
      </c>
      <c r="S56" s="18">
        <f t="shared" si="8"/>
        <v>1.5598627252323998</v>
      </c>
      <c r="U56">
        <v>1.6694877314800012</v>
      </c>
      <c r="V56">
        <v>1.264424919847527</v>
      </c>
      <c r="W56">
        <v>1.7397676545511394</v>
      </c>
      <c r="Y56">
        <f t="shared" si="3"/>
        <v>0.95960384544034394</v>
      </c>
      <c r="Z56">
        <f t="shared" si="5"/>
        <v>0.72677803644633743</v>
      </c>
      <c r="AB56" s="52">
        <f t="shared" si="9"/>
        <v>0.37534382586713899</v>
      </c>
      <c r="AC56">
        <f t="shared" si="10"/>
        <v>0.6422287419485927</v>
      </c>
      <c r="AE56">
        <f t="shared" si="11"/>
        <v>0.75737299292796478</v>
      </c>
      <c r="AF56" s="54">
        <f t="shared" si="12"/>
        <v>0.77381639212011843</v>
      </c>
      <c r="AG56" s="17">
        <f t="shared" si="13"/>
        <v>1.2048921849437544</v>
      </c>
      <c r="AH56">
        <f t="shared" si="17"/>
        <v>1.2572163110924388</v>
      </c>
      <c r="AI56">
        <f t="shared" si="18"/>
        <v>1.0084353789917968</v>
      </c>
      <c r="AJ56">
        <f t="shared" si="19"/>
        <v>1.2920111043220694</v>
      </c>
      <c r="AK56" s="18">
        <f t="shared" si="14"/>
        <v>1.2812036658350712</v>
      </c>
      <c r="AL56" s="18">
        <f t="shared" si="20"/>
        <v>0.97306927694875522</v>
      </c>
      <c r="AM56" s="18"/>
      <c r="AN56" s="18"/>
      <c r="AO56">
        <f t="shared" si="15"/>
        <v>0.80211763886163101</v>
      </c>
      <c r="AP56" s="17">
        <f t="shared" si="16"/>
        <v>1.2489594228186016</v>
      </c>
      <c r="BQ56" s="55">
        <f t="shared" si="6"/>
        <v>54.995941614591743</v>
      </c>
      <c r="BR56" s="18">
        <f t="shared" si="4"/>
        <v>5.497680992962219</v>
      </c>
    </row>
    <row r="57" spans="1:70" x14ac:dyDescent="0.3">
      <c r="A57" s="5">
        <v>2002</v>
      </c>
      <c r="B57" s="3">
        <f t="shared" si="0"/>
        <v>8574990</v>
      </c>
      <c r="C57" s="3">
        <v>2126510</v>
      </c>
      <c r="D57" s="3">
        <v>6448480</v>
      </c>
      <c r="E57" s="2">
        <v>5.9636878182947202</v>
      </c>
      <c r="F57" s="2">
        <v>6.9715094232518</v>
      </c>
      <c r="G57" s="2">
        <v>5.1375630589329297</v>
      </c>
      <c r="H57" s="2">
        <v>3.7973077643316402</v>
      </c>
      <c r="I57" s="2">
        <v>6.5339044530930002</v>
      </c>
      <c r="J57" s="2">
        <v>10.1486521074303</v>
      </c>
      <c r="K57" s="3">
        <v>2354119</v>
      </c>
      <c r="L57" s="23">
        <v>9.8337973273941994</v>
      </c>
      <c r="M57" s="23">
        <v>5.5201105992094304</v>
      </c>
      <c r="O57" s="45">
        <f t="shared" si="1"/>
        <v>0.68790429033713141</v>
      </c>
      <c r="P57" s="46">
        <f t="shared" si="2"/>
        <v>1.838487096415016</v>
      </c>
      <c r="Q57" s="46"/>
      <c r="R57" s="18">
        <f t="shared" si="7"/>
        <v>1.0204066877906617</v>
      </c>
      <c r="S57" s="18">
        <f t="shared" si="8"/>
        <v>1.5938424991684885</v>
      </c>
      <c r="U57">
        <v>1.7131385201246963</v>
      </c>
      <c r="V57">
        <v>1.2729926197229378</v>
      </c>
      <c r="W57">
        <v>1.7736177072199617</v>
      </c>
      <c r="Y57">
        <f t="shared" si="3"/>
        <v>0.96590066345804426</v>
      </c>
      <c r="Z57">
        <f t="shared" si="5"/>
        <v>0.71773788372821135</v>
      </c>
      <c r="AB57" s="52">
        <f t="shared" si="9"/>
        <v>0.37416868014930327</v>
      </c>
      <c r="AC57">
        <f t="shared" si="10"/>
        <v>0.64021801923528221</v>
      </c>
      <c r="AE57">
        <f t="shared" si="11"/>
        <v>0.74307629229554584</v>
      </c>
      <c r="AF57" s="54">
        <f t="shared" si="12"/>
        <v>0.75920929442069984</v>
      </c>
      <c r="AG57" s="17">
        <f t="shared" si="13"/>
        <v>1.1858605531402389</v>
      </c>
      <c r="AH57">
        <f t="shared" si="17"/>
        <v>1.2709949259146285</v>
      </c>
      <c r="AI57">
        <f t="shared" si="18"/>
        <v>1.0088388338289818</v>
      </c>
      <c r="AJ57">
        <f t="shared" si="19"/>
        <v>1.3078701834726603</v>
      </c>
      <c r="AK57" s="18">
        <f t="shared" si="14"/>
        <v>1.2964114183716784</v>
      </c>
      <c r="AL57" s="18">
        <f t="shared" si="20"/>
        <v>0.97180510877607096</v>
      </c>
      <c r="AM57" s="18"/>
      <c r="AN57" s="18"/>
      <c r="AO57">
        <f t="shared" si="15"/>
        <v>0.79373946603524403</v>
      </c>
      <c r="AP57" s="17">
        <f t="shared" si="16"/>
        <v>1.2397955730507833</v>
      </c>
      <c r="BQ57" s="55">
        <f t="shared" si="6"/>
        <v>54.283648857426151</v>
      </c>
      <c r="BR57" s="18">
        <f t="shared" si="4"/>
        <v>5.5201105992094366</v>
      </c>
    </row>
    <row r="58" spans="1:70" x14ac:dyDescent="0.3">
      <c r="A58" s="5">
        <v>2003</v>
      </c>
      <c r="B58" s="3">
        <f t="shared" si="0"/>
        <v>8979266</v>
      </c>
      <c r="C58" s="3">
        <v>2171530</v>
      </c>
      <c r="D58" s="3">
        <v>6807736</v>
      </c>
      <c r="E58" s="2">
        <v>6.1069650858365199</v>
      </c>
      <c r="F58" s="2">
        <v>7.1289176328933399</v>
      </c>
      <c r="G58" s="2">
        <v>5.3186619579099403</v>
      </c>
      <c r="H58" s="2">
        <v>3.7456653939793298</v>
      </c>
      <c r="I58" s="2">
        <v>6.6697229533172697</v>
      </c>
      <c r="J58" s="2">
        <v>10.495876178022099</v>
      </c>
      <c r="K58" s="3">
        <v>2477183</v>
      </c>
      <c r="L58" s="23">
        <v>10.250417594654699</v>
      </c>
      <c r="M58" s="23">
        <v>5.5725907838044</v>
      </c>
      <c r="O58" s="45">
        <f t="shared" si="1"/>
        <v>0.67215870306955672</v>
      </c>
      <c r="P58" s="46">
        <f t="shared" si="2"/>
        <v>1.8834823128456204</v>
      </c>
      <c r="Q58" s="46"/>
      <c r="R58" s="18">
        <f t="shared" si="7"/>
        <v>0.99705038259426515</v>
      </c>
      <c r="S58" s="18">
        <f t="shared" si="8"/>
        <v>1.6328502726504042</v>
      </c>
      <c r="U58">
        <v>1.7946854356355924</v>
      </c>
      <c r="V58">
        <v>1.2824996986868225</v>
      </c>
      <c r="W58">
        <v>1.8215049782454418</v>
      </c>
      <c r="Y58">
        <f t="shared" si="3"/>
        <v>0.98527616288170494</v>
      </c>
      <c r="Z58">
        <f t="shared" si="5"/>
        <v>0.70408794595894308</v>
      </c>
      <c r="AB58" s="52">
        <f t="shared" si="9"/>
        <v>0.35687019648941626</v>
      </c>
      <c r="AC58">
        <f t="shared" si="10"/>
        <v>0.61061960137709159</v>
      </c>
      <c r="AE58">
        <f t="shared" si="11"/>
        <v>0.71460974342426864</v>
      </c>
      <c r="AF58" s="54">
        <f t="shared" si="12"/>
        <v>0.73012470552015818</v>
      </c>
      <c r="AG58" s="17">
        <f t="shared" si="13"/>
        <v>1.1957112150896472</v>
      </c>
      <c r="AH58">
        <f t="shared" si="17"/>
        <v>1.2849245491390662</v>
      </c>
      <c r="AI58">
        <f t="shared" si="18"/>
        <v>1.0092424500803823</v>
      </c>
      <c r="AJ58">
        <f t="shared" si="19"/>
        <v>1.3239239284358462</v>
      </c>
      <c r="AK58" s="18">
        <f t="shared" si="14"/>
        <v>1.3117996853287341</v>
      </c>
      <c r="AL58" s="18">
        <f t="shared" si="20"/>
        <v>0.97054258295425178</v>
      </c>
      <c r="AM58" s="18"/>
      <c r="AN58" s="18"/>
      <c r="AO58">
        <f t="shared" si="15"/>
        <v>0.7854488037889864</v>
      </c>
      <c r="AP58" s="17">
        <f t="shared" si="16"/>
        <v>1.2863144288483592</v>
      </c>
      <c r="BQ58" s="55">
        <f t="shared" si="6"/>
        <v>57.121382618119767</v>
      </c>
      <c r="BR58" s="18">
        <f t="shared" si="4"/>
        <v>5.5725907838044515</v>
      </c>
    </row>
    <row r="59" spans="1:70" x14ac:dyDescent="0.3">
      <c r="A59" s="5">
        <v>2004</v>
      </c>
      <c r="B59" s="3">
        <f t="shared" si="0"/>
        <v>9513808</v>
      </c>
      <c r="C59" s="3">
        <v>2280444</v>
      </c>
      <c r="D59" s="3">
        <v>7233364</v>
      </c>
      <c r="E59" s="2">
        <v>6.30576401686585</v>
      </c>
      <c r="F59" s="2">
        <v>7.3151758640728701</v>
      </c>
      <c r="G59" s="2">
        <v>5.4619896692629402</v>
      </c>
      <c r="H59" s="2">
        <v>3.8303112931746899</v>
      </c>
      <c r="I59" s="2">
        <v>6.8538526577201599</v>
      </c>
      <c r="J59" s="2">
        <v>10.8524887421092</v>
      </c>
      <c r="K59" s="3">
        <v>2703389</v>
      </c>
      <c r="L59" s="23">
        <v>10.864699331848501</v>
      </c>
      <c r="M59" s="23">
        <v>5.7376156189952496</v>
      </c>
      <c r="O59" s="45">
        <f t="shared" si="1"/>
        <v>0.66757892956332965</v>
      </c>
      <c r="P59" s="46">
        <f t="shared" si="2"/>
        <v>1.8914631900715664</v>
      </c>
      <c r="Q59" s="46"/>
      <c r="R59" s="18">
        <f t="shared" si="7"/>
        <v>0.99025694987409651</v>
      </c>
      <c r="S59" s="18">
        <f t="shared" si="8"/>
        <v>1.6397691470489042</v>
      </c>
      <c r="U59">
        <v>1.8671998117343687</v>
      </c>
      <c r="V59">
        <v>1.2927234259291263</v>
      </c>
      <c r="W59">
        <v>1.8484753570307095</v>
      </c>
      <c r="Y59">
        <f t="shared" si="3"/>
        <v>1.0101296750494619</v>
      </c>
      <c r="Z59">
        <f t="shared" si="5"/>
        <v>0.69934577218583371</v>
      </c>
      <c r="AB59" s="52">
        <f t="shared" si="9"/>
        <v>0.35294312523103916</v>
      </c>
      <c r="AC59">
        <f t="shared" si="10"/>
        <v>0.60390022074525784</v>
      </c>
      <c r="AE59">
        <f t="shared" si="11"/>
        <v>0.69233266724055953</v>
      </c>
      <c r="AF59" s="54">
        <f t="shared" si="12"/>
        <v>0.70736396955462</v>
      </c>
      <c r="AG59" s="17">
        <f t="shared" si="13"/>
        <v>1.1713258999668525</v>
      </c>
      <c r="AH59">
        <f t="shared" si="17"/>
        <v>1.299006835760673</v>
      </c>
      <c r="AI59">
        <f t="shared" si="18"/>
        <v>1.0096462278105769</v>
      </c>
      <c r="AJ59">
        <f t="shared" si="19"/>
        <v>1.3401747286806645</v>
      </c>
      <c r="AK59" s="18">
        <f t="shared" si="14"/>
        <v>1.3273706093933915</v>
      </c>
      <c r="AL59" s="18">
        <f t="shared" si="20"/>
        <v>0.96928169734962899</v>
      </c>
      <c r="AM59" s="18"/>
      <c r="AN59" s="18"/>
      <c r="AO59">
        <f t="shared" si="15"/>
        <v>0.77724473806894778</v>
      </c>
      <c r="AP59" s="17">
        <f t="shared" si="16"/>
        <v>1.2870416525262565</v>
      </c>
      <c r="BQ59" s="55">
        <f t="shared" si="6"/>
        <v>62.3374685821016</v>
      </c>
      <c r="BR59" s="18">
        <f t="shared" si="4"/>
        <v>5.7376156189952852</v>
      </c>
    </row>
    <row r="60" spans="1:70" x14ac:dyDescent="0.3">
      <c r="A60" s="5">
        <v>2005</v>
      </c>
      <c r="B60" s="3">
        <f t="shared" si="0"/>
        <v>10048703</v>
      </c>
      <c r="C60" s="3">
        <v>2337029</v>
      </c>
      <c r="D60" s="3">
        <v>7711674</v>
      </c>
      <c r="E60" s="2">
        <v>6.4789023704356801</v>
      </c>
      <c r="F60" s="2">
        <v>7.5199813995276301</v>
      </c>
      <c r="G60" s="2">
        <v>5.6495654486636404</v>
      </c>
      <c r="H60" s="2">
        <v>3.7950245595795602</v>
      </c>
      <c r="I60" s="2">
        <v>7.0376126116328601</v>
      </c>
      <c r="J60" s="2">
        <v>11.268006590813901</v>
      </c>
      <c r="K60" s="3">
        <v>2990493</v>
      </c>
      <c r="L60" s="23">
        <v>11.5231069042316</v>
      </c>
      <c r="M60" s="23">
        <v>5.9843063670644199</v>
      </c>
      <c r="O60" s="45">
        <f t="shared" si="1"/>
        <v>0.63416281299802435</v>
      </c>
      <c r="P60" s="46">
        <f t="shared" si="2"/>
        <v>1.8829260902866143</v>
      </c>
      <c r="Q60" s="46"/>
      <c r="R60" s="18">
        <f t="shared" si="7"/>
        <v>0.94068896592313311</v>
      </c>
      <c r="S60" s="18">
        <f t="shared" si="8"/>
        <v>1.6323680657557955</v>
      </c>
      <c r="U60">
        <v>1.852890085339016</v>
      </c>
      <c r="V60">
        <v>1.3103217988547473</v>
      </c>
      <c r="W60">
        <v>1.8493169670000826</v>
      </c>
      <c r="Y60">
        <f t="shared" si="3"/>
        <v>1.0019321286738259</v>
      </c>
      <c r="Z60">
        <f t="shared" si="5"/>
        <v>0.70854365273051045</v>
      </c>
      <c r="AB60" s="52">
        <f t="shared" si="9"/>
        <v>0.33679644478317983</v>
      </c>
      <c r="AC60">
        <f t="shared" si="10"/>
        <v>0.57627258561174366</v>
      </c>
      <c r="AE60">
        <f t="shared" si="11"/>
        <v>0.70717729520097405</v>
      </c>
      <c r="AF60" s="54">
        <f t="shared" si="12"/>
        <v>0.72253089068589138</v>
      </c>
      <c r="AG60" s="17">
        <f t="shared" si="13"/>
        <v>1.2538005602312088</v>
      </c>
      <c r="AH60">
        <f t="shared" si="17"/>
        <v>1.3132434589124877</v>
      </c>
      <c r="AI60">
        <f t="shared" si="18"/>
        <v>1.0100501670841702</v>
      </c>
      <c r="AJ60">
        <f t="shared" si="19"/>
        <v>1.3566250030062248</v>
      </c>
      <c r="AK60" s="18">
        <f t="shared" si="14"/>
        <v>1.3431263586862747</v>
      </c>
      <c r="AL60" s="18">
        <f t="shared" si="20"/>
        <v>0.96802244983130536</v>
      </c>
      <c r="AM60" s="18"/>
      <c r="AN60" s="18"/>
      <c r="AO60">
        <f t="shared" si="15"/>
        <v>0.76912636436857229</v>
      </c>
      <c r="AP60" s="17">
        <f t="shared" si="16"/>
        <v>1.334657215303942</v>
      </c>
      <c r="BQ60" s="55">
        <f t="shared" si="6"/>
        <v>68.957802015357302</v>
      </c>
      <c r="BR60" s="18">
        <f t="shared" si="4"/>
        <v>5.9843063670644341</v>
      </c>
    </row>
    <row r="61" spans="1:70" x14ac:dyDescent="0.3">
      <c r="A61" s="5">
        <v>2006</v>
      </c>
      <c r="B61" s="3">
        <f t="shared" si="0"/>
        <v>10632724</v>
      </c>
      <c r="C61" s="3">
        <v>2451088</v>
      </c>
      <c r="D61" s="3">
        <v>8181636</v>
      </c>
      <c r="E61" s="2">
        <v>6.6614410821893904</v>
      </c>
      <c r="F61" s="2">
        <v>7.7389945175201698</v>
      </c>
      <c r="G61" s="2">
        <v>5.9017547099352203</v>
      </c>
      <c r="H61" s="2">
        <v>3.81016060103771</v>
      </c>
      <c r="I61" s="2">
        <v>7.1913546446820398</v>
      </c>
      <c r="J61" s="2">
        <v>11.699121051148801</v>
      </c>
      <c r="K61" s="3">
        <v>3182858</v>
      </c>
      <c r="L61" s="23">
        <v>11.831291759465399</v>
      </c>
      <c r="M61" s="23">
        <v>6.2033419158008298</v>
      </c>
      <c r="O61" s="45">
        <f t="shared" si="1"/>
        <v>0.61421096124536789</v>
      </c>
      <c r="P61" s="46">
        <f t="shared" si="2"/>
        <v>1.8859384521993554</v>
      </c>
      <c r="Q61" s="46"/>
      <c r="R61" s="18">
        <f t="shared" si="7"/>
        <v>0.9110932747082392</v>
      </c>
      <c r="S61" s="18">
        <f t="shared" si="8"/>
        <v>1.634979577388793</v>
      </c>
      <c r="U61">
        <v>1.8758940441800505</v>
      </c>
      <c r="V61">
        <v>1.3008631415934628</v>
      </c>
      <c r="W61">
        <v>1.8335496523126125</v>
      </c>
      <c r="Y61">
        <f t="shared" si="3"/>
        <v>1.0230942160819207</v>
      </c>
      <c r="Z61">
        <f t="shared" si="5"/>
        <v>0.70947800074719281</v>
      </c>
      <c r="AB61" s="52">
        <f t="shared" si="9"/>
        <v>0.32567921849680914</v>
      </c>
      <c r="AC61">
        <f t="shared" si="10"/>
        <v>0.55725055365115672</v>
      </c>
      <c r="AE61">
        <f t="shared" si="11"/>
        <v>0.69346301601062299</v>
      </c>
      <c r="AF61" s="54">
        <f t="shared" si="12"/>
        <v>0.70851885943748527</v>
      </c>
      <c r="AG61" s="17">
        <f t="shared" si="13"/>
        <v>1.271454742925251</v>
      </c>
      <c r="AH61">
        <f t="shared" si="17"/>
        <v>1.327636110064454</v>
      </c>
      <c r="AI61">
        <f t="shared" si="18"/>
        <v>1.0104542679657922</v>
      </c>
      <c r="AJ61">
        <f t="shared" si="19"/>
        <v>1.3732771999017268</v>
      </c>
      <c r="AK61" s="18">
        <f t="shared" si="14"/>
        <v>1.359069127063371</v>
      </c>
      <c r="AL61" s="18">
        <f t="shared" si="20"/>
        <v>0.96676483827115245</v>
      </c>
      <c r="AM61" s="18"/>
      <c r="AN61" s="18"/>
      <c r="AO61">
        <f t="shared" si="15"/>
        <v>0.76109278762893595</v>
      </c>
      <c r="AP61" s="17">
        <f t="shared" si="16"/>
        <v>1.3657999667154859</v>
      </c>
      <c r="BQ61" s="55">
        <f t="shared" si="6"/>
        <v>73.393548089561193</v>
      </c>
      <c r="BR61" s="18">
        <f t="shared" si="4"/>
        <v>6.2033419158008751</v>
      </c>
    </row>
    <row r="62" spans="1:70" x14ac:dyDescent="0.3">
      <c r="A62" s="5">
        <v>2007</v>
      </c>
      <c r="B62" s="3">
        <f t="shared" si="0"/>
        <v>11243144</v>
      </c>
      <c r="C62" s="3">
        <v>2557995</v>
      </c>
      <c r="D62" s="3">
        <v>8685149</v>
      </c>
      <c r="E62" s="2">
        <v>6.8462264189505504</v>
      </c>
      <c r="F62" s="2">
        <v>7.9624123276675602</v>
      </c>
      <c r="G62" s="2">
        <v>6.2180636441105603</v>
      </c>
      <c r="H62" s="2">
        <v>3.77407096245827</v>
      </c>
      <c r="I62" s="2">
        <v>7.3696002793752502</v>
      </c>
      <c r="J62" s="2">
        <v>12.118730516559101</v>
      </c>
      <c r="K62" s="3">
        <v>3231084</v>
      </c>
      <c r="L62" s="23">
        <v>11.762806236080101</v>
      </c>
      <c r="M62" s="23">
        <v>6.3339980540450096</v>
      </c>
      <c r="O62" s="45">
        <f t="shared" si="1"/>
        <v>0.59584340415893844</v>
      </c>
      <c r="P62" s="46">
        <f t="shared" si="2"/>
        <v>1.91328295543442</v>
      </c>
      <c r="Q62" s="46"/>
      <c r="R62" s="18">
        <f t="shared" si="7"/>
        <v>0.88384765587340963</v>
      </c>
      <c r="S62" s="18">
        <f t="shared" si="8"/>
        <v>1.658685390423696</v>
      </c>
      <c r="U62">
        <v>1.8832783956123547</v>
      </c>
      <c r="V62">
        <v>1.2910930062302641</v>
      </c>
      <c r="W62">
        <v>1.8430852381279481</v>
      </c>
      <c r="Y62">
        <f t="shared" si="3"/>
        <v>1.0218075413187246</v>
      </c>
      <c r="Z62">
        <f t="shared" si="5"/>
        <v>0.70050640063812153</v>
      </c>
      <c r="AB62" s="52">
        <f t="shared" si="9"/>
        <v>0.31142461310624564</v>
      </c>
      <c r="AC62">
        <f t="shared" si="10"/>
        <v>0.53286033685245082</v>
      </c>
      <c r="AE62">
        <f t="shared" si="11"/>
        <v>0.68555610749756435</v>
      </c>
      <c r="AF62" s="54">
        <f t="shared" si="12"/>
        <v>0.70044028325965635</v>
      </c>
      <c r="AG62" s="17">
        <f t="shared" si="13"/>
        <v>1.3144913119206476</v>
      </c>
      <c r="AH62">
        <f t="shared" si="17"/>
        <v>1.3421864992243855</v>
      </c>
      <c r="AI62">
        <f t="shared" si="18"/>
        <v>1.0108585305200992</v>
      </c>
      <c r="AJ62">
        <f t="shared" si="19"/>
        <v>1.3901337979108985</v>
      </c>
      <c r="AK62" s="18">
        <f t="shared" si="14"/>
        <v>1.3752011344215076</v>
      </c>
      <c r="AL62" s="18">
        <f t="shared" si="20"/>
        <v>0.96550886054380625</v>
      </c>
      <c r="AM62" s="18"/>
      <c r="AN62" s="18"/>
      <c r="AO62">
        <f t="shared" si="15"/>
        <v>0.75314312214006618</v>
      </c>
      <c r="AP62" s="17">
        <f t="shared" si="16"/>
        <v>1.4133968510187909</v>
      </c>
      <c r="BQ62" s="55">
        <f t="shared" si="6"/>
        <v>74.505591809440361</v>
      </c>
      <c r="BR62" s="18">
        <f t="shared" si="4"/>
        <v>6.3339980540450522</v>
      </c>
    </row>
    <row r="63" spans="1:70" x14ac:dyDescent="0.3">
      <c r="A63" s="5">
        <v>2008</v>
      </c>
      <c r="B63" s="3">
        <f t="shared" si="0"/>
        <v>11633412</v>
      </c>
      <c r="C63" s="3">
        <v>2476327</v>
      </c>
      <c r="D63" s="3">
        <v>9157085</v>
      </c>
      <c r="E63" s="2">
        <v>6.9386578436599304</v>
      </c>
      <c r="F63" s="2">
        <v>8.1290498200644095</v>
      </c>
      <c r="G63" s="2">
        <v>6.3078096170672397</v>
      </c>
      <c r="H63" s="2">
        <v>3.6015956190998399</v>
      </c>
      <c r="I63" s="2">
        <v>7.5249786753834904</v>
      </c>
      <c r="J63" s="2">
        <v>12.513412450409399</v>
      </c>
      <c r="K63" s="3">
        <v>3136450</v>
      </c>
      <c r="L63" s="23">
        <v>11.268095768374099</v>
      </c>
      <c r="M63" s="23">
        <v>6.4184248281964997</v>
      </c>
      <c r="O63" s="45">
        <f t="shared" si="1"/>
        <v>0.5611338787170691</v>
      </c>
      <c r="P63" s="46">
        <f t="shared" si="2"/>
        <v>1.9496080090300782</v>
      </c>
      <c r="Q63" s="46"/>
      <c r="R63" s="18">
        <f t="shared" si="7"/>
        <v>0.83236108661016828</v>
      </c>
      <c r="S63" s="18">
        <f t="shared" si="8"/>
        <v>1.6901767260540788</v>
      </c>
      <c r="U63">
        <v>1.8226161653853967</v>
      </c>
      <c r="V63">
        <v>1.2788137081860154</v>
      </c>
      <c r="W63">
        <v>1.8376151511131944</v>
      </c>
      <c r="Y63">
        <f t="shared" si="3"/>
        <v>0.99183779818167506</v>
      </c>
      <c r="Z63">
        <f t="shared" si="5"/>
        <v>0.69590942772284659</v>
      </c>
      <c r="AB63" s="52">
        <f t="shared" si="9"/>
        <v>0.28781882107482254</v>
      </c>
      <c r="AC63">
        <f t="shared" si="10"/>
        <v>0.49246985464852278</v>
      </c>
      <c r="AE63">
        <f t="shared" si="11"/>
        <v>0.70163632501065132</v>
      </c>
      <c r="AF63" s="54">
        <f t="shared" si="12"/>
        <v>0.71686961994933573</v>
      </c>
      <c r="AG63" s="17">
        <f t="shared" si="13"/>
        <v>1.4556619317561432</v>
      </c>
      <c r="AH63">
        <f t="shared" si="17"/>
        <v>1.3568963551411342</v>
      </c>
      <c r="AI63">
        <f t="shared" si="18"/>
        <v>1.0112629548117733</v>
      </c>
      <c r="AJ63">
        <f t="shared" si="19"/>
        <v>1.4071973060009069</v>
      </c>
      <c r="AK63" s="18">
        <f t="shared" si="14"/>
        <v>1.3915246270074522</v>
      </c>
      <c r="AL63" s="18">
        <f t="shared" si="20"/>
        <v>0.96425451452666422</v>
      </c>
      <c r="AM63" s="18"/>
      <c r="AN63" s="18"/>
      <c r="AO63">
        <f t="shared" si="15"/>
        <v>0.74527649144329033</v>
      </c>
      <c r="AP63" s="17">
        <f t="shared" si="16"/>
        <v>1.5133443893234773</v>
      </c>
      <c r="BQ63" s="55">
        <f t="shared" si="6"/>
        <v>72.323425646228699</v>
      </c>
      <c r="BR63" s="18">
        <f t="shared" si="4"/>
        <v>6.4184248281965415</v>
      </c>
    </row>
    <row r="64" spans="1:70" x14ac:dyDescent="0.3">
      <c r="A64" s="5">
        <v>2009</v>
      </c>
      <c r="B64" s="3">
        <f t="shared" si="0"/>
        <v>11754721</v>
      </c>
      <c r="C64" s="3">
        <v>2498526</v>
      </c>
      <c r="D64" s="3">
        <v>9256195</v>
      </c>
      <c r="E64" s="2">
        <v>6.9443181554822102</v>
      </c>
      <c r="F64" s="2">
        <v>8.2071229192923507</v>
      </c>
      <c r="G64" s="2">
        <v>6.4570343120936204</v>
      </c>
      <c r="H64" s="2">
        <v>3.5499015784460801</v>
      </c>
      <c r="I64" s="2">
        <v>7.5805000834471699</v>
      </c>
      <c r="J64" s="2">
        <v>12.5562058177089</v>
      </c>
      <c r="K64" s="3">
        <v>2723344</v>
      </c>
      <c r="L64" s="23">
        <v>9.8570434298440901</v>
      </c>
      <c r="M64" s="23">
        <v>6.3708364007648699</v>
      </c>
      <c r="O64" s="45">
        <f t="shared" si="1"/>
        <v>0.55721122865749406</v>
      </c>
      <c r="P64" s="46">
        <f t="shared" si="2"/>
        <v>1.9708881264321003</v>
      </c>
      <c r="Q64" s="46"/>
      <c r="R64" s="18">
        <f t="shared" si="7"/>
        <v>0.82654240164064852</v>
      </c>
      <c r="S64" s="18">
        <f t="shared" si="8"/>
        <v>1.7086251315766277</v>
      </c>
      <c r="U64">
        <v>1.8305868604300122</v>
      </c>
      <c r="V64">
        <v>1.2685214393898894</v>
      </c>
      <c r="W64">
        <v>1.8524389159947183</v>
      </c>
      <c r="Y64">
        <f t="shared" si="3"/>
        <v>0.98820362961713526</v>
      </c>
      <c r="Z64">
        <f t="shared" si="5"/>
        <v>0.68478449056373969</v>
      </c>
      <c r="AB64" s="52">
        <f t="shared" si="9"/>
        <v>0.28272088160894948</v>
      </c>
      <c r="AC64">
        <f t="shared" si="10"/>
        <v>0.48374707029970904</v>
      </c>
      <c r="AE64">
        <f t="shared" si="11"/>
        <v>0.69295889029374358</v>
      </c>
      <c r="AF64" s="54">
        <f t="shared" si="12"/>
        <v>0.70800378859781554</v>
      </c>
      <c r="AG64" s="17">
        <f t="shared" si="13"/>
        <v>1.4635825869894501</v>
      </c>
      <c r="AH64">
        <f t="shared" si="17"/>
        <v>1.3717674255099852</v>
      </c>
      <c r="AI64">
        <f t="shared" si="18"/>
        <v>1.0116675409055225</v>
      </c>
      <c r="AJ64">
        <f t="shared" si="19"/>
        <v>1.4244702639357973</v>
      </c>
      <c r="AK64" s="18">
        <f t="shared" si="14"/>
        <v>1.408041877730686</v>
      </c>
      <c r="AL64" s="18">
        <f t="shared" si="20"/>
        <v>0.96300179809988118</v>
      </c>
      <c r="AM64" s="18"/>
      <c r="AN64" s="18"/>
      <c r="AO64">
        <f t="shared" si="15"/>
        <v>0.7374920282346058</v>
      </c>
      <c r="AP64" s="17">
        <f t="shared" si="16"/>
        <v>1.5245405574811797</v>
      </c>
      <c r="BQ64" s="55">
        <f t="shared" si="6"/>
        <v>62.797611086771049</v>
      </c>
      <c r="BR64" s="18">
        <f t="shared" si="4"/>
        <v>6.3708364007648814</v>
      </c>
    </row>
    <row r="65" spans="1:70" x14ac:dyDescent="0.3">
      <c r="A65" s="5">
        <v>2010</v>
      </c>
      <c r="B65" s="3">
        <f t="shared" si="0"/>
        <v>12292911</v>
      </c>
      <c r="C65" s="3">
        <v>2697618</v>
      </c>
      <c r="D65" s="3">
        <v>9595293</v>
      </c>
      <c r="E65" s="2">
        <v>7.1384419589309003</v>
      </c>
      <c r="F65" s="2">
        <v>8.3494811472092199</v>
      </c>
      <c r="G65" s="2">
        <v>6.4642783599050198</v>
      </c>
      <c r="H65" s="2">
        <v>3.8284760517802501</v>
      </c>
      <c r="I65" s="2">
        <v>7.6815057580833903</v>
      </c>
      <c r="J65" s="2">
        <v>12.845046117044101</v>
      </c>
      <c r="K65" s="3">
        <v>2756059</v>
      </c>
      <c r="L65" s="23">
        <v>10.0796213808463</v>
      </c>
      <c r="M65" s="23">
        <v>6.3049973934837604</v>
      </c>
      <c r="O65" s="45">
        <f t="shared" si="1"/>
        <v>0.60721294757980315</v>
      </c>
      <c r="P65" s="46">
        <f t="shared" si="2"/>
        <v>2.0372801629259207</v>
      </c>
      <c r="Q65" s="46"/>
      <c r="R65" s="18">
        <f t="shared" si="7"/>
        <v>0.90071273188288026</v>
      </c>
      <c r="S65" s="18">
        <f t="shared" si="8"/>
        <v>1.766182483802019</v>
      </c>
      <c r="U65">
        <v>1.8903021236011681</v>
      </c>
      <c r="V65">
        <v>1.2921042755549561</v>
      </c>
      <c r="W65">
        <v>1.9431137220755132</v>
      </c>
      <c r="Y65">
        <f t="shared" si="3"/>
        <v>0.97282114892486315</v>
      </c>
      <c r="Z65">
        <f t="shared" si="5"/>
        <v>0.66496585396700847</v>
      </c>
      <c r="AB65" s="52">
        <f t="shared" si="9"/>
        <v>0.29805078291624365</v>
      </c>
      <c r="AC65">
        <f t="shared" si="10"/>
        <v>0.50997716269042437</v>
      </c>
      <c r="AE65">
        <f t="shared" si="11"/>
        <v>0.68354378880630995</v>
      </c>
      <c r="AF65" s="54">
        <f t="shared" si="12"/>
        <v>0.69838427492030108</v>
      </c>
      <c r="AG65" s="17">
        <f t="shared" si="13"/>
        <v>1.3694422535235113</v>
      </c>
      <c r="AH65">
        <f t="shared" si="17"/>
        <v>1.3868014771803021</v>
      </c>
      <c r="AI65">
        <f t="shared" si="18"/>
        <v>1.0120722888660802</v>
      </c>
      <c r="AJ65">
        <f t="shared" si="19"/>
        <v>1.4419552426545168</v>
      </c>
      <c r="AK65" s="18">
        <f t="shared" si="14"/>
        <v>1.4247551864798855</v>
      </c>
      <c r="AL65" s="18">
        <f t="shared" si="20"/>
        <v>0.96175070914636618</v>
      </c>
      <c r="AM65" s="18"/>
      <c r="AN65" s="18"/>
      <c r="AO65">
        <f t="shared" si="15"/>
        <v>0.72978887426905859</v>
      </c>
      <c r="AP65" s="17">
        <f t="shared" si="16"/>
        <v>1.4310226568166315</v>
      </c>
      <c r="BQ65" s="55">
        <f t="shared" si="6"/>
        <v>63.551986533539328</v>
      </c>
      <c r="BR65" s="18">
        <f t="shared" si="4"/>
        <v>6.3049973934837826</v>
      </c>
    </row>
    <row r="66" spans="1:70" x14ac:dyDescent="0.3">
      <c r="A66" s="5">
        <v>2011</v>
      </c>
      <c r="B66" s="3">
        <f t="shared" si="0"/>
        <v>12676813</v>
      </c>
      <c r="C66" s="3">
        <v>2801707</v>
      </c>
      <c r="D66" s="3">
        <v>9875106</v>
      </c>
      <c r="E66" s="2">
        <v>7.2012897754124303</v>
      </c>
      <c r="F66" s="2">
        <v>8.5350868635962591</v>
      </c>
      <c r="G66" s="2">
        <v>6.6104866668410702</v>
      </c>
      <c r="H66" s="2">
        <v>3.88825567932725</v>
      </c>
      <c r="I66" s="2">
        <v>7.72589641175907</v>
      </c>
      <c r="J66" s="2">
        <v>13.143670787031301</v>
      </c>
      <c r="K66" s="3">
        <v>2922919</v>
      </c>
      <c r="L66" s="23">
        <v>10.545935412026701</v>
      </c>
      <c r="M66" s="23">
        <v>6.3910511467576496</v>
      </c>
      <c r="O66" s="45">
        <f t="shared" si="1"/>
        <v>0.6083906371645712</v>
      </c>
      <c r="P66" s="46">
        <f t="shared" si="2"/>
        <v>2.0565741824331094</v>
      </c>
      <c r="Q66" s="46"/>
      <c r="R66" s="18">
        <f t="shared" si="7"/>
        <v>0.90245966433455871</v>
      </c>
      <c r="S66" s="18">
        <f t="shared" si="8"/>
        <v>1.7829090783646395</v>
      </c>
      <c r="U66">
        <v>1.8744390397414965</v>
      </c>
      <c r="V66">
        <v>1.293913790996124</v>
      </c>
      <c r="W66">
        <v>1.9544416935018152</v>
      </c>
      <c r="Y66">
        <f t="shared" si="3"/>
        <v>0.95906623665146229</v>
      </c>
      <c r="Z66">
        <f t="shared" si="5"/>
        <v>0.66203755031330247</v>
      </c>
      <c r="AB66" s="52">
        <f t="shared" si="9"/>
        <v>0.29582722683253332</v>
      </c>
      <c r="AC66">
        <f t="shared" si="10"/>
        <v>0.50617256666971111</v>
      </c>
      <c r="AE66">
        <f t="shared" si="11"/>
        <v>0.69029387649468044</v>
      </c>
      <c r="AF66" s="54">
        <f t="shared" si="12"/>
        <v>0.70528091442327057</v>
      </c>
      <c r="AG66" s="17">
        <f t="shared" si="13"/>
        <v>1.3933606063709931</v>
      </c>
      <c r="AH66">
        <f t="shared" si="17"/>
        <v>1.4020002963654488</v>
      </c>
      <c r="AI66">
        <f t="shared" si="18"/>
        <v>1.0124771987582064</v>
      </c>
      <c r="AJ66">
        <f t="shared" si="19"/>
        <v>1.4596548446535773</v>
      </c>
      <c r="AK66" s="18">
        <f t="shared" si="14"/>
        <v>1.4416668804431645</v>
      </c>
      <c r="AL66" s="18">
        <f t="shared" si="20"/>
        <v>0.96050124555177852</v>
      </c>
      <c r="AM66" s="18"/>
      <c r="AN66" s="18"/>
      <c r="AO66">
        <f t="shared" si="15"/>
        <v>0.72216618026612145</v>
      </c>
      <c r="AP66" s="17">
        <f t="shared" si="16"/>
        <v>1.4267193202853898</v>
      </c>
      <c r="BQ66" s="55">
        <f t="shared" si="6"/>
        <v>67.399612608665578</v>
      </c>
      <c r="BR66" s="18">
        <f t="shared" si="4"/>
        <v>6.3910511467576709</v>
      </c>
    </row>
    <row r="67" spans="1:70" x14ac:dyDescent="0.3">
      <c r="A67" s="5">
        <v>2012</v>
      </c>
      <c r="B67" s="3">
        <f t="shared" ref="B67:B72" si="21">C67+D67</f>
        <v>13082397</v>
      </c>
      <c r="C67" s="3">
        <v>2945283</v>
      </c>
      <c r="D67" s="3">
        <v>10137114</v>
      </c>
      <c r="E67" s="2">
        <v>7.2896291330792096</v>
      </c>
      <c r="F67" s="2">
        <v>8.7014181405279594</v>
      </c>
      <c r="G67" s="2">
        <v>6.7875734081331203</v>
      </c>
      <c r="H67" s="2">
        <v>3.9808702670815199</v>
      </c>
      <c r="I67" s="2">
        <v>7.7688873975099204</v>
      </c>
      <c r="J67" s="2">
        <v>13.417737497815301</v>
      </c>
      <c r="K67" s="3">
        <v>3171573</v>
      </c>
      <c r="L67" s="23">
        <v>11.2747772828507</v>
      </c>
      <c r="M67" s="23">
        <v>6.4864542642010399</v>
      </c>
      <c r="O67" s="45">
        <f t="shared" ref="O67:O78" si="22">H67/M67</f>
        <v>0.61372054822803224</v>
      </c>
      <c r="P67" s="46">
        <f t="shared" ref="P67:P78" si="23">J67/M67</f>
        <v>2.0685781401201342</v>
      </c>
      <c r="Q67" s="46"/>
      <c r="R67" s="18">
        <f t="shared" si="7"/>
        <v>0.91036581780805959</v>
      </c>
      <c r="S67" s="18">
        <f t="shared" si="8"/>
        <v>1.7933156882109136</v>
      </c>
      <c r="U67">
        <v>1.8601741789695789</v>
      </c>
      <c r="V67">
        <v>1.3021545543301662</v>
      </c>
      <c r="W67">
        <v>1.9730624350567294</v>
      </c>
      <c r="Y67">
        <f t="shared" ref="Y67:Y77" si="24">U67/W67</f>
        <v>0.94278525905648558</v>
      </c>
      <c r="Z67">
        <f t="shared" ref="Z67:Z78" si="25">V67/W67</f>
        <v>0.65996621860206206</v>
      </c>
      <c r="AB67" s="52">
        <f t="shared" si="9"/>
        <v>0.2966871477199261</v>
      </c>
      <c r="AC67">
        <f t="shared" si="10"/>
        <v>0.50764392671782088</v>
      </c>
      <c r="AE67">
        <f t="shared" si="11"/>
        <v>0.7000175408581788</v>
      </c>
      <c r="AF67" s="54">
        <f t="shared" si="12"/>
        <v>0.71521569021565867</v>
      </c>
      <c r="AG67" s="17">
        <f t="shared" si="13"/>
        <v>1.4088924393125237</v>
      </c>
      <c r="AH67">
        <f t="shared" si="17"/>
        <v>1.4173656888550115</v>
      </c>
      <c r="AI67">
        <f t="shared" si="18"/>
        <v>1.0128822706466865</v>
      </c>
      <c r="AJ67">
        <f t="shared" si="19"/>
        <v>1.4775717043744159</v>
      </c>
      <c r="AK67" s="18">
        <f t="shared" si="14"/>
        <v>1.4587793144321137</v>
      </c>
      <c r="AL67" s="18">
        <f t="shared" si="20"/>
        <v>0.95925340520452451</v>
      </c>
      <c r="AM67" s="18"/>
      <c r="AN67" s="18"/>
      <c r="AO67">
        <f t="shared" si="15"/>
        <v>0.71462310581605915</v>
      </c>
      <c r="AP67" s="17">
        <f t="shared" si="16"/>
        <v>1.4077251163753008</v>
      </c>
      <c r="BQ67" s="55">
        <f t="shared" ref="BQ67:BQ78" si="26">K67/$K$2</f>
        <v>73.13332718426453</v>
      </c>
      <c r="BR67" s="18">
        <f t="shared" ref="BR67:BR78" si="27">BQ67/L67</f>
        <v>6.4864542642010932</v>
      </c>
    </row>
    <row r="68" spans="1:70" x14ac:dyDescent="0.3">
      <c r="A68" s="5">
        <v>2013</v>
      </c>
      <c r="B68" s="3">
        <f t="shared" si="21"/>
        <v>13546002</v>
      </c>
      <c r="C68" s="3">
        <v>3117635</v>
      </c>
      <c r="D68" s="3">
        <v>10428367</v>
      </c>
      <c r="E68" s="2">
        <v>7.4094573383953799</v>
      </c>
      <c r="F68" s="2">
        <v>8.8640633240466595</v>
      </c>
      <c r="G68" s="2">
        <v>7.07880883661604</v>
      </c>
      <c r="H68" s="2">
        <v>4.0404581933029897</v>
      </c>
      <c r="I68" s="2">
        <v>7.8103493792437098</v>
      </c>
      <c r="J68" s="2">
        <v>13.729971399896201</v>
      </c>
      <c r="K68" s="3">
        <v>3334682</v>
      </c>
      <c r="L68" s="23">
        <v>11.7345489977728</v>
      </c>
      <c r="M68" s="23">
        <v>6.5528260979583903</v>
      </c>
      <c r="O68" s="45">
        <f t="shared" si="22"/>
        <v>0.61659780572566114</v>
      </c>
      <c r="P68" s="46">
        <f t="shared" si="23"/>
        <v>2.0952748012302562</v>
      </c>
      <c r="Q68" s="46"/>
      <c r="R68" s="18">
        <f t="shared" si="7"/>
        <v>0.91463381385680853</v>
      </c>
      <c r="S68" s="18">
        <f t="shared" si="8"/>
        <v>1.8164598664573548</v>
      </c>
      <c r="U68">
        <v>1.8780215572015073</v>
      </c>
      <c r="V68">
        <v>1.2976159826695428</v>
      </c>
      <c r="W68">
        <v>1.9917511479535741</v>
      </c>
      <c r="Y68">
        <f t="shared" si="24"/>
        <v>0.94289969865516665</v>
      </c>
      <c r="Z68">
        <f t="shared" si="25"/>
        <v>0.65149503440868062</v>
      </c>
      <c r="AB68" s="52">
        <f t="shared" si="9"/>
        <v>0.29428016094290882</v>
      </c>
      <c r="AC68">
        <f t="shared" si="10"/>
        <v>0.50352547322755914</v>
      </c>
      <c r="AE68">
        <f t="shared" si="11"/>
        <v>0.69094839603606939</v>
      </c>
      <c r="AF68" s="54">
        <f t="shared" si="12"/>
        <v>0.70594964430249652</v>
      </c>
      <c r="AG68" s="17">
        <f t="shared" si="13"/>
        <v>1.4020137646213093</v>
      </c>
      <c r="AH68">
        <f t="shared" si="17"/>
        <v>1.4328994802293464</v>
      </c>
      <c r="AI68">
        <f t="shared" si="18"/>
        <v>1.0132875045963321</v>
      </c>
      <c r="AJ68">
        <f t="shared" si="19"/>
        <v>1.4957084885955103</v>
      </c>
      <c r="AK68" s="18">
        <f t="shared" si="14"/>
        <v>1.4760948712096893</v>
      </c>
      <c r="AL68" s="18">
        <f t="shared" si="20"/>
        <v>0.95800718599575352</v>
      </c>
      <c r="AM68" s="18"/>
      <c r="AN68" s="18"/>
      <c r="AO68">
        <f t="shared" si="15"/>
        <v>0.7071588192872732</v>
      </c>
      <c r="AP68" s="17">
        <f t="shared" si="16"/>
        <v>1.40441518232323</v>
      </c>
      <c r="BQ68" s="55">
        <f t="shared" si="26"/>
        <v>76.894458920377247</v>
      </c>
      <c r="BR68" s="18">
        <f t="shared" si="27"/>
        <v>6.5528260979584045</v>
      </c>
    </row>
    <row r="69" spans="1:70" x14ac:dyDescent="0.3">
      <c r="A69" s="5">
        <v>2014</v>
      </c>
      <c r="B69" s="3">
        <f t="shared" si="21"/>
        <v>14012618</v>
      </c>
      <c r="C69" s="3">
        <v>3199010</v>
      </c>
      <c r="D69" s="3">
        <v>10813608</v>
      </c>
      <c r="E69" s="2">
        <v>7.5350749175695002</v>
      </c>
      <c r="F69" s="2">
        <v>9.01653945844539</v>
      </c>
      <c r="G69" s="2">
        <v>7.3270206911504001</v>
      </c>
      <c r="H69" s="2">
        <v>4.0054721195362104</v>
      </c>
      <c r="I69" s="2">
        <v>7.9175979071036897</v>
      </c>
      <c r="J69" s="2">
        <v>14.0443281097737</v>
      </c>
      <c r="K69" s="3">
        <v>3595519</v>
      </c>
      <c r="L69" s="23">
        <v>12.4259465478841</v>
      </c>
      <c r="M69" s="23">
        <v>6.6722564008273002</v>
      </c>
      <c r="O69" s="45">
        <f t="shared" si="22"/>
        <v>0.60031747566528881</v>
      </c>
      <c r="P69" s="46">
        <f t="shared" si="23"/>
        <v>2.1048843548686662</v>
      </c>
      <c r="Q69" s="46"/>
      <c r="R69" s="18">
        <f t="shared" si="7"/>
        <v>0.89048429493913805</v>
      </c>
      <c r="S69" s="18">
        <f t="shared" si="8"/>
        <v>1.8247906918500392</v>
      </c>
      <c r="U69">
        <v>1.8702505485525316</v>
      </c>
      <c r="V69">
        <v>1.3076297194393662</v>
      </c>
      <c r="W69">
        <v>2.0072171679931232</v>
      </c>
      <c r="Y69">
        <f t="shared" si="24"/>
        <v>0.93176292948035366</v>
      </c>
      <c r="Z69">
        <f t="shared" si="25"/>
        <v>0.65146399716517678</v>
      </c>
      <c r="AB69" s="52">
        <f t="shared" si="9"/>
        <v>0.28520211776800702</v>
      </c>
      <c r="AC69">
        <f t="shared" si="10"/>
        <v>0.48799256754007914</v>
      </c>
      <c r="AE69">
        <f t="shared" si="11"/>
        <v>0.69917355214861332</v>
      </c>
      <c r="AF69" s="54">
        <f t="shared" si="12"/>
        <v>0.71435337758459794</v>
      </c>
      <c r="AG69" s="17">
        <f t="shared" si="13"/>
        <v>1.4638611837585573</v>
      </c>
      <c r="AH69">
        <f t="shared" si="17"/>
        <v>1.4486035160764794</v>
      </c>
      <c r="AI69">
        <f t="shared" si="18"/>
        <v>1.0136929006719806</v>
      </c>
      <c r="AJ69">
        <f t="shared" si="19"/>
        <v>1.5140678968293064</v>
      </c>
      <c r="AK69" s="18">
        <f t="shared" si="14"/>
        <v>1.4936159618219931</v>
      </c>
      <c r="AL69" s="18">
        <f t="shared" si="20"/>
        <v>0.95676258581935492</v>
      </c>
      <c r="AM69" s="18"/>
      <c r="AN69" s="18"/>
      <c r="AO69">
        <f t="shared" si="15"/>
        <v>0.69977249773461303</v>
      </c>
      <c r="AP69" s="17">
        <f t="shared" si="16"/>
        <v>1.4339818765316343</v>
      </c>
      <c r="BQ69" s="55">
        <f t="shared" si="26"/>
        <v>82.909101390458176</v>
      </c>
      <c r="BR69" s="18">
        <f t="shared" si="27"/>
        <v>6.6722564008273482</v>
      </c>
    </row>
    <row r="70" spans="1:70" x14ac:dyDescent="0.3">
      <c r="A70" s="5">
        <v>2015</v>
      </c>
      <c r="B70" s="3">
        <f t="shared" si="21"/>
        <v>14517229</v>
      </c>
      <c r="C70" s="3">
        <v>3302348</v>
      </c>
      <c r="D70" s="3">
        <v>11214881</v>
      </c>
      <c r="E70" s="2">
        <v>7.7288517599831001</v>
      </c>
      <c r="F70" s="2">
        <v>9.1070327526228194</v>
      </c>
      <c r="G70" s="2">
        <v>7.4523986705335101</v>
      </c>
      <c r="H70" s="2">
        <v>4.0652971060369101</v>
      </c>
      <c r="I70" s="2">
        <v>8.1034405302801193</v>
      </c>
      <c r="J70" s="2">
        <v>14.2314453005669</v>
      </c>
      <c r="K70" s="3">
        <v>3777790</v>
      </c>
      <c r="L70" s="23">
        <v>12.9728563474387</v>
      </c>
      <c r="M70" s="23">
        <v>6.7149506249711797</v>
      </c>
      <c r="O70" s="45">
        <f t="shared" si="22"/>
        <v>0.6054098284683006</v>
      </c>
      <c r="P70" s="46">
        <f t="shared" si="23"/>
        <v>2.1193670803242846</v>
      </c>
      <c r="Q70" s="46"/>
      <c r="R70" s="18">
        <f t="shared" si="7"/>
        <v>0.89803806503444605</v>
      </c>
      <c r="S70" s="18">
        <f t="shared" si="8"/>
        <v>1.8373462237218512</v>
      </c>
      <c r="U70">
        <v>1.8997660703050783</v>
      </c>
      <c r="V70">
        <v>1.311208080796745</v>
      </c>
      <c r="W70">
        <v>2.0253169381745719</v>
      </c>
      <c r="Y70">
        <f t="shared" si="24"/>
        <v>0.93800927375709742</v>
      </c>
      <c r="Z70">
        <f t="shared" si="25"/>
        <v>0.64740883566526786</v>
      </c>
      <c r="AB70" s="52">
        <f t="shared" si="9"/>
        <v>0.28565595553917295</v>
      </c>
      <c r="AC70">
        <f t="shared" si="10"/>
        <v>0.48876910265465384</v>
      </c>
      <c r="AE70">
        <f t="shared" si="11"/>
        <v>0.69019449357055918</v>
      </c>
      <c r="AF70" s="54">
        <f t="shared" si="12"/>
        <v>0.70517937378675466</v>
      </c>
      <c r="AG70" s="17">
        <f t="shared" si="13"/>
        <v>1.4427658580640854</v>
      </c>
      <c r="AH70">
        <f t="shared" si="17"/>
        <v>1.4644796622113827</v>
      </c>
      <c r="AI70">
        <f t="shared" si="18"/>
        <v>1.0140984589384954</v>
      </c>
      <c r="AJ70">
        <f t="shared" si="19"/>
        <v>1.5326526617240197</v>
      </c>
      <c r="AK70" s="18">
        <f t="shared" si="14"/>
        <v>1.5113450259339902</v>
      </c>
      <c r="AL70" s="18">
        <f t="shared" si="20"/>
        <v>0.95551960257195401</v>
      </c>
      <c r="AM70" s="18"/>
      <c r="AN70" s="18"/>
      <c r="AO70">
        <f t="shared" si="15"/>
        <v>0.69246332680864542</v>
      </c>
      <c r="AP70" s="17">
        <f t="shared" si="16"/>
        <v>1.4167493874871921</v>
      </c>
      <c r="BQ70" s="55">
        <f t="shared" si="26"/>
        <v>87.112089837895169</v>
      </c>
      <c r="BR70" s="18">
        <f t="shared" si="27"/>
        <v>6.7149506249712054</v>
      </c>
    </row>
    <row r="71" spans="1:70" x14ac:dyDescent="0.3">
      <c r="A71" s="5">
        <v>2016</v>
      </c>
      <c r="B71" s="3">
        <f t="shared" si="21"/>
        <v>14916019</v>
      </c>
      <c r="C71" s="3">
        <v>3300996</v>
      </c>
      <c r="D71" s="3">
        <v>11615023</v>
      </c>
      <c r="E71" s="2">
        <v>7.8478089956131099</v>
      </c>
      <c r="F71" s="2">
        <v>9.2153673472697797</v>
      </c>
      <c r="G71" s="2">
        <v>7.7546027060119602</v>
      </c>
      <c r="H71" s="2">
        <v>3.9052692258155499</v>
      </c>
      <c r="I71" s="2">
        <v>8.2408880104655804</v>
      </c>
      <c r="J71" s="2">
        <v>14.4933856796781</v>
      </c>
      <c r="K71" s="3">
        <v>3888894</v>
      </c>
      <c r="L71" s="23">
        <v>13.3493875278396</v>
      </c>
      <c r="M71" s="23">
        <v>6.7174645784968998</v>
      </c>
      <c r="O71" s="45">
        <f t="shared" si="22"/>
        <v>0.58136059821090913</v>
      </c>
      <c r="P71" s="46">
        <f t="shared" si="23"/>
        <v>2.1575678606586921</v>
      </c>
      <c r="Q71" s="46"/>
      <c r="R71" s="18">
        <f t="shared" si="7"/>
        <v>0.86236450443078549</v>
      </c>
      <c r="S71" s="18">
        <f t="shared" si="8"/>
        <v>1.8704636860728812</v>
      </c>
      <c r="U71">
        <v>1.8963353613936631</v>
      </c>
      <c r="V71">
        <v>1.3063654518699797</v>
      </c>
      <c r="W71">
        <v>2.0411966939684234</v>
      </c>
      <c r="Y71">
        <f t="shared" si="24"/>
        <v>0.92903117421127801</v>
      </c>
      <c r="Z71">
        <f t="shared" si="25"/>
        <v>0.63999978822726267</v>
      </c>
      <c r="AB71" s="52">
        <f t="shared" si="9"/>
        <v>0.26945182527581002</v>
      </c>
      <c r="AC71">
        <f t="shared" si="10"/>
        <v>0.46104316852114713</v>
      </c>
      <c r="AE71">
        <f t="shared" si="11"/>
        <v>0.6888894646302961</v>
      </c>
      <c r="AF71" s="54">
        <f t="shared" si="12"/>
        <v>0.70384601123541435</v>
      </c>
      <c r="AG71" s="17">
        <f t="shared" si="13"/>
        <v>1.5266379794609848</v>
      </c>
      <c r="AH71">
        <f t="shared" si="17"/>
        <v>1.4805298048976538</v>
      </c>
      <c r="AI71">
        <f t="shared" si="18"/>
        <v>1.0145041794607657</v>
      </c>
      <c r="AJ71">
        <f t="shared" si="19"/>
        <v>1.5514655494703666</v>
      </c>
      <c r="AK71" s="18">
        <f t="shared" si="14"/>
        <v>1.5292845321692115</v>
      </c>
      <c r="AL71" s="18">
        <f t="shared" si="20"/>
        <v>0.9542782341529088</v>
      </c>
      <c r="AM71" s="18"/>
      <c r="AN71" s="18"/>
      <c r="AO71">
        <f t="shared" si="15"/>
        <v>0.68523050066587232</v>
      </c>
      <c r="AP71" s="17">
        <f t="shared" si="16"/>
        <v>1.4862610433288357</v>
      </c>
      <c r="BQ71" s="55">
        <f t="shared" si="26"/>
        <v>89.67403786289114</v>
      </c>
      <c r="BR71" s="18">
        <f t="shared" si="27"/>
        <v>6.7174645784969247</v>
      </c>
    </row>
    <row r="72" spans="1:70" x14ac:dyDescent="0.3">
      <c r="A72" s="5">
        <v>2017</v>
      </c>
      <c r="B72" s="3">
        <f t="shared" si="21"/>
        <v>15495685</v>
      </c>
      <c r="C72" s="3">
        <v>3421645</v>
      </c>
      <c r="D72" s="3">
        <v>12074040</v>
      </c>
      <c r="E72" s="2">
        <v>8.0036300861938301</v>
      </c>
      <c r="F72" s="2">
        <v>9.38711027391264</v>
      </c>
      <c r="G72" s="2">
        <v>8.0577045287048499</v>
      </c>
      <c r="H72" s="2">
        <v>3.8957326425688401</v>
      </c>
      <c r="I72" s="2">
        <v>8.3613863086732394</v>
      </c>
      <c r="J72" s="2">
        <v>14.849030825097399</v>
      </c>
      <c r="K72" s="3">
        <v>4116417</v>
      </c>
      <c r="L72" s="23">
        <v>13.9198218262806</v>
      </c>
      <c r="M72" s="23">
        <v>6.8190881841031201</v>
      </c>
      <c r="O72" s="45">
        <f t="shared" si="22"/>
        <v>0.57129817614775813</v>
      </c>
      <c r="P72" s="46">
        <f t="shared" si="23"/>
        <v>2.1775683821942562</v>
      </c>
      <c r="Q72" s="46"/>
      <c r="R72" s="18">
        <f t="shared" si="7"/>
        <v>0.84743835421942471</v>
      </c>
      <c r="S72" s="18">
        <f t="shared" si="8"/>
        <v>1.8878027695459592</v>
      </c>
      <c r="U72">
        <v>1.9202045706999824</v>
      </c>
      <c r="V72">
        <v>1.3143507547871935</v>
      </c>
      <c r="W72">
        <v>2.0620976460985578</v>
      </c>
      <c r="Y72">
        <f t="shared" si="24"/>
        <v>0.93118993386805227</v>
      </c>
      <c r="Z72">
        <f t="shared" si="25"/>
        <v>0.63738531357810113</v>
      </c>
      <c r="AB72" s="52">
        <f t="shared" si="9"/>
        <v>0.2623560209723847</v>
      </c>
      <c r="AC72">
        <f t="shared" si="10"/>
        <v>0.4489019551672998</v>
      </c>
      <c r="AE72">
        <f t="shared" si="11"/>
        <v>0.68448475482383953</v>
      </c>
      <c r="AF72" s="54">
        <f t="shared" si="12"/>
        <v>0.69934567034315265</v>
      </c>
      <c r="AG72" s="17">
        <f t="shared" si="13"/>
        <v>1.557902928006887</v>
      </c>
      <c r="AH72">
        <f t="shared" si="17"/>
        <v>1.4967558510716257</v>
      </c>
      <c r="AI72">
        <f t="shared" si="18"/>
        <v>1.0149100623037068</v>
      </c>
      <c r="AJ72">
        <f t="shared" si="19"/>
        <v>1.5705093602132905</v>
      </c>
      <c r="AK72" s="18">
        <f t="shared" si="14"/>
        <v>1.5474369784534892</v>
      </c>
      <c r="AL72" s="18">
        <f t="shared" si="20"/>
        <v>0.95303847846430645</v>
      </c>
      <c r="AM72" s="18"/>
      <c r="AN72" s="18"/>
      <c r="AO72">
        <f t="shared" si="15"/>
        <v>0.67807322187988517</v>
      </c>
      <c r="AP72" s="17">
        <f t="shared" si="16"/>
        <v>1.5105151895076427</v>
      </c>
      <c r="BQ72" s="55">
        <f t="shared" si="26"/>
        <v>94.920492540410905</v>
      </c>
      <c r="BR72" s="18">
        <f t="shared" si="27"/>
        <v>6.8190881841031308</v>
      </c>
    </row>
    <row r="73" spans="1:70" x14ac:dyDescent="0.3">
      <c r="A73" s="20">
        <v>2018</v>
      </c>
      <c r="B73" s="3">
        <f>C73+D73</f>
        <v>16257505</v>
      </c>
      <c r="C73" s="3">
        <v>3580860</v>
      </c>
      <c r="D73" s="3">
        <v>12676645</v>
      </c>
      <c r="E73">
        <v>8.1974869910334398</v>
      </c>
      <c r="F73">
        <v>9.6157089279924506</v>
      </c>
      <c r="G73">
        <v>8.3194605736699501</v>
      </c>
      <c r="H73">
        <v>3.9487324373999502</v>
      </c>
      <c r="I73">
        <v>8.5289051457716791</v>
      </c>
      <c r="J73">
        <v>15.2839226616235</v>
      </c>
      <c r="K73" s="3">
        <v>4399011</v>
      </c>
      <c r="L73" s="23">
        <v>14.619292873051201</v>
      </c>
      <c r="M73" s="23">
        <v>6.93855925374924</v>
      </c>
      <c r="O73" s="45">
        <f t="shared" si="22"/>
        <v>0.56909976451757738</v>
      </c>
      <c r="P73" s="46">
        <f t="shared" si="23"/>
        <v>2.2027516235974862</v>
      </c>
      <c r="Q73" s="46"/>
      <c r="R73" s="18">
        <f t="shared" si="7"/>
        <v>0.84417732799606182</v>
      </c>
      <c r="S73" s="18">
        <f t="shared" si="8"/>
        <v>1.9096349164745698</v>
      </c>
      <c r="U73">
        <v>1.9416589676097435</v>
      </c>
      <c r="V73">
        <v>1.3200489774365141</v>
      </c>
      <c r="W73">
        <v>2.0886816997750528</v>
      </c>
      <c r="Y73">
        <f t="shared" si="24"/>
        <v>0.92960979541251143</v>
      </c>
      <c r="Z73">
        <f t="shared" si="25"/>
        <v>0.63200102609156816</v>
      </c>
      <c r="AB73" s="52">
        <f t="shared" si="9"/>
        <v>0.25835857226069636</v>
      </c>
      <c r="AC73">
        <f t="shared" si="10"/>
        <v>0.44206215581485125</v>
      </c>
      <c r="AE73">
        <f t="shared" si="11"/>
        <v>0.67985624636315245</v>
      </c>
      <c r="AF73" s="54">
        <f t="shared" si="12"/>
        <v>0.6946166718821698</v>
      </c>
      <c r="AG73" s="17">
        <f t="shared" si="13"/>
        <v>1.5713099679428244</v>
      </c>
      <c r="AH73">
        <f t="shared" si="17"/>
        <v>1.5131597285689311</v>
      </c>
      <c r="AI73">
        <f t="shared" si="18"/>
        <v>1.0153161075322601</v>
      </c>
      <c r="AJ73">
        <f t="shared" si="19"/>
        <v>1.5897869284687391</v>
      </c>
      <c r="AK73" s="18">
        <f t="shared" si="14"/>
        <v>1.5658048923627721</v>
      </c>
      <c r="AL73" s="18">
        <f t="shared" si="20"/>
        <v>0.95180033341095949</v>
      </c>
      <c r="AM73" s="18"/>
      <c r="AN73" s="18"/>
      <c r="AO73">
        <f t="shared" si="15"/>
        <v>0.67099070135344796</v>
      </c>
      <c r="AP73" s="17">
        <f t="shared" si="16"/>
        <v>1.5178650615694838</v>
      </c>
      <c r="BQ73" s="55">
        <f t="shared" si="26"/>
        <v>101.43682984757996</v>
      </c>
      <c r="BR73" s="18">
        <f t="shared" si="27"/>
        <v>6.938559253749256</v>
      </c>
    </row>
    <row r="74" spans="1:70" x14ac:dyDescent="0.3">
      <c r="A74" s="20">
        <v>2019</v>
      </c>
      <c r="B74" s="3">
        <f t="shared" ref="B74:B78" si="28">C74+D74</f>
        <v>16945263</v>
      </c>
      <c r="C74" s="3">
        <v>3733841</v>
      </c>
      <c r="D74" s="3">
        <v>13211422</v>
      </c>
      <c r="E74">
        <v>8.4016233343993498</v>
      </c>
      <c r="F74">
        <v>9.7789737572599797</v>
      </c>
      <c r="G74">
        <v>8.6141336877872998</v>
      </c>
      <c r="H74">
        <v>3.9765802031366699</v>
      </c>
      <c r="I74">
        <v>8.7061126136736302</v>
      </c>
      <c r="J74">
        <v>15.6044717766229</v>
      </c>
      <c r="K74" s="3">
        <v>4594718</v>
      </c>
      <c r="L74" s="23">
        <v>15.047327394209301</v>
      </c>
      <c r="M74" s="23">
        <v>7.0410935012484197</v>
      </c>
      <c r="O74" s="45">
        <f t="shared" si="22"/>
        <v>0.56476741892883586</v>
      </c>
      <c r="P74" s="46">
        <f t="shared" si="23"/>
        <v>2.2162000510085758</v>
      </c>
      <c r="Q74" s="46"/>
      <c r="R74" s="18">
        <f t="shared" si="7"/>
        <v>0.83775091886521358</v>
      </c>
      <c r="S74" s="18">
        <f t="shared" si="8"/>
        <v>1.921293782722026</v>
      </c>
      <c r="U74">
        <v>1.9314168440652164</v>
      </c>
      <c r="V74">
        <v>1.3333111329227267</v>
      </c>
      <c r="W74">
        <v>2.1059339959962093</v>
      </c>
      <c r="Y74">
        <f t="shared" si="24"/>
        <v>0.91713075895883533</v>
      </c>
      <c r="Z74">
        <f t="shared" si="25"/>
        <v>0.63312104532127356</v>
      </c>
      <c r="AB74" s="52">
        <f t="shared" si="9"/>
        <v>0.2548359380606523</v>
      </c>
      <c r="AC74">
        <f t="shared" si="10"/>
        <v>0.43603478364371506</v>
      </c>
      <c r="AE74">
        <f t="shared" si="11"/>
        <v>0.69032800299928732</v>
      </c>
      <c r="AF74" s="54">
        <f t="shared" si="12"/>
        <v>0.7053157818517598</v>
      </c>
      <c r="AG74" s="17">
        <f t="shared" si="13"/>
        <v>1.6175676994339856</v>
      </c>
      <c r="AH74">
        <f t="shared" si="17"/>
        <v>1.5297433863535519</v>
      </c>
      <c r="AI74">
        <f t="shared" si="18"/>
        <v>1.0157223152113928</v>
      </c>
      <c r="AJ74">
        <f t="shared" si="19"/>
        <v>1.6093011235455605</v>
      </c>
      <c r="AK74" s="18">
        <f t="shared" si="14"/>
        <v>1.5843908314750688</v>
      </c>
      <c r="AL74" s="18">
        <f t="shared" si="20"/>
        <v>0.9505637969004026</v>
      </c>
      <c r="AM74" s="18"/>
      <c r="AN74" s="18"/>
      <c r="AO74">
        <f t="shared" si="15"/>
        <v>0.66398215823149875</v>
      </c>
      <c r="AP74" s="17">
        <f t="shared" si="16"/>
        <v>1.5227733729931967</v>
      </c>
      <c r="BQ74" s="55">
        <f t="shared" si="26"/>
        <v>105.94963912652477</v>
      </c>
      <c r="BR74" s="18">
        <f t="shared" si="27"/>
        <v>7.0410935012484428</v>
      </c>
    </row>
    <row r="75" spans="1:70" x14ac:dyDescent="0.3">
      <c r="A75" s="20">
        <v>2020</v>
      </c>
      <c r="B75" s="3">
        <f t="shared" si="28"/>
        <v>16744238</v>
      </c>
      <c r="C75" s="3">
        <v>3787185</v>
      </c>
      <c r="D75" s="3">
        <v>12957053</v>
      </c>
      <c r="E75">
        <v>8.1891916213907194</v>
      </c>
      <c r="F75">
        <v>9.9136241916166092</v>
      </c>
      <c r="G75">
        <v>9.0708226815781003</v>
      </c>
      <c r="H75">
        <v>3.8303228081452398</v>
      </c>
      <c r="I75">
        <v>8.3660991393082096</v>
      </c>
      <c r="J75">
        <v>15.926011169398199</v>
      </c>
      <c r="K75" s="3">
        <v>4609869</v>
      </c>
      <c r="L75" s="23">
        <v>14.9246937639198</v>
      </c>
      <c r="M75" s="23">
        <v>7.12235760667539</v>
      </c>
      <c r="O75" s="45">
        <f t="shared" si="22"/>
        <v>0.5377886115343733</v>
      </c>
      <c r="P75" s="46">
        <f t="shared" si="23"/>
        <v>2.2360589075830219</v>
      </c>
      <c r="Q75" s="46"/>
      <c r="R75" s="18">
        <f t="shared" si="7"/>
        <v>0.79773175358215653</v>
      </c>
      <c r="S75" s="18">
        <f t="shared" si="8"/>
        <v>1.9385100523683914</v>
      </c>
      <c r="U75">
        <v>1.9271587960387428</v>
      </c>
      <c r="V75">
        <v>1.3236158420940836</v>
      </c>
      <c r="W75">
        <v>2.0919389087402256</v>
      </c>
      <c r="Y75">
        <f t="shared" si="24"/>
        <v>0.92123091548561808</v>
      </c>
      <c r="Z75">
        <f t="shared" si="25"/>
        <v>0.63272203435958396</v>
      </c>
      <c r="AB75" s="52">
        <f t="shared" si="9"/>
        <v>0.24050735412676327</v>
      </c>
      <c r="AC75">
        <f t="shared" si="10"/>
        <v>0.41151798651109434</v>
      </c>
      <c r="AE75">
        <f t="shared" si="11"/>
        <v>0.68682240654727766</v>
      </c>
      <c r="AF75" s="54">
        <f t="shared" si="12"/>
        <v>0.70173407505200169</v>
      </c>
      <c r="AG75" s="17">
        <f t="shared" si="13"/>
        <v>1.7052330591948093</v>
      </c>
      <c r="AH75">
        <f t="shared" si="17"/>
        <v>1.5465087947493772</v>
      </c>
      <c r="AI75">
        <f t="shared" si="18"/>
        <v>1.016128685406098</v>
      </c>
      <c r="AJ75">
        <f t="shared" si="19"/>
        <v>1.6290548499725757</v>
      </c>
      <c r="AK75" s="18">
        <f t="shared" si="14"/>
        <v>1.6031973837265705</v>
      </c>
      <c r="AL75" s="18">
        <f t="shared" si="20"/>
        <v>0.94932886684288864</v>
      </c>
      <c r="AM75" s="18"/>
      <c r="AN75" s="18"/>
      <c r="AO75">
        <f t="shared" si="15"/>
        <v>0.65704681981505897</v>
      </c>
      <c r="AP75" s="17">
        <f t="shared" si="16"/>
        <v>1.5966418026720814</v>
      </c>
      <c r="BQ75" s="55">
        <f t="shared" si="26"/>
        <v>106.29900615675514</v>
      </c>
      <c r="BR75" s="18">
        <f t="shared" si="27"/>
        <v>7.1223576066754033</v>
      </c>
    </row>
    <row r="76" spans="1:70" x14ac:dyDescent="0.3">
      <c r="A76" s="20">
        <v>2021</v>
      </c>
      <c r="B76" s="3">
        <f t="shared" si="28"/>
        <v>18641393</v>
      </c>
      <c r="C76" s="3">
        <v>4420203</v>
      </c>
      <c r="D76" s="3">
        <v>14221190</v>
      </c>
      <c r="E76">
        <v>8.6990442889914199</v>
      </c>
      <c r="F76">
        <v>10.389986713643999</v>
      </c>
      <c r="G76">
        <v>9.8009451993869696</v>
      </c>
      <c r="H76">
        <v>4.1375169649780403</v>
      </c>
      <c r="I76">
        <v>8.8049195933474298</v>
      </c>
      <c r="J76">
        <v>16.608649952747001</v>
      </c>
      <c r="K76" s="3">
        <v>5039777</v>
      </c>
      <c r="L76" s="23">
        <v>15.7356625835189</v>
      </c>
      <c r="M76" s="23">
        <v>7.3852789834455903</v>
      </c>
      <c r="O76" s="45">
        <f t="shared" si="22"/>
        <v>0.56023841133861785</v>
      </c>
      <c r="P76" s="46">
        <f t="shared" si="23"/>
        <v>2.2488859242793642</v>
      </c>
      <c r="Q76" s="46"/>
      <c r="R76" s="18">
        <f t="shared" si="7"/>
        <v>0.83103279005132258</v>
      </c>
      <c r="S76" s="18">
        <f t="shared" si="8"/>
        <v>1.9496301980512407</v>
      </c>
      <c r="U76">
        <v>1.9648328270893161</v>
      </c>
      <c r="V76">
        <v>1.3704154619559092</v>
      </c>
      <c r="W76">
        <v>2.1763934363126305</v>
      </c>
      <c r="Y76">
        <f t="shared" si="24"/>
        <v>0.90279303103314246</v>
      </c>
      <c r="Z76">
        <f t="shared" si="25"/>
        <v>0.62967266813565892</v>
      </c>
      <c r="AB76" s="52">
        <f t="shared" si="9"/>
        <v>0.24911819905589092</v>
      </c>
      <c r="AC76">
        <f t="shared" si="10"/>
        <v>0.42625149676178797</v>
      </c>
      <c r="AE76">
        <f t="shared" si="11"/>
        <v>0.69747178643489438</v>
      </c>
      <c r="AF76" s="54">
        <f t="shared" si="12"/>
        <v>0.7126146646688748</v>
      </c>
      <c r="AG76" s="17">
        <f t="shared" si="13"/>
        <v>1.6718173896926438</v>
      </c>
      <c r="AH76">
        <f t="shared" si="17"/>
        <v>1.5634579456743001</v>
      </c>
      <c r="AI76">
        <f t="shared" si="18"/>
        <v>1.0165352181813951</v>
      </c>
      <c r="AJ76">
        <f t="shared" si="19"/>
        <v>1.6490510479308935</v>
      </c>
      <c r="AK76" s="18">
        <f t="shared" si="14"/>
        <v>1.6222271677719968</v>
      </c>
      <c r="AL76" s="18">
        <f t="shared" si="20"/>
        <v>0.94809554115138561</v>
      </c>
      <c r="AM76" s="18"/>
      <c r="AN76" s="18"/>
      <c r="AO76">
        <f t="shared" si="15"/>
        <v>0.65018392147604331</v>
      </c>
      <c r="AP76" s="17">
        <f t="shared" si="16"/>
        <v>1.5253528173284063</v>
      </c>
      <c r="BQ76" s="55">
        <f t="shared" si="26"/>
        <v>116.21225816865359</v>
      </c>
      <c r="BR76" s="18">
        <f t="shared" si="27"/>
        <v>7.3852789834456107</v>
      </c>
    </row>
    <row r="77" spans="1:70" x14ac:dyDescent="0.3">
      <c r="A77" s="20">
        <v>2022</v>
      </c>
      <c r="B77" s="3">
        <f t="shared" si="28"/>
        <v>20448085</v>
      </c>
      <c r="C77" s="3">
        <v>4896781</v>
      </c>
      <c r="D77" s="3">
        <v>15551304</v>
      </c>
      <c r="E77">
        <v>8.92900940325341</v>
      </c>
      <c r="F77">
        <v>11.103439515624901</v>
      </c>
      <c r="G77">
        <v>9.5380502749311393</v>
      </c>
      <c r="H77">
        <v>4.70995337054923</v>
      </c>
      <c r="I77">
        <v>9.0993521182437096</v>
      </c>
      <c r="J77">
        <v>17.574384640269098</v>
      </c>
      <c r="K77" s="3">
        <v>5558807</v>
      </c>
      <c r="L77" s="23">
        <v>16.0547048997772</v>
      </c>
      <c r="M77" s="23">
        <v>7.9839882384532403</v>
      </c>
      <c r="O77" s="45">
        <f t="shared" si="22"/>
        <v>0.58992488839909685</v>
      </c>
      <c r="P77" s="46">
        <f t="shared" si="23"/>
        <v>2.2012037236760547</v>
      </c>
      <c r="Q77" s="46"/>
      <c r="R77" s="18">
        <f t="shared" si="7"/>
        <v>0.8750683923218231</v>
      </c>
      <c r="S77" s="18">
        <f t="shared" si="8"/>
        <v>1.9082929931703225</v>
      </c>
      <c r="U77">
        <v>1.8781482536768745</v>
      </c>
      <c r="V77">
        <v>1.364903925690836</v>
      </c>
      <c r="W77">
        <v>2.1449880655580333</v>
      </c>
      <c r="Y77">
        <f t="shared" si="24"/>
        <v>0.87559846314961265</v>
      </c>
      <c r="Z77">
        <f t="shared" si="25"/>
        <v>0.63632238687339593</v>
      </c>
      <c r="AB77" s="52">
        <f t="shared" si="9"/>
        <v>0.26800104054608376</v>
      </c>
      <c r="AC77">
        <f t="shared" si="10"/>
        <v>0.45856081610824206</v>
      </c>
      <c r="AE77">
        <f t="shared" si="11"/>
        <v>0.72672853328737297</v>
      </c>
      <c r="AF77" s="54">
        <f t="shared" si="12"/>
        <v>0.74250660761634391</v>
      </c>
      <c r="AG77" s="17">
        <f t="shared" si="13"/>
        <v>1.6192107601297474</v>
      </c>
      <c r="AH77">
        <f t="shared" si="17"/>
        <v>1.5805928528768796</v>
      </c>
      <c r="AI77">
        <f t="shared" si="18"/>
        <v>1.0169419136023294</v>
      </c>
      <c r="AJ77">
        <f t="shared" si="19"/>
        <v>1.6692926936915335</v>
      </c>
      <c r="AK77" s="18">
        <f t="shared" si="14"/>
        <v>1.641482833349224</v>
      </c>
      <c r="AL77" s="18">
        <f t="shared" si="20"/>
        <v>0.94686381774157291</v>
      </c>
      <c r="AM77" s="18"/>
      <c r="AN77" s="18"/>
      <c r="AO77">
        <f t="shared" si="15"/>
        <v>0.64339270657295844</v>
      </c>
      <c r="AP77" s="17">
        <f t="shared" si="16"/>
        <v>1.4030695252886312</v>
      </c>
      <c r="BQ77" s="55">
        <f t="shared" si="26"/>
        <v>128.18057509165956</v>
      </c>
      <c r="BR77" s="18">
        <f t="shared" si="27"/>
        <v>7.9839882384532901</v>
      </c>
    </row>
    <row r="78" spans="1:70" x14ac:dyDescent="0.3">
      <c r="A78" s="20">
        <v>2023</v>
      </c>
      <c r="B78" s="3">
        <f t="shared" si="28"/>
        <v>21791075</v>
      </c>
      <c r="C78" s="3">
        <v>5091442</v>
      </c>
      <c r="D78" s="3">
        <v>16699633</v>
      </c>
      <c r="E78">
        <v>9.1786068671035803</v>
      </c>
      <c r="F78">
        <v>11.5109205144961</v>
      </c>
      <c r="G78">
        <v>9.9665350343467001</v>
      </c>
      <c r="H78">
        <v>4.6866458449201698</v>
      </c>
      <c r="I78">
        <v>9.3717427242633207</v>
      </c>
      <c r="J78">
        <v>18.323581185180402</v>
      </c>
      <c r="K78" s="3">
        <v>5929633</v>
      </c>
      <c r="L78" s="23">
        <v>16.572661469933099</v>
      </c>
      <c r="M78" s="23">
        <v>8.2504222415258202</v>
      </c>
      <c r="O78" s="45">
        <f t="shared" si="22"/>
        <v>0.56804921102479589</v>
      </c>
      <c r="P78" s="46">
        <f t="shared" si="23"/>
        <v>2.2209264748844744</v>
      </c>
      <c r="Q78" s="46"/>
      <c r="R78" s="57">
        <f t="shared" si="7"/>
        <v>0.84261898357958676</v>
      </c>
      <c r="S78" s="57">
        <f t="shared" si="8"/>
        <v>1.9253912687784587</v>
      </c>
      <c r="U78">
        <v>1.9244900047123736</v>
      </c>
      <c r="V78">
        <v>1.3766101081188256</v>
      </c>
      <c r="W78">
        <v>2.1784198594712381</v>
      </c>
      <c r="Y78">
        <f>U78/W78</f>
        <v>0.8834339240643444</v>
      </c>
      <c r="Z78">
        <f t="shared" si="25"/>
        <v>0.63193057212256887</v>
      </c>
      <c r="AB78" s="52">
        <f t="shared" si="9"/>
        <v>0.25577128169195429</v>
      </c>
      <c r="AC78">
        <f t="shared" si="10"/>
        <v>0.43763519511240762</v>
      </c>
      <c r="AE78">
        <f t="shared" si="11"/>
        <v>0.71531164347334097</v>
      </c>
      <c r="AF78" s="54">
        <f t="shared" si="12"/>
        <v>0.73084184458990809</v>
      </c>
      <c r="AG78" s="17">
        <f t="shared" si="13"/>
        <v>1.6699795920257046</v>
      </c>
      <c r="AH78">
        <f t="shared" si="17"/>
        <v>1.5979155521755966</v>
      </c>
      <c r="AI78">
        <f t="shared" si="18"/>
        <v>1.017348771733972</v>
      </c>
      <c r="AJ78">
        <f t="shared" si="19"/>
        <v>1.6897828000584194</v>
      </c>
      <c r="AK78" s="57">
        <f t="shared" si="14"/>
        <v>1.6609670616482379</v>
      </c>
      <c r="AL78" s="57">
        <f>AH78/AJ78</f>
        <v>0.94563369453183754</v>
      </c>
      <c r="AM78" s="18"/>
      <c r="AN78" s="18"/>
      <c r="AO78">
        <f t="shared" si="15"/>
        <v>0.63667242636748211</v>
      </c>
      <c r="AP78" s="17">
        <f t="shared" si="16"/>
        <v>1.4548017012296082</v>
      </c>
      <c r="BQ78" s="55">
        <f t="shared" si="26"/>
        <v>136.73145479281482</v>
      </c>
      <c r="BR78" s="18">
        <f t="shared" si="27"/>
        <v>8.2504222415258681</v>
      </c>
    </row>
    <row r="79" spans="1:70" x14ac:dyDescent="0.3">
      <c r="A79" s="26"/>
      <c r="AK79" s="18">
        <f>S78/AK78</f>
        <v>1.1591989469483055</v>
      </c>
      <c r="AL79" s="18">
        <f>R78/AL78</f>
        <v>0.89106277457334992</v>
      </c>
    </row>
    <row r="80" spans="1:70" x14ac:dyDescent="0.3">
      <c r="AC80" s="55">
        <f>AC78/AC35-1</f>
        <v>-0.56236480488759244</v>
      </c>
      <c r="AK80" s="56">
        <f>AK79^(1/($A$78-$A$35))-1</f>
        <v>3.4414711846024737E-3</v>
      </c>
      <c r="AL80" s="37">
        <f>(AL79^(1/($A$78-$A$35)))-1</f>
        <v>-2.6787406361769017E-3</v>
      </c>
      <c r="AO80" s="5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A1C50-D814-417F-98FA-DA3D64C25C03}">
  <sheetPr>
    <tabColor rgb="FFFFC000"/>
  </sheetPr>
  <dimension ref="A1:N80"/>
  <sheetViews>
    <sheetView workbookViewId="0">
      <pane xSplit="8" ySplit="14" topLeftCell="I70" activePane="bottomRight" state="frozen"/>
      <selection activeCell="F77" sqref="F77"/>
      <selection pane="topRight" activeCell="F77" sqref="F77"/>
      <selection pane="bottomLeft" activeCell="F77" sqref="F77"/>
      <selection pane="bottomRight" activeCell="D72" sqref="D72"/>
    </sheetView>
  </sheetViews>
  <sheetFormatPr defaultColWidth="8.77734375" defaultRowHeight="14.4" x14ac:dyDescent="0.3"/>
  <cols>
    <col min="1" max="1" width="8.77734375" style="8"/>
    <col min="2" max="2" width="12.109375" style="6" customWidth="1"/>
    <col min="3" max="4" width="13.33203125" style="6" bestFit="1" customWidth="1"/>
    <col min="5" max="5" width="2.77734375" style="6" customWidth="1"/>
    <col min="6" max="6" width="13.77734375" style="8" bestFit="1" customWidth="1"/>
    <col min="7" max="7" width="2.77734375" style="6" customWidth="1"/>
    <col min="8" max="11" width="11.33203125" style="8" customWidth="1"/>
    <col min="12" max="12" width="8.77734375" style="6"/>
    <col min="13" max="13" width="13.66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1" t="s">
        <v>24</v>
      </c>
      <c r="C1" s="8" t="s">
        <v>27</v>
      </c>
      <c r="D1" s="8" t="s">
        <v>30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9">
        <f>Data!Y2</f>
        <v>1</v>
      </c>
      <c r="C2" s="9">
        <f>Data!AB2</f>
        <v>1</v>
      </c>
      <c r="D2" s="9">
        <f>Data!AE2</f>
        <v>1</v>
      </c>
      <c r="E2" s="14"/>
      <c r="F2" s="9">
        <f>AVERAGE(Data!X3:X78)</f>
        <v>0.56284594535827637</v>
      </c>
      <c r="G2" s="14"/>
      <c r="H2" s="9"/>
      <c r="I2" s="9"/>
      <c r="J2" s="9"/>
      <c r="K2" s="9"/>
      <c r="L2" s="15"/>
      <c r="M2" s="9">
        <v>0</v>
      </c>
      <c r="N2" s="9">
        <f>EXP(M2)</f>
        <v>1</v>
      </c>
    </row>
    <row r="3" spans="1:14" x14ac:dyDescent="0.3">
      <c r="A3" s="8">
        <v>1948</v>
      </c>
      <c r="B3" s="9">
        <f>Data!Y3</f>
        <v>1.0406001806259155</v>
      </c>
      <c r="C3" s="9">
        <f>Data!AB3</f>
        <v>1.0355644226074219</v>
      </c>
      <c r="D3" s="9">
        <f>Data!AE3</f>
        <v>1.02442467212677</v>
      </c>
      <c r="E3" s="14"/>
      <c r="F3" s="9">
        <f>F2</f>
        <v>0.56284594535827637</v>
      </c>
      <c r="G3" s="14"/>
      <c r="H3" s="9">
        <f>LN(B3/B2)</f>
        <v>3.979764345267444E-2</v>
      </c>
      <c r="I3" s="9">
        <f>LN(C3/C2)</f>
        <v>3.4946613928355123E-2</v>
      </c>
      <c r="J3" s="9">
        <f>LN(D3/D2)</f>
        <v>2.4131159519011427E-2</v>
      </c>
      <c r="K3" s="9">
        <f>H3-(1-F3)*I3-F3*J3</f>
        <v>1.0938464185825709E-2</v>
      </c>
      <c r="L3" s="15"/>
      <c r="M3" s="9">
        <f t="shared" ref="M3:M8" si="0">M2+K3</f>
        <v>1.0938464185825709E-2</v>
      </c>
      <c r="N3" s="9">
        <f t="shared" ref="N3:N66" si="1">EXP(M3)</f>
        <v>1.0109985079142148</v>
      </c>
    </row>
    <row r="4" spans="1:14" x14ac:dyDescent="0.3">
      <c r="A4" s="8">
        <v>1949</v>
      </c>
      <c r="B4" s="9">
        <f>Data!Y4</f>
        <v>1.0339734554290771</v>
      </c>
      <c r="C4" s="9">
        <f>Data!AB4</f>
        <v>1.0618280172348022</v>
      </c>
      <c r="D4" s="9">
        <f>Data!AE4</f>
        <v>0.98832833766937256</v>
      </c>
      <c r="E4" s="14"/>
      <c r="F4" s="9">
        <f t="shared" ref="F4:F67" si="2">F3</f>
        <v>0.56284594535827637</v>
      </c>
      <c r="G4" s="14"/>
      <c r="H4" s="9">
        <f>LN(B4/B3)</f>
        <v>-6.3885394279953036E-3</v>
      </c>
      <c r="I4" s="9">
        <f>LN(C4/C3)</f>
        <v>2.5045353437204418E-2</v>
      </c>
      <c r="J4" s="9">
        <f t="shared" ref="J4:J67" si="3">LN(D4/D3)</f>
        <v>-3.5871470384905992E-2</v>
      </c>
      <c r="K4" s="9">
        <f t="shared" ref="K4:K67" si="4">H4-(1-F4)*I4-F4*J4</f>
        <v>2.852894427179585E-3</v>
      </c>
      <c r="L4" s="15"/>
      <c r="M4" s="9">
        <f t="shared" si="0"/>
        <v>1.3791358613005294E-2</v>
      </c>
      <c r="N4" s="9">
        <f t="shared" si="1"/>
        <v>1.013886898100411</v>
      </c>
    </row>
    <row r="5" spans="1:14" x14ac:dyDescent="0.3">
      <c r="A5" s="8">
        <v>1950</v>
      </c>
      <c r="B5" s="9">
        <f>Data!Y5</f>
        <v>1.1167960166931152</v>
      </c>
      <c r="C5" s="9">
        <f>Data!AB5</f>
        <v>1.0995423793792725</v>
      </c>
      <c r="D5" s="9">
        <f>Data!AE5</f>
        <v>1.0290268659591675</v>
      </c>
      <c r="E5" s="14"/>
      <c r="F5" s="9">
        <f t="shared" si="2"/>
        <v>0.56284594535827637</v>
      </c>
      <c r="G5" s="14"/>
      <c r="H5" s="9">
        <f>LN(B5/B4)</f>
        <v>7.7054782280313719E-2</v>
      </c>
      <c r="I5" s="9">
        <f>LN(C5/C4)</f>
        <v>3.4902107132843009E-2</v>
      </c>
      <c r="J5" s="9">
        <f t="shared" si="3"/>
        <v>4.0353876180833984E-2</v>
      </c>
      <c r="K5" s="9">
        <f t="shared" si="4"/>
        <v>3.9084169043779246E-2</v>
      </c>
      <c r="L5" s="15"/>
      <c r="M5" s="9">
        <f t="shared" si="0"/>
        <v>5.2875527656784542E-2</v>
      </c>
      <c r="N5" s="9">
        <f t="shared" si="1"/>
        <v>1.0542984059586644</v>
      </c>
    </row>
    <row r="6" spans="1:14" x14ac:dyDescent="0.3">
      <c r="A6" s="8">
        <v>1951</v>
      </c>
      <c r="B6" s="9">
        <f>Data!Y6</f>
        <v>1.1909449100494385</v>
      </c>
      <c r="C6" s="9">
        <f>Data!AB6</f>
        <v>1.1515648365020752</v>
      </c>
      <c r="D6" s="9">
        <f>Data!AE6</f>
        <v>1.0993361473083496</v>
      </c>
      <c r="E6" s="14"/>
      <c r="F6" s="9">
        <f t="shared" si="2"/>
        <v>0.56284594535827637</v>
      </c>
      <c r="G6" s="14"/>
      <c r="H6" s="9">
        <f t="shared" ref="H6:I37" si="5">LN(B6/B5)</f>
        <v>6.4283147792184234E-2</v>
      </c>
      <c r="I6" s="9">
        <f t="shared" si="5"/>
        <v>4.6227670319321235E-2</v>
      </c>
      <c r="J6" s="9">
        <f t="shared" si="3"/>
        <v>6.6092929861527455E-2</v>
      </c>
      <c r="K6" s="9">
        <f t="shared" si="4"/>
        <v>6.8743966860424152E-3</v>
      </c>
      <c r="L6" s="15"/>
      <c r="M6" s="9">
        <f t="shared" si="0"/>
        <v>5.9749924342826957E-2</v>
      </c>
      <c r="N6" s="9">
        <f t="shared" si="1"/>
        <v>1.0615710402728835</v>
      </c>
    </row>
    <row r="7" spans="1:14" x14ac:dyDescent="0.3">
      <c r="A7" s="8">
        <v>1952</v>
      </c>
      <c r="B7" s="9">
        <f>Data!Y7</f>
        <v>1.236050009727478</v>
      </c>
      <c r="C7" s="9">
        <f>Data!AB7</f>
        <v>1.1994779109954834</v>
      </c>
      <c r="D7" s="9">
        <f>Data!AE7</f>
        <v>1.1223959922790527</v>
      </c>
      <c r="E7" s="14"/>
      <c r="F7" s="9">
        <f t="shared" si="2"/>
        <v>0.56284594535827637</v>
      </c>
      <c r="G7" s="14"/>
      <c r="H7" s="9">
        <f t="shared" si="5"/>
        <v>3.7173785064361614E-2</v>
      </c>
      <c r="I7" s="9">
        <f t="shared" si="5"/>
        <v>4.0764643133572837E-2</v>
      </c>
      <c r="J7" s="9">
        <f t="shared" si="3"/>
        <v>2.075918395243569E-2</v>
      </c>
      <c r="K7" s="9">
        <f t="shared" si="4"/>
        <v>7.6691335159223255E-3</v>
      </c>
      <c r="L7" s="15"/>
      <c r="M7" s="9">
        <f t="shared" si="0"/>
        <v>6.7419057858749284E-2</v>
      </c>
      <c r="N7" s="9">
        <f t="shared" si="1"/>
        <v>1.069743668750387</v>
      </c>
    </row>
    <row r="8" spans="1:14" x14ac:dyDescent="0.3">
      <c r="A8" s="8">
        <v>1953</v>
      </c>
      <c r="B8" s="9">
        <f>Data!Y8</f>
        <v>1.2981324195861816</v>
      </c>
      <c r="C8" s="9">
        <f>Data!AB8</f>
        <v>1.2526760101318359</v>
      </c>
      <c r="D8" s="9">
        <f>Data!AE8</f>
        <v>1.1475481986999512</v>
      </c>
      <c r="E8" s="14"/>
      <c r="F8" s="9">
        <f t="shared" si="2"/>
        <v>0.56284594535827637</v>
      </c>
      <c r="G8" s="14"/>
      <c r="H8" s="9">
        <f t="shared" si="5"/>
        <v>4.9005812088032265E-2</v>
      </c>
      <c r="I8" s="9">
        <f t="shared" si="5"/>
        <v>4.3395683203951131E-2</v>
      </c>
      <c r="J8" s="9">
        <f t="shared" si="3"/>
        <v>2.2161986165908375E-2</v>
      </c>
      <c r="K8" s="9">
        <f t="shared" si="4"/>
        <v>1.7561429166909538E-2</v>
      </c>
      <c r="L8" s="15"/>
      <c r="M8" s="9">
        <f t="shared" si="0"/>
        <v>8.498048702565883E-2</v>
      </c>
      <c r="N8" s="9">
        <f t="shared" si="1"/>
        <v>1.0886958227974779</v>
      </c>
    </row>
    <row r="9" spans="1:14" x14ac:dyDescent="0.3">
      <c r="A9" s="8">
        <v>1954</v>
      </c>
      <c r="B9" s="9">
        <f>Data!Y9</f>
        <v>1.2953529357910156</v>
      </c>
      <c r="C9" s="9">
        <f>Data!AB9</f>
        <v>1.3126991987228394</v>
      </c>
      <c r="D9" s="9">
        <f>Data!AE9</f>
        <v>1.1093044281005859</v>
      </c>
      <c r="E9" s="14"/>
      <c r="F9" s="9">
        <f t="shared" si="2"/>
        <v>0.56284594535827637</v>
      </c>
      <c r="G9" s="14"/>
      <c r="H9" s="9">
        <f t="shared" si="5"/>
        <v>-2.1434359392511646E-3</v>
      </c>
      <c r="I9" s="9">
        <f t="shared" si="5"/>
        <v>4.6803403267920304E-2</v>
      </c>
      <c r="J9" s="9">
        <f t="shared" si="3"/>
        <v>-3.3894487743144318E-2</v>
      </c>
      <c r="K9" s="9">
        <f t="shared" si="4"/>
        <v>-3.5263584526296493E-3</v>
      </c>
      <c r="L9" s="15"/>
      <c r="M9" s="9">
        <f t="shared" ref="M9:M71" si="6">M8+K9</f>
        <v>8.145412857302918E-2</v>
      </c>
      <c r="N9" s="9">
        <f t="shared" si="1"/>
        <v>1.0848634522079827</v>
      </c>
    </row>
    <row r="10" spans="1:14" x14ac:dyDescent="0.3">
      <c r="A10" s="8">
        <v>1955</v>
      </c>
      <c r="B10" s="9">
        <f>Data!Y10</f>
        <v>1.3892884254455566</v>
      </c>
      <c r="C10" s="9">
        <f>Data!AB10</f>
        <v>1.3686519861221313</v>
      </c>
      <c r="D10" s="9">
        <f>Data!AE10</f>
        <v>1.1472072601318359</v>
      </c>
      <c r="E10" s="14"/>
      <c r="F10" s="9">
        <f t="shared" si="2"/>
        <v>0.56284594535827637</v>
      </c>
      <c r="G10" s="14"/>
      <c r="H10" s="9">
        <f t="shared" si="5"/>
        <v>7.000849661449432E-2</v>
      </c>
      <c r="I10" s="9">
        <f t="shared" si="5"/>
        <v>4.1740829282910272E-2</v>
      </c>
      <c r="J10" s="9">
        <f t="shared" si="3"/>
        <v>3.3597341858329841E-2</v>
      </c>
      <c r="K10" s="9">
        <f t="shared" si="4"/>
        <v>3.2851196209585258E-2</v>
      </c>
      <c r="L10" s="15"/>
      <c r="M10" s="9">
        <f t="shared" si="6"/>
        <v>0.11430532478261443</v>
      </c>
      <c r="N10" s="9">
        <f t="shared" si="1"/>
        <v>1.1210943705284278</v>
      </c>
    </row>
    <row r="11" spans="1:14" x14ac:dyDescent="0.3">
      <c r="A11" s="8">
        <v>1956</v>
      </c>
      <c r="B11" s="9">
        <f>Data!Y11</f>
        <v>1.4119004011154175</v>
      </c>
      <c r="C11" s="9">
        <f>Data!AB11</f>
        <v>1.4350333213806152</v>
      </c>
      <c r="D11" s="9">
        <f>Data!AE11</f>
        <v>1.1731125116348267</v>
      </c>
      <c r="E11" s="14"/>
      <c r="F11" s="9">
        <f t="shared" si="2"/>
        <v>0.56284594535827637</v>
      </c>
      <c r="G11" s="14"/>
      <c r="H11" s="9">
        <f t="shared" si="5"/>
        <v>1.6144907204682715E-2</v>
      </c>
      <c r="I11" s="9">
        <f t="shared" si="5"/>
        <v>4.7361765710211501E-2</v>
      </c>
      <c r="J11" s="9">
        <f t="shared" si="3"/>
        <v>2.2329963508771623E-2</v>
      </c>
      <c r="K11" s="9">
        <f t="shared" si="4"/>
        <v>-1.7127810131437975E-2</v>
      </c>
      <c r="L11" s="15"/>
      <c r="M11" s="9">
        <f t="shared" si="6"/>
        <v>9.7177514651176453E-2</v>
      </c>
      <c r="N11" s="9">
        <f t="shared" si="1"/>
        <v>1.1020559873425162</v>
      </c>
    </row>
    <row r="12" spans="1:14" x14ac:dyDescent="0.3">
      <c r="A12" s="8">
        <v>1957</v>
      </c>
      <c r="B12" s="9">
        <f>Data!Y12</f>
        <v>1.4398941993713379</v>
      </c>
      <c r="C12" s="9">
        <f>Data!AB12</f>
        <v>1.4991930723190308</v>
      </c>
      <c r="D12" s="9">
        <f>Data!AE12</f>
        <v>1.1725307703018188</v>
      </c>
      <c r="E12" s="14"/>
      <c r="F12" s="9">
        <f t="shared" si="2"/>
        <v>0.56284594535827637</v>
      </c>
      <c r="G12" s="14"/>
      <c r="H12" s="9">
        <f t="shared" si="5"/>
        <v>1.9633039100371241E-2</v>
      </c>
      <c r="I12" s="9">
        <f t="shared" si="5"/>
        <v>4.3738942156585088E-2</v>
      </c>
      <c r="J12" s="9">
        <f t="shared" si="3"/>
        <v>-4.9601859704338899E-4</v>
      </c>
      <c r="K12" s="9">
        <f t="shared" si="4"/>
        <v>7.9156524704842646E-4</v>
      </c>
      <c r="L12" s="15"/>
      <c r="M12" s="9">
        <f t="shared" si="6"/>
        <v>9.7969079898224884E-2</v>
      </c>
      <c r="N12" s="9">
        <f t="shared" si="1"/>
        <v>1.1029286819141779</v>
      </c>
    </row>
    <row r="13" spans="1:14" x14ac:dyDescent="0.3">
      <c r="A13" s="8">
        <v>1958</v>
      </c>
      <c r="B13" s="9">
        <f>Data!Y13</f>
        <v>1.4294916391372681</v>
      </c>
      <c r="C13" s="9">
        <f>Data!AB13</f>
        <v>1.5537630319595337</v>
      </c>
      <c r="D13" s="9">
        <f>Data!AE13</f>
        <v>1.1318778991699219</v>
      </c>
      <c r="E13" s="14"/>
      <c r="F13" s="9">
        <f t="shared" si="2"/>
        <v>0.56284594535827637</v>
      </c>
      <c r="G13" s="14"/>
      <c r="H13" s="9">
        <f t="shared" si="5"/>
        <v>-7.2507542689338681E-3</v>
      </c>
      <c r="I13" s="9">
        <f t="shared" si="5"/>
        <v>3.5752739658408951E-2</v>
      </c>
      <c r="J13" s="9">
        <f t="shared" si="3"/>
        <v>-3.5286353282454212E-2</v>
      </c>
      <c r="K13" s="9">
        <f t="shared" si="4"/>
        <v>-3.0194285036482318E-3</v>
      </c>
      <c r="L13" s="15"/>
      <c r="M13" s="9">
        <f t="shared" si="6"/>
        <v>9.4949651394576645E-2</v>
      </c>
      <c r="N13" s="9">
        <f t="shared" si="1"/>
        <v>1.0996034902300902</v>
      </c>
    </row>
    <row r="14" spans="1:14" x14ac:dyDescent="0.3">
      <c r="A14" s="8">
        <v>1959</v>
      </c>
      <c r="B14" s="9">
        <f>Data!Y14</f>
        <v>1.5208214521408081</v>
      </c>
      <c r="C14" s="9">
        <f>Data!AB14</f>
        <v>1.6125383377075195</v>
      </c>
      <c r="D14" s="9">
        <f>Data!AE14</f>
        <v>1.1710551977157593</v>
      </c>
      <c r="E14" s="14"/>
      <c r="F14" s="9">
        <f t="shared" si="2"/>
        <v>0.56284594535827637</v>
      </c>
      <c r="G14" s="14"/>
      <c r="H14" s="9">
        <f t="shared" si="5"/>
        <v>6.1931733958074345E-2</v>
      </c>
      <c r="I14" s="9">
        <f t="shared" si="5"/>
        <v>3.7129793496370925E-2</v>
      </c>
      <c r="J14" s="9">
        <f t="shared" si="3"/>
        <v>3.4027109711976859E-2</v>
      </c>
      <c r="K14" s="9">
        <f t="shared" si="4"/>
        <v>2.654827344947849E-2</v>
      </c>
      <c r="L14" s="15"/>
      <c r="M14" s="9">
        <f t="shared" si="6"/>
        <v>0.12149792484405514</v>
      </c>
      <c r="N14" s="9">
        <f t="shared" si="1"/>
        <v>1.1291870226835634</v>
      </c>
    </row>
    <row r="15" spans="1:14" x14ac:dyDescent="0.3">
      <c r="A15" s="8">
        <v>1960</v>
      </c>
      <c r="B15" s="9">
        <f>Data!Y15</f>
        <v>1.5614447593688965</v>
      </c>
      <c r="C15" s="9">
        <f>Data!AB15</f>
        <v>1.6789461374282837</v>
      </c>
      <c r="D15" s="9">
        <f>Data!AE15</f>
        <v>1.1867908239364624</v>
      </c>
      <c r="E15" s="14"/>
      <c r="F15" s="9">
        <f t="shared" si="2"/>
        <v>0.56284594535827637</v>
      </c>
      <c r="G15" s="14"/>
      <c r="H15" s="9">
        <f t="shared" si="5"/>
        <v>2.6360902551260269E-2</v>
      </c>
      <c r="I15" s="9">
        <f t="shared" si="5"/>
        <v>4.0356752703249635E-2</v>
      </c>
      <c r="J15" s="9">
        <f t="shared" si="3"/>
        <v>1.3347656884317619E-2</v>
      </c>
      <c r="K15" s="9">
        <f t="shared" si="4"/>
        <v>1.2061099174896931E-3</v>
      </c>
      <c r="L15" s="15"/>
      <c r="M15" s="9">
        <f t="shared" si="6"/>
        <v>0.12270403476154483</v>
      </c>
      <c r="N15" s="9">
        <f t="shared" si="1"/>
        <v>1.1305497679954415</v>
      </c>
    </row>
    <row r="16" spans="1:14" x14ac:dyDescent="0.3">
      <c r="A16" s="8">
        <v>1961</v>
      </c>
      <c r="B16" s="9">
        <f>Data!Y16</f>
        <v>1.6002019643783569</v>
      </c>
      <c r="C16" s="9">
        <f>Data!AB16</f>
        <v>1.7455264329910278</v>
      </c>
      <c r="D16" s="9">
        <f>Data!AE16</f>
        <v>1.1874819993972778</v>
      </c>
      <c r="E16" s="14"/>
      <c r="F16" s="9">
        <f t="shared" si="2"/>
        <v>0.56284594535827637</v>
      </c>
      <c r="G16" s="14"/>
      <c r="H16" s="9">
        <f t="shared" si="5"/>
        <v>2.4518328545889225E-2</v>
      </c>
      <c r="I16" s="9">
        <f t="shared" si="5"/>
        <v>3.8889893524135001E-2</v>
      </c>
      <c r="J16" s="9">
        <f t="shared" si="3"/>
        <v>5.8222077391222146E-4</v>
      </c>
      <c r="K16" s="9">
        <f t="shared" si="4"/>
        <v>7.1897533053288474E-3</v>
      </c>
      <c r="L16" s="15"/>
      <c r="M16" s="9">
        <f t="shared" si="6"/>
        <v>0.12989378806687368</v>
      </c>
      <c r="N16" s="9">
        <f t="shared" si="1"/>
        <v>1.1387074325838495</v>
      </c>
    </row>
    <row r="17" spans="1:14" x14ac:dyDescent="0.3">
      <c r="A17" s="8">
        <v>1962</v>
      </c>
      <c r="B17" s="9">
        <f>Data!Y17</f>
        <v>1.7018723487854004</v>
      </c>
      <c r="C17" s="9">
        <f>Data!AB17</f>
        <v>1.8218457698822021</v>
      </c>
      <c r="D17" s="9">
        <f>Data!AE17</f>
        <v>1.2212929725646973</v>
      </c>
      <c r="E17" s="14"/>
      <c r="F17" s="9">
        <f t="shared" si="2"/>
        <v>0.56284594535827637</v>
      </c>
      <c r="G17" s="14"/>
      <c r="H17" s="9">
        <f t="shared" si="5"/>
        <v>6.1599177608699172E-2</v>
      </c>
      <c r="I17" s="9">
        <f t="shared" si="5"/>
        <v>4.2793955497511131E-2</v>
      </c>
      <c r="J17" s="9">
        <f t="shared" si="3"/>
        <v>2.8075012707379804E-2</v>
      </c>
      <c r="K17" s="9">
        <f t="shared" si="4"/>
        <v>2.7089719380573897E-2</v>
      </c>
      <c r="L17" s="15"/>
      <c r="M17" s="9">
        <f t="shared" si="6"/>
        <v>0.15698350744744757</v>
      </c>
      <c r="N17" s="9">
        <f t="shared" si="1"/>
        <v>1.1699763178458862</v>
      </c>
    </row>
    <row r="18" spans="1:14" x14ac:dyDescent="0.3">
      <c r="A18" s="8">
        <v>1963</v>
      </c>
      <c r="B18" s="9">
        <f>Data!Y18</f>
        <v>1.779876708984375</v>
      </c>
      <c r="C18" s="9">
        <f>Data!AB18</f>
        <v>1.9064685106277466</v>
      </c>
      <c r="D18" s="9">
        <f>Data!AE18</f>
        <v>1.23627769947052</v>
      </c>
      <c r="E18" s="14"/>
      <c r="F18" s="9">
        <f t="shared" si="2"/>
        <v>0.56284594535827637</v>
      </c>
      <c r="G18" s="14"/>
      <c r="H18" s="9">
        <f t="shared" si="5"/>
        <v>4.4815070664712471E-2</v>
      </c>
      <c r="I18" s="9">
        <f t="shared" si="5"/>
        <v>4.5402436877717722E-2</v>
      </c>
      <c r="J18" s="9">
        <f t="shared" si="3"/>
        <v>1.219489862980387E-2</v>
      </c>
      <c r="K18" s="9">
        <f t="shared" si="4"/>
        <v>1.8103362045162941E-2</v>
      </c>
      <c r="L18" s="15"/>
      <c r="M18" s="9">
        <f t="shared" si="6"/>
        <v>0.17508686949261051</v>
      </c>
      <c r="N18" s="9">
        <f t="shared" si="1"/>
        <v>1.1913497040616554</v>
      </c>
    </row>
    <row r="19" spans="1:14" x14ac:dyDescent="0.3">
      <c r="A19" s="8">
        <v>1964</v>
      </c>
      <c r="B19" s="9">
        <f>Data!Y19</f>
        <v>1.8829330205917358</v>
      </c>
      <c r="C19" s="9">
        <f>Data!AB19</f>
        <v>1.9979027509689331</v>
      </c>
      <c r="D19" s="9">
        <f>Data!AE19</f>
        <v>1.2631669044494629</v>
      </c>
      <c r="E19" s="14"/>
      <c r="F19" s="9">
        <f t="shared" si="2"/>
        <v>0.56284594535827637</v>
      </c>
      <c r="G19" s="14"/>
      <c r="H19" s="9">
        <f t="shared" si="5"/>
        <v>5.6286581169545047E-2</v>
      </c>
      <c r="I19" s="9">
        <f t="shared" si="5"/>
        <v>4.6845422522793237E-2</v>
      </c>
      <c r="J19" s="9">
        <f t="shared" si="3"/>
        <v>2.151697409856481E-2</v>
      </c>
      <c r="K19" s="9">
        <f t="shared" si="4"/>
        <v>2.3697173144545003E-2</v>
      </c>
      <c r="L19" s="15"/>
      <c r="M19" s="9">
        <f t="shared" si="6"/>
        <v>0.19878404263715552</v>
      </c>
      <c r="N19" s="9">
        <f t="shared" si="1"/>
        <v>1.2199184870714468</v>
      </c>
    </row>
    <row r="20" spans="1:14" x14ac:dyDescent="0.3">
      <c r="A20" s="8">
        <v>1965</v>
      </c>
      <c r="B20" s="9">
        <f>Data!Y20</f>
        <v>2.0024290084838867</v>
      </c>
      <c r="C20" s="9">
        <f>Data!AB20</f>
        <v>2.1085155010223389</v>
      </c>
      <c r="D20" s="9">
        <f>Data!AE20</f>
        <v>1.3098386526107788</v>
      </c>
      <c r="E20" s="14"/>
      <c r="F20" s="9">
        <f t="shared" si="2"/>
        <v>0.56284594535827637</v>
      </c>
      <c r="G20" s="14"/>
      <c r="H20" s="9">
        <f t="shared" si="5"/>
        <v>6.153026942909328E-2</v>
      </c>
      <c r="I20" s="9">
        <f t="shared" si="5"/>
        <v>5.3886140006791851E-2</v>
      </c>
      <c r="J20" s="9">
        <f t="shared" si="3"/>
        <v>3.6281979836316001E-2</v>
      </c>
      <c r="K20" s="9">
        <f t="shared" si="4"/>
        <v>1.7552559595691422E-2</v>
      </c>
      <c r="L20" s="15"/>
      <c r="M20" s="9">
        <f t="shared" si="6"/>
        <v>0.21633660223284695</v>
      </c>
      <c r="N20" s="9">
        <f t="shared" si="1"/>
        <v>1.2415202071496338</v>
      </c>
    </row>
    <row r="21" spans="1:14" x14ac:dyDescent="0.3">
      <c r="A21" s="8">
        <v>1966</v>
      </c>
      <c r="B21" s="9">
        <f>Data!Y21</f>
        <v>2.1280214786529541</v>
      </c>
      <c r="C21" s="9">
        <f>Data!AB21</f>
        <v>2.235722541809082</v>
      </c>
      <c r="D21" s="9">
        <f>Data!AE21</f>
        <v>1.3658438920974731</v>
      </c>
      <c r="E21" s="14"/>
      <c r="F21" s="9">
        <f t="shared" si="2"/>
        <v>0.56284594535827637</v>
      </c>
      <c r="G21" s="14"/>
      <c r="H21" s="9">
        <f t="shared" si="5"/>
        <v>6.0831716892204603E-2</v>
      </c>
      <c r="I21" s="9">
        <f t="shared" si="5"/>
        <v>5.8580314886130726E-2</v>
      </c>
      <c r="J21" s="9">
        <f t="shared" si="3"/>
        <v>4.1868509895099472E-2</v>
      </c>
      <c r="K21" s="9">
        <f t="shared" si="4"/>
        <v>1.1657573684894021E-2</v>
      </c>
      <c r="L21" s="15"/>
      <c r="M21" s="9">
        <f t="shared" si="6"/>
        <v>0.22799417591774096</v>
      </c>
      <c r="N21" s="9">
        <f t="shared" si="1"/>
        <v>1.2560780099093876</v>
      </c>
    </row>
    <row r="22" spans="1:14" x14ac:dyDescent="0.3">
      <c r="A22" s="8">
        <v>1967</v>
      </c>
      <c r="B22" s="9">
        <f>Data!Y22</f>
        <v>2.1890227794647217</v>
      </c>
      <c r="C22" s="9">
        <f>Data!AB22</f>
        <v>2.3752973079681396</v>
      </c>
      <c r="D22" s="9">
        <f>Data!AE22</f>
        <v>1.3805618286132813</v>
      </c>
      <c r="E22" s="14"/>
      <c r="F22" s="9">
        <f t="shared" si="2"/>
        <v>0.56284594535827637</v>
      </c>
      <c r="G22" s="14"/>
      <c r="H22" s="9">
        <f t="shared" si="5"/>
        <v>2.8262560039983203E-2</v>
      </c>
      <c r="I22" s="9">
        <f t="shared" si="5"/>
        <v>6.0558151208344443E-2</v>
      </c>
      <c r="J22" s="9">
        <f t="shared" si="3"/>
        <v>1.0718064924259488E-2</v>
      </c>
      <c r="K22" s="9">
        <f t="shared" si="4"/>
        <v>-4.2433006870573782E-3</v>
      </c>
      <c r="L22" s="15"/>
      <c r="M22" s="9">
        <f t="shared" si="6"/>
        <v>0.22375087523068357</v>
      </c>
      <c r="N22" s="9">
        <f t="shared" si="1"/>
        <v>1.2507593854687296</v>
      </c>
    </row>
    <row r="23" spans="1:14" x14ac:dyDescent="0.3">
      <c r="A23" s="8">
        <v>1968</v>
      </c>
      <c r="B23" s="9">
        <f>Data!Y23</f>
        <v>2.301386833190918</v>
      </c>
      <c r="C23" s="9">
        <f>Data!AB23</f>
        <v>2.5099687576293945</v>
      </c>
      <c r="D23" s="9">
        <f>Data!AE23</f>
        <v>1.405327320098877</v>
      </c>
      <c r="E23" s="14"/>
      <c r="F23" s="9">
        <f t="shared" si="2"/>
        <v>0.56284594535827637</v>
      </c>
      <c r="G23" s="14"/>
      <c r="H23" s="9">
        <f t="shared" si="5"/>
        <v>5.0056687353338285E-2</v>
      </c>
      <c r="I23" s="9">
        <f t="shared" si="5"/>
        <v>5.5147693952293686E-2</v>
      </c>
      <c r="J23" s="9">
        <f t="shared" si="3"/>
        <v>1.7779705193873289E-2</v>
      </c>
      <c r="K23" s="9">
        <f t="shared" si="4"/>
        <v>1.5941414359915172E-2</v>
      </c>
      <c r="L23" s="15"/>
      <c r="M23" s="9">
        <f t="shared" si="6"/>
        <v>0.23969228959059874</v>
      </c>
      <c r="N23" s="9">
        <f t="shared" si="1"/>
        <v>1.2708580339032909</v>
      </c>
    </row>
    <row r="24" spans="1:14" x14ac:dyDescent="0.3">
      <c r="A24" s="8">
        <v>1969</v>
      </c>
      <c r="B24" s="9">
        <f>Data!Y24</f>
        <v>2.3747429847717285</v>
      </c>
      <c r="C24" s="9">
        <f>Data!AB24</f>
        <v>2.6488194465637207</v>
      </c>
      <c r="D24" s="9">
        <f>Data!AE24</f>
        <v>1.437849760055542</v>
      </c>
      <c r="E24" s="14"/>
      <c r="F24" s="9">
        <f t="shared" si="2"/>
        <v>0.56284594535827637</v>
      </c>
      <c r="G24" s="14"/>
      <c r="H24" s="9">
        <f t="shared" si="5"/>
        <v>3.1377302518775546E-2</v>
      </c>
      <c r="I24" s="9">
        <f t="shared" si="5"/>
        <v>5.3843742967780772E-2</v>
      </c>
      <c r="J24" s="9">
        <f t="shared" si="3"/>
        <v>2.2878531742175783E-2</v>
      </c>
      <c r="K24" s="9">
        <f t="shared" si="4"/>
        <v>-5.0377968635108746E-3</v>
      </c>
      <c r="L24" s="15"/>
      <c r="M24" s="9">
        <f t="shared" si="6"/>
        <v>0.23465449272708785</v>
      </c>
      <c r="N24" s="9">
        <f t="shared" si="1"/>
        <v>1.2644718090444462</v>
      </c>
    </row>
    <row r="25" spans="1:14" x14ac:dyDescent="0.3">
      <c r="A25" s="8">
        <v>1970</v>
      </c>
      <c r="B25" s="9">
        <f>Data!Y25</f>
        <v>2.3827815055847168</v>
      </c>
      <c r="C25" s="9">
        <f>Data!AB25</f>
        <v>2.7715959548950195</v>
      </c>
      <c r="D25" s="9">
        <f>Data!AE25</f>
        <v>1.404610276222229</v>
      </c>
      <c r="E25" s="14"/>
      <c r="F25" s="9">
        <f t="shared" si="2"/>
        <v>0.56284594535827637</v>
      </c>
      <c r="G25" s="14"/>
      <c r="H25" s="9">
        <f t="shared" si="5"/>
        <v>3.3792904183710002E-3</v>
      </c>
      <c r="I25" s="9">
        <f t="shared" si="5"/>
        <v>4.5309262411936412E-2</v>
      </c>
      <c r="J25" s="9">
        <f t="shared" si="3"/>
        <v>-2.3388894600874729E-2</v>
      </c>
      <c r="K25" s="9">
        <f t="shared" si="4"/>
        <v>-3.2634928653184209E-3</v>
      </c>
      <c r="L25" s="15"/>
      <c r="M25" s="9">
        <f t="shared" si="6"/>
        <v>0.23139099986176942</v>
      </c>
      <c r="N25" s="9">
        <f t="shared" si="1"/>
        <v>1.2603519405544599</v>
      </c>
    </row>
    <row r="26" spans="1:14" x14ac:dyDescent="0.3">
      <c r="A26" s="8">
        <v>1971</v>
      </c>
      <c r="B26" s="9">
        <f>Data!Y26</f>
        <v>2.45906662940979</v>
      </c>
      <c r="C26" s="9">
        <f>Data!AB26</f>
        <v>2.9007253646850586</v>
      </c>
      <c r="D26" s="9">
        <f>Data!AE26</f>
        <v>1.4000799655914307</v>
      </c>
      <c r="E26" s="14"/>
      <c r="F26" s="9">
        <f t="shared" si="2"/>
        <v>0.56284594535827637</v>
      </c>
      <c r="G26" s="14"/>
      <c r="H26" s="9">
        <f t="shared" si="5"/>
        <v>3.1513353896703254E-2</v>
      </c>
      <c r="I26" s="9">
        <f t="shared" si="5"/>
        <v>4.5537520183326352E-2</v>
      </c>
      <c r="J26" s="9">
        <f t="shared" si="3"/>
        <v>-3.2305275664557221E-3</v>
      </c>
      <c r="K26" s="9">
        <f t="shared" si="4"/>
        <v>1.3424731652380556E-2</v>
      </c>
      <c r="L26" s="15"/>
      <c r="M26" s="9">
        <f t="shared" si="6"/>
        <v>0.24481573151414998</v>
      </c>
      <c r="N26" s="9">
        <f t="shared" si="1"/>
        <v>1.2773859095494162</v>
      </c>
    </row>
    <row r="27" spans="1:14" x14ac:dyDescent="0.3">
      <c r="A27" s="8">
        <v>1972</v>
      </c>
      <c r="B27" s="9">
        <f>Data!Y27</f>
        <v>2.588883638381958</v>
      </c>
      <c r="C27" s="9">
        <f>Data!AB27</f>
        <v>3.0204887390136719</v>
      </c>
      <c r="D27" s="9">
        <f>Data!AE27</f>
        <v>1.4323701858520508</v>
      </c>
      <c r="E27" s="14"/>
      <c r="F27" s="9">
        <f t="shared" si="2"/>
        <v>0.56284594535827637</v>
      </c>
      <c r="G27" s="14"/>
      <c r="H27" s="9">
        <f t="shared" si="5"/>
        <v>5.1444896132989061E-2</v>
      </c>
      <c r="I27" s="9">
        <f t="shared" si="5"/>
        <v>4.045782093387279E-2</v>
      </c>
      <c r="J27" s="9">
        <f t="shared" si="3"/>
        <v>2.2801191534186104E-2</v>
      </c>
      <c r="K27" s="9">
        <f t="shared" si="4"/>
        <v>2.0925037465423658E-2</v>
      </c>
      <c r="L27" s="15"/>
      <c r="M27" s="9">
        <f t="shared" si="6"/>
        <v>0.26574076897957366</v>
      </c>
      <c r="N27" s="9">
        <f t="shared" si="1"/>
        <v>1.3043968747220596</v>
      </c>
    </row>
    <row r="28" spans="1:14" x14ac:dyDescent="0.3">
      <c r="A28" s="8">
        <v>1973</v>
      </c>
      <c r="B28" s="9">
        <f>Data!Y28</f>
        <v>2.722813606262207</v>
      </c>
      <c r="C28" s="9">
        <f>Data!AB28</f>
        <v>3.1526923179626465</v>
      </c>
      <c r="D28" s="9">
        <f>Data!AE28</f>
        <v>1.4917737245559692</v>
      </c>
      <c r="E28" s="14"/>
      <c r="F28" s="9">
        <f t="shared" si="2"/>
        <v>0.56284594535827637</v>
      </c>
      <c r="G28" s="14"/>
      <c r="H28" s="9">
        <f t="shared" si="5"/>
        <v>5.0439004596749111E-2</v>
      </c>
      <c r="I28" s="9">
        <f t="shared" si="5"/>
        <v>4.2838139497559206E-2</v>
      </c>
      <c r="J28" s="9">
        <f t="shared" si="3"/>
        <v>4.0635286331559807E-2</v>
      </c>
      <c r="K28" s="9">
        <f t="shared" si="4"/>
        <v>8.840732071892312E-3</v>
      </c>
      <c r="L28" s="15"/>
      <c r="M28" s="9">
        <f t="shared" si="6"/>
        <v>0.27458150105146595</v>
      </c>
      <c r="N28" s="9">
        <f t="shared" si="1"/>
        <v>1.3159798234378886</v>
      </c>
    </row>
    <row r="29" spans="1:14" x14ac:dyDescent="0.3">
      <c r="A29" s="8">
        <v>1974</v>
      </c>
      <c r="B29" s="9">
        <f>Data!Y29</f>
        <v>2.7034358978271484</v>
      </c>
      <c r="C29" s="9">
        <f>Data!AB29</f>
        <v>3.2913753986358643</v>
      </c>
      <c r="D29" s="9">
        <f>Data!AE29</f>
        <v>1.4881918430328369</v>
      </c>
      <c r="E29" s="14"/>
      <c r="F29" s="9">
        <f t="shared" si="2"/>
        <v>0.56284594535827637</v>
      </c>
      <c r="G29" s="14"/>
      <c r="H29" s="9">
        <f t="shared" si="5"/>
        <v>-7.1422409877717388E-3</v>
      </c>
      <c r="I29" s="9">
        <f t="shared" si="5"/>
        <v>4.3048739812447112E-2</v>
      </c>
      <c r="J29" s="9">
        <f t="shared" si="3"/>
        <v>-2.4039762654272743E-3</v>
      </c>
      <c r="K29" s="9">
        <f t="shared" si="4"/>
        <v>-2.4608103850266315E-2</v>
      </c>
      <c r="L29" s="15"/>
      <c r="M29" s="9">
        <f t="shared" si="6"/>
        <v>0.24997339720119963</v>
      </c>
      <c r="N29" s="9">
        <f t="shared" si="1"/>
        <v>1.2839912584722808</v>
      </c>
    </row>
    <row r="30" spans="1:14" x14ac:dyDescent="0.3">
      <c r="A30" s="8">
        <v>1975</v>
      </c>
      <c r="B30" s="9">
        <f>Data!Y30</f>
        <v>2.6943776607513428</v>
      </c>
      <c r="C30" s="9">
        <f>Data!AB30</f>
        <v>3.4009368419647217</v>
      </c>
      <c r="D30" s="9">
        <f>Data!AE30</f>
        <v>1.4485042095184326</v>
      </c>
      <c r="E30" s="14"/>
      <c r="F30" s="9">
        <f t="shared" si="2"/>
        <v>0.56284594535827637</v>
      </c>
      <c r="G30" s="14"/>
      <c r="H30" s="9">
        <f t="shared" si="5"/>
        <v>-3.3562647099807654E-3</v>
      </c>
      <c r="I30" s="9">
        <f t="shared" si="5"/>
        <v>3.2745403708243324E-2</v>
      </c>
      <c r="J30" s="9">
        <f t="shared" si="3"/>
        <v>-2.7030410524398762E-2</v>
      </c>
      <c r="K30" s="9">
        <f t="shared" si="4"/>
        <v>-2.4570937468919446E-3</v>
      </c>
      <c r="L30" s="15"/>
      <c r="M30" s="9">
        <f t="shared" si="6"/>
        <v>0.2475163034543077</v>
      </c>
      <c r="N30" s="9">
        <f t="shared" si="1"/>
        <v>1.2808402443338964</v>
      </c>
    </row>
    <row r="31" spans="1:14" x14ac:dyDescent="0.3">
      <c r="A31" s="8">
        <v>1976</v>
      </c>
      <c r="B31" s="9">
        <f>Data!Y31</f>
        <v>2.8324153423309326</v>
      </c>
      <c r="C31" s="9">
        <f>Data!AB31</f>
        <v>3.4965701103210449</v>
      </c>
      <c r="D31" s="9">
        <f>Data!AE31</f>
        <v>1.4901098012924194</v>
      </c>
      <c r="E31" s="14"/>
      <c r="F31" s="9">
        <f t="shared" si="2"/>
        <v>0.56284594535827637</v>
      </c>
      <c r="G31" s="14"/>
      <c r="H31" s="9">
        <f t="shared" si="5"/>
        <v>4.996257146590366E-2</v>
      </c>
      <c r="I31" s="9">
        <f t="shared" si="5"/>
        <v>2.7731584110836573E-2</v>
      </c>
      <c r="J31" s="9">
        <f t="shared" si="3"/>
        <v>2.8318365039259257E-2</v>
      </c>
      <c r="K31" s="9">
        <f t="shared" si="4"/>
        <v>2.1900720088690814E-2</v>
      </c>
      <c r="L31" s="15"/>
      <c r="M31" s="9">
        <f t="shared" si="6"/>
        <v>0.26941702354299851</v>
      </c>
      <c r="N31" s="9">
        <f t="shared" si="1"/>
        <v>1.3092009948589838</v>
      </c>
    </row>
    <row r="32" spans="1:14" x14ac:dyDescent="0.3">
      <c r="A32" s="8">
        <v>1977</v>
      </c>
      <c r="B32" s="9">
        <f>Data!Y32</f>
        <v>2.9506149291992188</v>
      </c>
      <c r="C32" s="9">
        <f>Data!AB32</f>
        <v>3.6051239967346191</v>
      </c>
      <c r="D32" s="9">
        <f>Data!AE32</f>
        <v>1.5474871397018433</v>
      </c>
      <c r="E32" s="14"/>
      <c r="F32" s="9">
        <f t="shared" si="2"/>
        <v>0.56284594535827637</v>
      </c>
      <c r="G32" s="14"/>
      <c r="H32" s="9">
        <f t="shared" si="5"/>
        <v>4.0883773699458788E-2</v>
      </c>
      <c r="I32" s="9">
        <f t="shared" si="5"/>
        <v>3.057364637826445E-2</v>
      </c>
      <c r="J32" s="9">
        <f t="shared" si="3"/>
        <v>3.7782605786908202E-2</v>
      </c>
      <c r="K32" s="9">
        <f t="shared" si="4"/>
        <v>6.2525937477868054E-3</v>
      </c>
      <c r="L32" s="15"/>
      <c r="M32" s="9">
        <f t="shared" si="6"/>
        <v>0.27566961729078532</v>
      </c>
      <c r="N32" s="9">
        <f t="shared" si="1"/>
        <v>1.3174125417950822</v>
      </c>
    </row>
    <row r="33" spans="1:14" x14ac:dyDescent="0.3">
      <c r="A33" s="8">
        <v>1978</v>
      </c>
      <c r="B33" s="9">
        <f>Data!Y33</f>
        <v>3.0999574661254883</v>
      </c>
      <c r="C33" s="9">
        <f>Data!AB33</f>
        <v>3.7799568176269531</v>
      </c>
      <c r="D33" s="9">
        <f>Data!AE33</f>
        <v>1.6213527917861938</v>
      </c>
      <c r="E33" s="14"/>
      <c r="F33" s="9">
        <f t="shared" si="2"/>
        <v>0.56284594535827637</v>
      </c>
      <c r="G33" s="14"/>
      <c r="H33" s="9">
        <f t="shared" si="5"/>
        <v>4.937479158735876E-2</v>
      </c>
      <c r="I33" s="9">
        <f t="shared" si="5"/>
        <v>4.7356419747140319E-2</v>
      </c>
      <c r="J33" s="9">
        <f t="shared" si="3"/>
        <v>4.6628442264898075E-2</v>
      </c>
      <c r="K33" s="9">
        <f t="shared" si="4"/>
        <v>2.4281110144106152E-3</v>
      </c>
      <c r="L33" s="15"/>
      <c r="M33" s="9">
        <f t="shared" si="6"/>
        <v>0.27809772830519591</v>
      </c>
      <c r="N33" s="9">
        <f t="shared" si="1"/>
        <v>1.3206152523932526</v>
      </c>
    </row>
    <row r="34" spans="1:14" x14ac:dyDescent="0.3">
      <c r="A34" s="8">
        <v>1979</v>
      </c>
      <c r="B34" s="9">
        <f>Data!Y34</f>
        <v>3.194270133972168</v>
      </c>
      <c r="C34" s="9">
        <f>Data!AB34</f>
        <v>3.9663212299346924</v>
      </c>
      <c r="D34" s="9">
        <f>Data!AE34</f>
        <v>1.6745506525039673</v>
      </c>
      <c r="E34" s="14"/>
      <c r="F34" s="9">
        <f t="shared" si="2"/>
        <v>0.56284594535827637</v>
      </c>
      <c r="G34" s="14"/>
      <c r="H34" s="9">
        <f t="shared" si="5"/>
        <v>2.9970230869490726E-2</v>
      </c>
      <c r="I34" s="9">
        <f t="shared" si="5"/>
        <v>4.8126437108821592E-2</v>
      </c>
      <c r="J34" s="9">
        <f t="shared" si="3"/>
        <v>3.2284004688542492E-2</v>
      </c>
      <c r="K34" s="9">
        <f t="shared" si="4"/>
        <v>-9.2393573869642698E-3</v>
      </c>
      <c r="L34" s="15"/>
      <c r="M34" s="9">
        <f t="shared" si="6"/>
        <v>0.26885837091823162</v>
      </c>
      <c r="N34" s="9">
        <f t="shared" si="1"/>
        <v>1.3084698105448929</v>
      </c>
    </row>
    <row r="35" spans="1:14" x14ac:dyDescent="0.3">
      <c r="A35" s="8">
        <v>1980</v>
      </c>
      <c r="B35" s="9">
        <f>Data!Y35</f>
        <v>3.1723487377166748</v>
      </c>
      <c r="C35" s="9">
        <f>Data!AB35</f>
        <v>4.1551823616027832</v>
      </c>
      <c r="D35" s="9">
        <f>Data!AE35</f>
        <v>1.6618548631668091</v>
      </c>
      <c r="E35" s="14"/>
      <c r="F35" s="9">
        <f t="shared" si="2"/>
        <v>0.56284594535827637</v>
      </c>
      <c r="G35" s="14"/>
      <c r="H35" s="9">
        <f t="shared" si="5"/>
        <v>-6.8863813987874922E-3</v>
      </c>
      <c r="I35" s="9">
        <f t="shared" si="5"/>
        <v>4.6517294253196936E-2</v>
      </c>
      <c r="J35" s="9">
        <f t="shared" si="3"/>
        <v>-7.6104961195166704E-3</v>
      </c>
      <c r="K35" s="9">
        <f t="shared" si="4"/>
        <v>-2.2938068309499828E-2</v>
      </c>
      <c r="L35" s="15"/>
      <c r="M35" s="9">
        <f t="shared" si="6"/>
        <v>0.24592030260873179</v>
      </c>
      <c r="N35" s="9">
        <f t="shared" si="1"/>
        <v>1.2787976526435016</v>
      </c>
    </row>
    <row r="36" spans="1:14" x14ac:dyDescent="0.3">
      <c r="A36" s="8">
        <v>1981</v>
      </c>
      <c r="B36" s="9">
        <f>Data!Y36</f>
        <v>3.2517344951629639</v>
      </c>
      <c r="C36" s="9">
        <f>Data!AB36</f>
        <v>4.3158254623413086</v>
      </c>
      <c r="D36" s="9">
        <f>Data!AE36</f>
        <v>1.6838330030441284</v>
      </c>
      <c r="E36" s="14"/>
      <c r="F36" s="9">
        <f t="shared" si="2"/>
        <v>0.56284594535827637</v>
      </c>
      <c r="G36" s="14"/>
      <c r="H36" s="9">
        <f t="shared" si="5"/>
        <v>2.47163045357294E-2</v>
      </c>
      <c r="I36" s="9">
        <f t="shared" si="5"/>
        <v>3.793228987817801E-2</v>
      </c>
      <c r="J36" s="9">
        <f t="shared" si="3"/>
        <v>1.3138378058744691E-2</v>
      </c>
      <c r="K36" s="9">
        <f t="shared" si="4"/>
        <v>7.3916739469007814E-4</v>
      </c>
      <c r="L36" s="15"/>
      <c r="M36" s="9">
        <f t="shared" si="6"/>
        <v>0.24665947000342187</v>
      </c>
      <c r="N36" s="9">
        <f t="shared" si="1"/>
        <v>1.279743247606171</v>
      </c>
    </row>
    <row r="37" spans="1:14" x14ac:dyDescent="0.3">
      <c r="A37" s="8">
        <v>1982</v>
      </c>
      <c r="B37" s="9">
        <f>Data!Y37</f>
        <v>3.1902256011962891</v>
      </c>
      <c r="C37" s="9">
        <f>Data!AB37</f>
        <v>4.4880046844482422</v>
      </c>
      <c r="D37" s="9">
        <f>Data!AE37</f>
        <v>1.6490050554275513</v>
      </c>
      <c r="E37" s="14"/>
      <c r="F37" s="9">
        <f t="shared" si="2"/>
        <v>0.56284594535827637</v>
      </c>
      <c r="G37" s="14"/>
      <c r="H37" s="9">
        <f t="shared" si="5"/>
        <v>-1.9096909124462182E-2</v>
      </c>
      <c r="I37" s="9">
        <f t="shared" si="5"/>
        <v>3.9119605093514351E-2</v>
      </c>
      <c r="J37" s="9">
        <f t="shared" si="3"/>
        <v>-2.0900634738094958E-2</v>
      </c>
      <c r="K37" s="9">
        <f t="shared" si="4"/>
        <v>-2.4434365589323912E-2</v>
      </c>
      <c r="L37" s="15"/>
      <c r="M37" s="9">
        <f t="shared" si="6"/>
        <v>0.22222510441409796</v>
      </c>
      <c r="N37" s="9">
        <f t="shared" si="1"/>
        <v>1.2488524684289335</v>
      </c>
    </row>
    <row r="38" spans="1:14" x14ac:dyDescent="0.3">
      <c r="A38" s="8">
        <v>1983</v>
      </c>
      <c r="B38" s="9">
        <f>Data!Y38</f>
        <v>3.3432269096374512</v>
      </c>
      <c r="C38" s="9">
        <f>Data!AB38</f>
        <v>4.6554460525512695</v>
      </c>
      <c r="D38" s="9">
        <f>Data!AE38</f>
        <v>1.6745383739471436</v>
      </c>
      <c r="E38" s="14"/>
      <c r="F38" s="9">
        <f t="shared" si="2"/>
        <v>0.56284594535827637</v>
      </c>
      <c r="G38" s="14"/>
      <c r="H38" s="9">
        <f t="shared" ref="H38:I69" si="7">LN(B38/B37)</f>
        <v>4.6844845510913592E-2</v>
      </c>
      <c r="I38" s="9">
        <f t="shared" si="7"/>
        <v>3.6629516391802598E-2</v>
      </c>
      <c r="J38" s="9">
        <f t="shared" si="3"/>
        <v>1.5365420323243274E-2</v>
      </c>
      <c r="K38" s="9">
        <f t="shared" si="4"/>
        <v>2.2183739373008472E-2</v>
      </c>
      <c r="L38" s="15"/>
      <c r="M38" s="9">
        <f t="shared" si="6"/>
        <v>0.24440884378710642</v>
      </c>
      <c r="N38" s="9">
        <f t="shared" si="1"/>
        <v>1.2768662626262692</v>
      </c>
    </row>
    <row r="39" spans="1:14" x14ac:dyDescent="0.3">
      <c r="A39" s="8">
        <v>1984</v>
      </c>
      <c r="B39" s="9">
        <f>Data!Y39</f>
        <v>3.5793313980102539</v>
      </c>
      <c r="C39" s="9">
        <f>Data!AB39</f>
        <v>4.8542585372924805</v>
      </c>
      <c r="D39" s="9">
        <f>Data!AE39</f>
        <v>1.7689400911331177</v>
      </c>
      <c r="E39" s="14"/>
      <c r="F39" s="9">
        <f t="shared" si="2"/>
        <v>0.56284594535827637</v>
      </c>
      <c r="G39" s="14"/>
      <c r="H39" s="9">
        <f t="shared" si="7"/>
        <v>6.8239541453220004E-2</v>
      </c>
      <c r="I39" s="9">
        <f t="shared" si="7"/>
        <v>4.1818640232676334E-2</v>
      </c>
      <c r="J39" s="9">
        <f t="shared" si="3"/>
        <v>5.4843019003907069E-2</v>
      </c>
      <c r="K39" s="9">
        <f t="shared" si="4"/>
        <v>1.9090182438346041E-2</v>
      </c>
      <c r="L39" s="15"/>
      <c r="M39" s="9">
        <f t="shared" si="6"/>
        <v>0.26349902622545246</v>
      </c>
      <c r="N39" s="9">
        <f t="shared" si="1"/>
        <v>1.3014760275967969</v>
      </c>
    </row>
    <row r="40" spans="1:14" x14ac:dyDescent="0.3">
      <c r="A40" s="8">
        <v>1985</v>
      </c>
      <c r="B40" s="9">
        <f>Data!Y40</f>
        <v>3.7367382049560547</v>
      </c>
      <c r="C40" s="9">
        <f>Data!AB40</f>
        <v>5.0852212905883789</v>
      </c>
      <c r="D40" s="9">
        <f>Data!AE40</f>
        <v>1.8069400787353516</v>
      </c>
      <c r="E40" s="14"/>
      <c r="F40" s="9">
        <f t="shared" si="2"/>
        <v>0.56284594535827637</v>
      </c>
      <c r="G40" s="14"/>
      <c r="H40" s="9">
        <f t="shared" si="7"/>
        <v>4.3037070542398179E-2</v>
      </c>
      <c r="I40" s="9">
        <f t="shared" si="7"/>
        <v>4.6482178243875884E-2</v>
      </c>
      <c r="J40" s="9">
        <f t="shared" si="3"/>
        <v>2.125430177338224E-2</v>
      </c>
      <c r="K40" s="9">
        <f t="shared" si="4"/>
        <v>1.0754300279939108E-2</v>
      </c>
      <c r="L40" s="15"/>
      <c r="M40" s="9">
        <f t="shared" si="6"/>
        <v>0.27425332650539158</v>
      </c>
      <c r="N40" s="9">
        <f t="shared" si="1"/>
        <v>1.3155480232134855</v>
      </c>
    </row>
    <row r="41" spans="1:14" x14ac:dyDescent="0.3">
      <c r="A41" s="8">
        <v>1986</v>
      </c>
      <c r="B41" s="9">
        <f>Data!Y41</f>
        <v>3.8736491203308105</v>
      </c>
      <c r="C41" s="9">
        <f>Data!AB41</f>
        <v>5.3226032257080078</v>
      </c>
      <c r="D41" s="9">
        <f>Data!AE41</f>
        <v>1.8209192752838135</v>
      </c>
      <c r="E41" s="14"/>
      <c r="F41" s="9">
        <f t="shared" si="2"/>
        <v>0.56284594535827637</v>
      </c>
      <c r="G41" s="14"/>
      <c r="H41" s="9">
        <f t="shared" si="7"/>
        <v>3.5983894736314491E-2</v>
      </c>
      <c r="I41" s="9">
        <f t="shared" si="7"/>
        <v>4.5623964952087259E-2</v>
      </c>
      <c r="J41" s="9">
        <f t="shared" si="3"/>
        <v>7.7066194534749499E-3</v>
      </c>
      <c r="K41" s="9">
        <f t="shared" si="4"/>
        <v>1.1701553956870062E-2</v>
      </c>
      <c r="L41" s="15"/>
      <c r="M41" s="9">
        <f t="shared" si="6"/>
        <v>0.28595488046226164</v>
      </c>
      <c r="N41" s="9">
        <f t="shared" si="1"/>
        <v>1.3310323983309043</v>
      </c>
    </row>
    <row r="42" spans="1:14" x14ac:dyDescent="0.3">
      <c r="A42" s="8">
        <v>1987</v>
      </c>
      <c r="B42" s="9">
        <f>Data!Y42</f>
        <v>3.9964404106140137</v>
      </c>
      <c r="C42" s="9">
        <f>Data!AB42</f>
        <v>5.5711402893066406</v>
      </c>
      <c r="D42" s="9">
        <f>Data!AE42</f>
        <v>1.8855457305908203</v>
      </c>
      <c r="E42" s="14"/>
      <c r="F42" s="9">
        <f t="shared" si="2"/>
        <v>0.56284594535827637</v>
      </c>
      <c r="G42" s="14"/>
      <c r="H42" s="9">
        <f t="shared" si="7"/>
        <v>3.1207079662577301E-2</v>
      </c>
      <c r="I42" s="9">
        <f t="shared" si="7"/>
        <v>4.5637240978476622E-2</v>
      </c>
      <c r="J42" s="9">
        <f t="shared" si="3"/>
        <v>3.4875821368873662E-2</v>
      </c>
      <c r="K42" s="9">
        <f t="shared" si="4"/>
        <v>-8.373139922335248E-3</v>
      </c>
      <c r="L42" s="15"/>
      <c r="M42" s="9">
        <f t="shared" si="6"/>
        <v>0.2775817405399264</v>
      </c>
      <c r="N42" s="9">
        <f t="shared" si="1"/>
        <v>1.3199340068526864</v>
      </c>
    </row>
    <row r="43" spans="1:14" x14ac:dyDescent="0.3">
      <c r="A43" s="8">
        <v>1988</v>
      </c>
      <c r="B43" s="9">
        <f>Data!Y43</f>
        <v>4.163815975189209</v>
      </c>
      <c r="C43" s="9">
        <f>Data!AB43</f>
        <v>5.7736272811889648</v>
      </c>
      <c r="D43" s="9">
        <f>Data!AE43</f>
        <v>1.9368704557418823</v>
      </c>
      <c r="E43" s="14"/>
      <c r="F43" s="9">
        <f t="shared" si="2"/>
        <v>0.56284594535827637</v>
      </c>
      <c r="G43" s="14"/>
      <c r="H43" s="9">
        <f t="shared" si="7"/>
        <v>4.1027887957540358E-2</v>
      </c>
      <c r="I43" s="9">
        <f t="shared" si="7"/>
        <v>3.5700775135002687E-2</v>
      </c>
      <c r="J43" s="9">
        <f t="shared" si="3"/>
        <v>2.6856212127584555E-2</v>
      </c>
      <c r="K43" s="9">
        <f t="shared" si="4"/>
        <v>1.030523924972877E-2</v>
      </c>
      <c r="L43" s="15"/>
      <c r="M43" s="9">
        <f t="shared" si="6"/>
        <v>0.28788697978965516</v>
      </c>
      <c r="N43" s="9">
        <f t="shared" si="1"/>
        <v>1.3336065711104224</v>
      </c>
    </row>
    <row r="44" spans="1:14" x14ac:dyDescent="0.3">
      <c r="A44" s="8">
        <v>1989</v>
      </c>
      <c r="B44" s="9">
        <f>Data!Y44</f>
        <v>4.3102726936340332</v>
      </c>
      <c r="C44" s="9">
        <f>Data!AB44</f>
        <v>5.9772543907165527</v>
      </c>
      <c r="D44" s="9">
        <f>Data!AE44</f>
        <v>1.9893332719802856</v>
      </c>
      <c r="E44" s="14"/>
      <c r="F44" s="9">
        <f t="shared" si="2"/>
        <v>0.56284594535827637</v>
      </c>
      <c r="G44" s="14"/>
      <c r="H44" s="9">
        <f t="shared" si="7"/>
        <v>3.4569216561664243E-2</v>
      </c>
      <c r="I44" s="9">
        <f t="shared" si="7"/>
        <v>3.4660802616316183E-2</v>
      </c>
      <c r="J44" s="9">
        <f t="shared" si="3"/>
        <v>2.672604001559397E-2</v>
      </c>
      <c r="K44" s="9">
        <f t="shared" si="4"/>
        <v>4.3744629025450499E-3</v>
      </c>
      <c r="L44" s="15"/>
      <c r="M44" s="9">
        <f t="shared" si="6"/>
        <v>0.29226144269220022</v>
      </c>
      <c r="N44" s="9">
        <f t="shared" si="1"/>
        <v>1.3394531621067205</v>
      </c>
    </row>
    <row r="45" spans="1:14" x14ac:dyDescent="0.3">
      <c r="A45" s="8">
        <v>1990</v>
      </c>
      <c r="B45" s="9">
        <f>Data!Y45</f>
        <v>4.3902592658996582</v>
      </c>
      <c r="C45" s="9">
        <f>Data!AB45</f>
        <v>6.194096565246582</v>
      </c>
      <c r="D45" s="9">
        <f>Data!AE45</f>
        <v>2.014019250869751</v>
      </c>
      <c r="E45" s="14"/>
      <c r="F45" s="9">
        <f t="shared" si="2"/>
        <v>0.56284594535827637</v>
      </c>
      <c r="G45" s="14"/>
      <c r="H45" s="9">
        <f t="shared" si="7"/>
        <v>1.8387111535811813E-2</v>
      </c>
      <c r="I45" s="9">
        <f t="shared" si="7"/>
        <v>3.5635341014499375E-2</v>
      </c>
      <c r="J45" s="9">
        <f t="shared" si="3"/>
        <v>1.2332809383546832E-2</v>
      </c>
      <c r="K45" s="9">
        <f t="shared" si="4"/>
        <v>-4.1324940336229399E-3</v>
      </c>
      <c r="L45" s="15"/>
      <c r="M45" s="9">
        <f t="shared" si="6"/>
        <v>0.2881289486585773</v>
      </c>
      <c r="N45" s="9">
        <f t="shared" si="1"/>
        <v>1.3339293014277913</v>
      </c>
    </row>
    <row r="46" spans="1:14" x14ac:dyDescent="0.3">
      <c r="A46" s="8">
        <v>1991</v>
      </c>
      <c r="B46" s="9">
        <f>Data!Y46</f>
        <v>4.3914918899536133</v>
      </c>
      <c r="C46" s="9">
        <f>Data!AB46</f>
        <v>6.37615966796875</v>
      </c>
      <c r="D46" s="9">
        <f>Data!AE46</f>
        <v>1.9877479076385498</v>
      </c>
      <c r="E46" s="14"/>
      <c r="F46" s="9">
        <f t="shared" si="2"/>
        <v>0.56284594535827637</v>
      </c>
      <c r="G46" s="14"/>
      <c r="H46" s="9">
        <f t="shared" si="7"/>
        <v>2.8072397866308859E-4</v>
      </c>
      <c r="I46" s="9">
        <f t="shared" si="7"/>
        <v>2.8969311645611506E-2</v>
      </c>
      <c r="J46" s="9">
        <f t="shared" si="3"/>
        <v>-1.3130059605057453E-2</v>
      </c>
      <c r="K46" s="9">
        <f t="shared" si="4"/>
        <v>-4.9931272563766066E-3</v>
      </c>
      <c r="L46" s="15"/>
      <c r="M46" s="9">
        <f t="shared" si="6"/>
        <v>0.28313582140220067</v>
      </c>
      <c r="N46" s="9">
        <f t="shared" si="1"/>
        <v>1.3272854233425124</v>
      </c>
    </row>
    <row r="47" spans="1:14" x14ac:dyDescent="0.3">
      <c r="A47" s="8">
        <v>1992</v>
      </c>
      <c r="B47" s="9">
        <f>Data!Y47</f>
        <v>4.5419178009033203</v>
      </c>
      <c r="C47" s="9">
        <f>Data!AB47</f>
        <v>6.5597171783447266</v>
      </c>
      <c r="D47" s="9">
        <f>Data!AE47</f>
        <v>1.9932829141616821</v>
      </c>
      <c r="E47" s="14"/>
      <c r="F47" s="9">
        <f t="shared" si="2"/>
        <v>0.56284594535827637</v>
      </c>
      <c r="G47" s="14"/>
      <c r="H47" s="9">
        <f t="shared" si="7"/>
        <v>3.3680338350827677E-2</v>
      </c>
      <c r="I47" s="9">
        <f t="shared" si="7"/>
        <v>2.8381505767308014E-2</v>
      </c>
      <c r="J47" s="9">
        <f t="shared" si="3"/>
        <v>2.7806919048831333E-3</v>
      </c>
      <c r="K47" s="9">
        <f t="shared" si="4"/>
        <v>1.9708146863857461E-2</v>
      </c>
      <c r="L47" s="15"/>
      <c r="M47" s="9">
        <f t="shared" si="6"/>
        <v>0.30284396826605814</v>
      </c>
      <c r="N47" s="9">
        <f t="shared" si="1"/>
        <v>1.3537032273010696</v>
      </c>
    </row>
    <row r="48" spans="1:14" x14ac:dyDescent="0.3">
      <c r="A48" s="8">
        <v>1993</v>
      </c>
      <c r="B48" s="9">
        <f>Data!Y48</f>
        <v>4.6596827507019043</v>
      </c>
      <c r="C48" s="9">
        <f>Data!AB48</f>
        <v>6.783973217010498</v>
      </c>
      <c r="D48" s="9">
        <f>Data!AE48</f>
        <v>2.038607120513916</v>
      </c>
      <c r="E48" s="14"/>
      <c r="F48" s="9">
        <f t="shared" si="2"/>
        <v>0.56284594535827637</v>
      </c>
      <c r="G48" s="14"/>
      <c r="H48" s="9">
        <f t="shared" si="7"/>
        <v>2.5598020607346565E-2</v>
      </c>
      <c r="I48" s="9">
        <f t="shared" si="7"/>
        <v>3.3615461548157546E-2</v>
      </c>
      <c r="J48" s="9">
        <f t="shared" si="3"/>
        <v>2.248380551541097E-2</v>
      </c>
      <c r="K48" s="9">
        <f t="shared" si="4"/>
        <v>-1.7520334776565741E-3</v>
      </c>
      <c r="L48" s="15"/>
      <c r="M48" s="9">
        <f t="shared" si="6"/>
        <v>0.30109193478840157</v>
      </c>
      <c r="N48" s="9">
        <f t="shared" si="1"/>
        <v>1.3513335703933054</v>
      </c>
    </row>
    <row r="49" spans="1:14" x14ac:dyDescent="0.3">
      <c r="A49" s="8">
        <v>1994</v>
      </c>
      <c r="B49" s="9">
        <f>Data!Y49</f>
        <v>4.8456635475158691</v>
      </c>
      <c r="C49" s="9">
        <f>Data!AB49</f>
        <v>7.0274167060852051</v>
      </c>
      <c r="D49" s="9">
        <f>Data!AE49</f>
        <v>2.0909013748168945</v>
      </c>
      <c r="E49" s="14"/>
      <c r="F49" s="9">
        <f t="shared" si="2"/>
        <v>0.56284594535827637</v>
      </c>
      <c r="G49" s="14"/>
      <c r="H49" s="9">
        <f t="shared" si="7"/>
        <v>3.9136824505330098E-2</v>
      </c>
      <c r="I49" s="9">
        <f t="shared" si="7"/>
        <v>3.5256220643724613E-2</v>
      </c>
      <c r="J49" s="9">
        <f t="shared" si="3"/>
        <v>2.5328462227882414E-2</v>
      </c>
      <c r="K49" s="9">
        <f t="shared" si="4"/>
        <v>9.4684024324587709E-3</v>
      </c>
      <c r="L49" s="15"/>
      <c r="M49" s="9">
        <f t="shared" si="6"/>
        <v>0.31056033722086035</v>
      </c>
      <c r="N49" s="9">
        <f t="shared" si="1"/>
        <v>1.3641893060540757</v>
      </c>
    </row>
    <row r="50" spans="1:14" x14ac:dyDescent="0.3">
      <c r="A50" s="8">
        <v>1995</v>
      </c>
      <c r="B50" s="9">
        <f>Data!Y50</f>
        <v>4.9553332328796387</v>
      </c>
      <c r="C50" s="9">
        <f>Data!AB50</f>
        <v>7.3009061813354492</v>
      </c>
      <c r="D50" s="9">
        <f>Data!AE50</f>
        <v>2.1437845230102539</v>
      </c>
      <c r="E50" s="14"/>
      <c r="F50" s="9">
        <f t="shared" si="2"/>
        <v>0.56284594535827637</v>
      </c>
      <c r="G50" s="14"/>
      <c r="H50" s="9">
        <f t="shared" si="7"/>
        <v>2.2380226286289016E-2</v>
      </c>
      <c r="I50" s="9">
        <f t="shared" si="7"/>
        <v>3.8179303718539365E-2</v>
      </c>
      <c r="J50" s="9">
        <f t="shared" si="3"/>
        <v>2.4977483011544913E-2</v>
      </c>
      <c r="K50" s="9">
        <f t="shared" si="4"/>
        <v>-8.3684861759715876E-3</v>
      </c>
      <c r="L50" s="15"/>
      <c r="M50" s="9">
        <f t="shared" si="6"/>
        <v>0.30219185104488877</v>
      </c>
      <c r="N50" s="9">
        <f t="shared" si="1"/>
        <v>1.3528207418874356</v>
      </c>
    </row>
    <row r="51" spans="1:14" x14ac:dyDescent="0.3">
      <c r="A51" s="8">
        <v>1996</v>
      </c>
      <c r="B51" s="9">
        <f>Data!Y51</f>
        <v>5.1566925048828125</v>
      </c>
      <c r="C51" s="9">
        <f>Data!AB51</f>
        <v>7.6035518646240234</v>
      </c>
      <c r="D51" s="9">
        <f>Data!AE51</f>
        <v>2.1777563095092773</v>
      </c>
      <c r="E51" s="14"/>
      <c r="F51" s="9">
        <f t="shared" si="2"/>
        <v>0.56284594535827637</v>
      </c>
      <c r="G51" s="14"/>
      <c r="H51" s="9">
        <f t="shared" si="7"/>
        <v>3.9830969184233248E-2</v>
      </c>
      <c r="I51" s="9">
        <f t="shared" si="7"/>
        <v>4.0617013846609415E-2</v>
      </c>
      <c r="J51" s="9">
        <f t="shared" si="3"/>
        <v>1.5722395142718511E-2</v>
      </c>
      <c r="K51" s="9">
        <f t="shared" si="4"/>
        <v>1.3225790536349138E-2</v>
      </c>
      <c r="L51" s="15"/>
      <c r="M51" s="9">
        <f t="shared" si="6"/>
        <v>0.31541764158123792</v>
      </c>
      <c r="N51" s="9">
        <f t="shared" si="1"/>
        <v>1.37083170774236</v>
      </c>
    </row>
    <row r="52" spans="1:14" x14ac:dyDescent="0.3">
      <c r="A52" s="8">
        <v>1997</v>
      </c>
      <c r="B52" s="9">
        <f>Data!Y52</f>
        <v>5.4053645133972168</v>
      </c>
      <c r="C52" s="9">
        <f>Data!AB52</f>
        <v>7.9690055847167969</v>
      </c>
      <c r="D52" s="9">
        <f>Data!AE52</f>
        <v>2.241417407989502</v>
      </c>
      <c r="E52" s="14"/>
      <c r="F52" s="9">
        <f t="shared" si="2"/>
        <v>0.56284594535827637</v>
      </c>
      <c r="G52" s="14"/>
      <c r="H52" s="9">
        <f t="shared" si="7"/>
        <v>4.7096502306291289E-2</v>
      </c>
      <c r="I52" s="9">
        <f t="shared" si="7"/>
        <v>4.6944226494157741E-2</v>
      </c>
      <c r="J52" s="9">
        <f t="shared" si="3"/>
        <v>2.8813306202139607E-2</v>
      </c>
      <c r="K52" s="9">
        <f t="shared" si="4"/>
        <v>1.035719078411005E-2</v>
      </c>
      <c r="L52" s="15"/>
      <c r="M52" s="9">
        <f t="shared" si="6"/>
        <v>0.32577483236534799</v>
      </c>
      <c r="N52" s="9">
        <f t="shared" si="1"/>
        <v>1.38510345328913</v>
      </c>
    </row>
    <row r="53" spans="1:14" x14ac:dyDescent="0.3">
      <c r="A53" s="8">
        <v>1998</v>
      </c>
      <c r="B53" s="9">
        <f>Data!Y53</f>
        <v>5.6329693794250488</v>
      </c>
      <c r="C53" s="9">
        <f>Data!AB53</f>
        <v>8.406916618347168</v>
      </c>
      <c r="D53" s="9">
        <f>Data!AE53</f>
        <v>2.3065404891967773</v>
      </c>
      <c r="E53" s="14"/>
      <c r="F53" s="9">
        <f t="shared" si="2"/>
        <v>0.56284594535827637</v>
      </c>
      <c r="G53" s="14"/>
      <c r="H53" s="9">
        <f t="shared" si="7"/>
        <v>4.1244835117446373E-2</v>
      </c>
      <c r="I53" s="9">
        <f t="shared" si="7"/>
        <v>5.3495058761249319E-2</v>
      </c>
      <c r="J53" s="9">
        <f t="shared" si="3"/>
        <v>2.8640341074622901E-2</v>
      </c>
      <c r="K53" s="9">
        <f t="shared" si="4"/>
        <v>1.7391534291393701E-3</v>
      </c>
      <c r="L53" s="15"/>
      <c r="M53" s="9">
        <f t="shared" si="6"/>
        <v>0.32751398579448737</v>
      </c>
      <c r="N53" s="9">
        <f t="shared" si="1"/>
        <v>1.3875144566543114</v>
      </c>
    </row>
    <row r="54" spans="1:14" x14ac:dyDescent="0.3">
      <c r="A54" s="8">
        <v>1999</v>
      </c>
      <c r="B54" s="9">
        <f>Data!Y54</f>
        <v>5.8920474052429199</v>
      </c>
      <c r="C54" s="9">
        <f>Data!AB54</f>
        <v>8.909672737121582</v>
      </c>
      <c r="D54" s="9">
        <f>Data!AE54</f>
        <v>2.3501489162445068</v>
      </c>
      <c r="E54" s="14"/>
      <c r="F54" s="9">
        <f t="shared" si="2"/>
        <v>0.56284594535827637</v>
      </c>
      <c r="G54" s="14"/>
      <c r="H54" s="9">
        <f t="shared" si="7"/>
        <v>4.4966820293242928E-2</v>
      </c>
      <c r="I54" s="9">
        <f t="shared" si="7"/>
        <v>5.8082736985875121E-2</v>
      </c>
      <c r="J54" s="9">
        <f t="shared" si="3"/>
        <v>1.8729916513012944E-2</v>
      </c>
      <c r="K54" s="9">
        <f t="shared" si="4"/>
        <v>9.0336587489304523E-3</v>
      </c>
      <c r="L54" s="15"/>
      <c r="M54" s="9">
        <f t="shared" si="6"/>
        <v>0.33654764454341785</v>
      </c>
      <c r="N54" s="9">
        <f t="shared" si="1"/>
        <v>1.4001055750716354</v>
      </c>
    </row>
    <row r="55" spans="1:14" x14ac:dyDescent="0.3">
      <c r="A55" s="8">
        <v>2000</v>
      </c>
      <c r="B55" s="9">
        <f>Data!Y55</f>
        <v>6.1269140243530273</v>
      </c>
      <c r="C55" s="9">
        <f>Data!AB55</f>
        <v>9.4075469970703125</v>
      </c>
      <c r="D55" s="9">
        <f>Data!AE55</f>
        <v>2.3958287239074707</v>
      </c>
      <c r="E55" s="14"/>
      <c r="F55" s="9">
        <f t="shared" si="2"/>
        <v>0.56284594535827637</v>
      </c>
      <c r="G55" s="14"/>
      <c r="H55" s="9">
        <f t="shared" si="7"/>
        <v>3.9087657122332461E-2</v>
      </c>
      <c r="I55" s="9">
        <f t="shared" si="7"/>
        <v>5.4374728207665167E-2</v>
      </c>
      <c r="J55" s="9">
        <f t="shared" si="3"/>
        <v>1.925049875618973E-2</v>
      </c>
      <c r="K55" s="9">
        <f t="shared" si="4"/>
        <v>4.4824590452639985E-3</v>
      </c>
      <c r="L55" s="15"/>
      <c r="M55" s="9">
        <f t="shared" si="6"/>
        <v>0.34103010358868185</v>
      </c>
      <c r="N55" s="9">
        <f t="shared" si="1"/>
        <v>1.4063955777789168</v>
      </c>
    </row>
    <row r="56" spans="1:14" x14ac:dyDescent="0.3">
      <c r="A56" s="8">
        <v>2001</v>
      </c>
      <c r="B56" s="9">
        <f>Data!Y56</f>
        <v>6.1772627830505371</v>
      </c>
      <c r="C56" s="9">
        <f>Data!AB56</f>
        <v>9.8063392639160156</v>
      </c>
      <c r="D56" s="9">
        <f>Data!AE56</f>
        <v>2.3863615989685059</v>
      </c>
      <c r="E56" s="14"/>
      <c r="F56" s="9">
        <f t="shared" si="2"/>
        <v>0.56284594535827637</v>
      </c>
      <c r="G56" s="14"/>
      <c r="H56" s="9">
        <f t="shared" si="7"/>
        <v>8.1840566029220529E-3</v>
      </c>
      <c r="I56" s="9">
        <f t="shared" si="7"/>
        <v>4.1516801039929399E-2</v>
      </c>
      <c r="J56" s="9">
        <f t="shared" si="3"/>
        <v>-3.9593310459160071E-3</v>
      </c>
      <c r="K56" s="9">
        <f t="shared" si="4"/>
        <v>-7.7366878819118464E-3</v>
      </c>
      <c r="L56" s="15"/>
      <c r="M56" s="9">
        <f t="shared" si="6"/>
        <v>0.33329341570677001</v>
      </c>
      <c r="N56" s="9">
        <f t="shared" si="1"/>
        <v>1.3955567166623593</v>
      </c>
    </row>
    <row r="57" spans="1:14" x14ac:dyDescent="0.3">
      <c r="A57" s="8">
        <v>2002</v>
      </c>
      <c r="B57" s="9">
        <f>Data!Y57</f>
        <v>6.3017654418945313</v>
      </c>
      <c r="C57" s="9">
        <f>Data!AB57</f>
        <v>10.08292293548584</v>
      </c>
      <c r="D57" s="9">
        <f>Data!AE57</f>
        <v>2.3727443218231201</v>
      </c>
      <c r="E57" s="14"/>
      <c r="F57" s="9">
        <f t="shared" si="2"/>
        <v>0.56284594535827637</v>
      </c>
      <c r="G57" s="14"/>
      <c r="H57" s="9">
        <f t="shared" si="7"/>
        <v>1.9954565023231903E-2</v>
      </c>
      <c r="I57" s="9">
        <f t="shared" si="7"/>
        <v>2.7814154152169392E-2</v>
      </c>
      <c r="J57" s="9">
        <f t="shared" si="3"/>
        <v>-5.7226355261629416E-3</v>
      </c>
      <c r="K57" s="9">
        <f t="shared" si="4"/>
        <v>1.101645696184516E-2</v>
      </c>
      <c r="L57" s="15"/>
      <c r="M57" s="9">
        <f t="shared" si="6"/>
        <v>0.34430987266861518</v>
      </c>
      <c r="N57" s="9">
        <f t="shared" si="1"/>
        <v>1.4110158030033859</v>
      </c>
    </row>
    <row r="58" spans="1:14" x14ac:dyDescent="0.3">
      <c r="A58" s="8">
        <v>2003</v>
      </c>
      <c r="B58" s="9">
        <f>Data!Y58</f>
        <v>6.4744992256164551</v>
      </c>
      <c r="C58" s="9">
        <f>Data!AB58</f>
        <v>10.365086555480957</v>
      </c>
      <c r="D58" s="9">
        <f>Data!AE58</f>
        <v>2.3683497905731201</v>
      </c>
      <c r="E58" s="14"/>
      <c r="F58" s="9">
        <f t="shared" si="2"/>
        <v>0.56284594535827637</v>
      </c>
      <c r="G58" s="14"/>
      <c r="H58" s="9">
        <f t="shared" si="7"/>
        <v>2.7041441908742265E-2</v>
      </c>
      <c r="I58" s="9">
        <f t="shared" si="7"/>
        <v>2.7599902231273128E-2</v>
      </c>
      <c r="J58" s="9">
        <f t="shared" si="3"/>
        <v>-1.8538052206253336E-3</v>
      </c>
      <c r="K58" s="9">
        <f t="shared" si="4"/>
        <v>1.6019439492539037E-2</v>
      </c>
      <c r="L58" s="15"/>
      <c r="M58" s="9">
        <f t="shared" si="6"/>
        <v>0.36032931216115421</v>
      </c>
      <c r="N58" s="9">
        <f t="shared" si="1"/>
        <v>1.433801505095806</v>
      </c>
    </row>
    <row r="59" spans="1:14" x14ac:dyDescent="0.3">
      <c r="A59" s="8">
        <v>2004</v>
      </c>
      <c r="B59" s="9">
        <f>Data!Y59</f>
        <v>6.7085018157958984</v>
      </c>
      <c r="C59" s="9">
        <f>Data!AB59</f>
        <v>10.680783271789551</v>
      </c>
      <c r="D59" s="9">
        <f>Data!AE59</f>
        <v>2.3992338180541992</v>
      </c>
      <c r="E59" s="14"/>
      <c r="F59" s="9">
        <f t="shared" si="2"/>
        <v>0.56284594535827637</v>
      </c>
      <c r="G59" s="14"/>
      <c r="H59" s="9">
        <f t="shared" si="7"/>
        <v>3.5504384797676959E-2</v>
      </c>
      <c r="I59" s="9">
        <f t="shared" si="7"/>
        <v>3.0003074299252804E-2</v>
      </c>
      <c r="J59" s="9">
        <f t="shared" si="3"/>
        <v>1.29560221812245E-2</v>
      </c>
      <c r="K59" s="9">
        <f t="shared" si="4"/>
        <v>1.5096174663367604E-2</v>
      </c>
      <c r="L59" s="15"/>
      <c r="M59" s="9">
        <f t="shared" si="6"/>
        <v>0.37542548682452181</v>
      </c>
      <c r="N59" s="9">
        <f t="shared" si="1"/>
        <v>1.4556106260187183</v>
      </c>
    </row>
    <row r="60" spans="1:14" x14ac:dyDescent="0.3">
      <c r="A60" s="8">
        <v>2005</v>
      </c>
      <c r="B60" s="9">
        <f>Data!Y60</f>
        <v>6.9227242469787598</v>
      </c>
      <c r="C60" s="9">
        <f>Data!AB60</f>
        <v>11.027340888977051</v>
      </c>
      <c r="D60" s="9">
        <f>Data!AE60</f>
        <v>2.4361965656280518</v>
      </c>
      <c r="E60" s="14"/>
      <c r="F60" s="9">
        <f t="shared" si="2"/>
        <v>0.56284594535827637</v>
      </c>
      <c r="G60" s="14"/>
      <c r="H60" s="9">
        <f t="shared" si="7"/>
        <v>3.1433719748789904E-2</v>
      </c>
      <c r="I60" s="9">
        <f t="shared" si="7"/>
        <v>3.1931553427832771E-2</v>
      </c>
      <c r="J60" s="9">
        <f t="shared" si="3"/>
        <v>1.5288594650012113E-2</v>
      </c>
      <c r="K60" s="9">
        <f t="shared" si="4"/>
        <v>8.8695881878184252E-3</v>
      </c>
      <c r="L60" s="15"/>
      <c r="M60" s="9">
        <f t="shared" si="6"/>
        <v>0.38429507501234023</v>
      </c>
      <c r="N60" s="9">
        <f t="shared" si="1"/>
        <v>1.4685787186377688</v>
      </c>
    </row>
    <row r="61" spans="1:14" x14ac:dyDescent="0.3">
      <c r="A61" s="8">
        <v>2006</v>
      </c>
      <c r="B61" s="9">
        <f>Data!Y61</f>
        <v>7.1175456047058105</v>
      </c>
      <c r="C61" s="9">
        <f>Data!AB61</f>
        <v>11.394719123840332</v>
      </c>
      <c r="D61" s="9">
        <f>Data!AE61</f>
        <v>2.5069975852966309</v>
      </c>
      <c r="E61" s="14"/>
      <c r="F61" s="9">
        <f t="shared" si="2"/>
        <v>0.56284594535827637</v>
      </c>
      <c r="G61" s="14"/>
      <c r="H61" s="9">
        <f t="shared" si="7"/>
        <v>2.7753578086562637E-2</v>
      </c>
      <c r="I61" s="9">
        <f t="shared" si="7"/>
        <v>3.2772288997405745E-2</v>
      </c>
      <c r="J61" s="9">
        <f t="shared" si="3"/>
        <v>2.8647817433493754E-2</v>
      </c>
      <c r="K61" s="9">
        <f t="shared" si="4"/>
        <v>-2.6972688143497361E-3</v>
      </c>
      <c r="L61" s="15"/>
      <c r="M61" s="9">
        <f t="shared" si="6"/>
        <v>0.3815978061979905</v>
      </c>
      <c r="N61" s="9">
        <f t="shared" si="1"/>
        <v>1.4646229044040509</v>
      </c>
    </row>
    <row r="62" spans="1:14" x14ac:dyDescent="0.3">
      <c r="A62" s="8">
        <v>2007</v>
      </c>
      <c r="B62" s="9">
        <f>Data!Y62</f>
        <v>7.2266082763671875</v>
      </c>
      <c r="C62" s="9">
        <f>Data!AB62</f>
        <v>11.674237251281738</v>
      </c>
      <c r="D62" s="9">
        <f>Data!AE62</f>
        <v>2.5517029762268066</v>
      </c>
      <c r="E62" s="14"/>
      <c r="F62" s="9">
        <f t="shared" si="2"/>
        <v>0.56284594535827637</v>
      </c>
      <c r="G62" s="14"/>
      <c r="H62" s="9">
        <f t="shared" si="7"/>
        <v>1.5206860477575157E-2</v>
      </c>
      <c r="I62" s="9">
        <f t="shared" si="7"/>
        <v>2.4234456301511085E-2</v>
      </c>
      <c r="J62" s="9">
        <f t="shared" si="3"/>
        <v>1.7675114091740989E-2</v>
      </c>
      <c r="K62" s="9">
        <f t="shared" si="4"/>
        <v>-5.3356966569494315E-3</v>
      </c>
      <c r="L62" s="15"/>
      <c r="M62" s="9">
        <f t="shared" si="6"/>
        <v>0.37626210954104106</v>
      </c>
      <c r="N62" s="9">
        <f t="shared" si="1"/>
        <v>1.4568289324952277</v>
      </c>
    </row>
    <row r="63" spans="1:14" x14ac:dyDescent="0.3">
      <c r="A63" s="8">
        <v>2008</v>
      </c>
      <c r="B63" s="9">
        <f>Data!Y63</f>
        <v>7.1900858879089355</v>
      </c>
      <c r="C63" s="9">
        <f>Data!AB63</f>
        <v>11.996634483337402</v>
      </c>
      <c r="D63" s="9">
        <f>Data!AE63</f>
        <v>2.542844295501709</v>
      </c>
      <c r="E63" s="14"/>
      <c r="F63" s="9">
        <f t="shared" si="2"/>
        <v>0.56284594535827637</v>
      </c>
      <c r="G63" s="14"/>
      <c r="H63" s="9">
        <f t="shared" si="7"/>
        <v>-5.066690903428454E-3</v>
      </c>
      <c r="I63" s="9">
        <f t="shared" si="7"/>
        <v>2.7241681105184927E-2</v>
      </c>
      <c r="J63" s="9">
        <f t="shared" si="3"/>
        <v>-3.4777141838277618E-3</v>
      </c>
      <c r="K63" s="9">
        <f t="shared" si="4"/>
        <v>-1.5018084926334451E-2</v>
      </c>
      <c r="L63" s="15"/>
      <c r="M63" s="9">
        <f t="shared" si="6"/>
        <v>0.36124402461470662</v>
      </c>
      <c r="N63" s="9">
        <f t="shared" si="1"/>
        <v>1.4351136212014233</v>
      </c>
    </row>
    <row r="64" spans="1:14" x14ac:dyDescent="0.3">
      <c r="A64" s="8">
        <v>2009</v>
      </c>
      <c r="B64" s="9">
        <f>Data!Y64</f>
        <v>7.0002403259277344</v>
      </c>
      <c r="C64" s="9">
        <f>Data!AB64</f>
        <v>12.125386238098145</v>
      </c>
      <c r="D64" s="9">
        <f>Data!AE64</f>
        <v>2.4314415454864502</v>
      </c>
      <c r="E64" s="14"/>
      <c r="F64" s="9">
        <f t="shared" si="2"/>
        <v>0.56284594535827637</v>
      </c>
      <c r="G64" s="14"/>
      <c r="H64" s="9">
        <f t="shared" si="7"/>
        <v>-2.675863638741165E-2</v>
      </c>
      <c r="I64" s="9">
        <f t="shared" si="7"/>
        <v>1.0675140274769561E-2</v>
      </c>
      <c r="J64" s="9">
        <f t="shared" si="3"/>
        <v>-4.4798945841994793E-2</v>
      </c>
      <c r="K64" s="9">
        <f t="shared" si="4"/>
        <v>-6.2104122189045423E-3</v>
      </c>
      <c r="L64" s="15"/>
      <c r="M64" s="9">
        <f t="shared" si="6"/>
        <v>0.35503361239580206</v>
      </c>
      <c r="N64" s="9">
        <f t="shared" si="1"/>
        <v>1.4262285924357707</v>
      </c>
    </row>
    <row r="65" spans="1:14" x14ac:dyDescent="0.3">
      <c r="A65" s="8">
        <v>2010</v>
      </c>
      <c r="B65" s="9">
        <f>Data!Y65</f>
        <v>7.1595339775085449</v>
      </c>
      <c r="C65" s="9">
        <f>Data!AB65</f>
        <v>12.158876419067383</v>
      </c>
      <c r="D65" s="9">
        <f>Data!AE65</f>
        <v>2.4317371845245361</v>
      </c>
      <c r="E65" s="14"/>
      <c r="F65" s="9">
        <f t="shared" si="2"/>
        <v>0.56284594535827637</v>
      </c>
      <c r="G65" s="14"/>
      <c r="H65" s="9">
        <f t="shared" si="7"/>
        <v>2.2500411172795269E-2</v>
      </c>
      <c r="I65" s="9">
        <f t="shared" si="7"/>
        <v>2.7581815164492199E-3</v>
      </c>
      <c r="J65" s="9">
        <f t="shared" si="3"/>
        <v>1.2158263344325647E-4</v>
      </c>
      <c r="K65" s="9">
        <f t="shared" si="4"/>
        <v>2.1226228647182117E-2</v>
      </c>
      <c r="L65" s="15"/>
      <c r="M65" s="9">
        <f t="shared" si="6"/>
        <v>0.37625984104298416</v>
      </c>
      <c r="N65" s="9">
        <f t="shared" si="1"/>
        <v>1.4568256276853735</v>
      </c>
    </row>
    <row r="66" spans="1:14" x14ac:dyDescent="0.3">
      <c r="A66" s="8">
        <v>2011</v>
      </c>
      <c r="B66" s="9">
        <f>Data!Y66</f>
        <v>7.2737507820129395</v>
      </c>
      <c r="C66" s="9">
        <f>Data!AB66</f>
        <v>12.277114868164063</v>
      </c>
      <c r="D66" s="9">
        <f>Data!AE66</f>
        <v>2.4856657981872559</v>
      </c>
      <c r="E66" s="14"/>
      <c r="F66" s="9">
        <f t="shared" si="2"/>
        <v>0.56284594535827637</v>
      </c>
      <c r="G66" s="14"/>
      <c r="H66" s="9">
        <f t="shared" si="7"/>
        <v>1.5827192586237188E-2</v>
      </c>
      <c r="I66" s="9">
        <f t="shared" si="7"/>
        <v>9.6774770045588675E-3</v>
      </c>
      <c r="J66" s="9">
        <f t="shared" si="3"/>
        <v>2.1934657807901967E-2</v>
      </c>
      <c r="K66" s="9">
        <f t="shared" si="4"/>
        <v>-7.4918893500664462E-4</v>
      </c>
      <c r="L66" s="15"/>
      <c r="M66" s="9">
        <f t="shared" si="6"/>
        <v>0.37551065210797752</v>
      </c>
      <c r="N66" s="9">
        <f t="shared" si="1"/>
        <v>1.4557345987892973</v>
      </c>
    </row>
    <row r="67" spans="1:14" x14ac:dyDescent="0.3">
      <c r="A67" s="8">
        <v>2012</v>
      </c>
      <c r="B67" s="9">
        <f>Data!Y67</f>
        <v>7.421938419342041</v>
      </c>
      <c r="C67" s="9">
        <f>Data!AB67</f>
        <v>12.420253753662109</v>
      </c>
      <c r="D67" s="9">
        <f>Data!AE67</f>
        <v>2.5379433631896973</v>
      </c>
      <c r="E67" s="14"/>
      <c r="F67" s="9">
        <f t="shared" si="2"/>
        <v>0.56284594535827637</v>
      </c>
      <c r="G67" s="14"/>
      <c r="H67" s="9">
        <f t="shared" si="7"/>
        <v>2.0168181059939411E-2</v>
      </c>
      <c r="I67" s="9">
        <f t="shared" si="7"/>
        <v>1.1591557822609212E-2</v>
      </c>
      <c r="J67" s="9">
        <f t="shared" si="3"/>
        <v>2.0813503016581771E-2</v>
      </c>
      <c r="K67" s="9">
        <f t="shared" si="4"/>
        <v>3.3860887765865023E-3</v>
      </c>
      <c r="L67" s="15"/>
      <c r="M67" s="9">
        <f t="shared" si="6"/>
        <v>0.37889674088456404</v>
      </c>
      <c r="N67" s="9">
        <f t="shared" ref="N67:N71" si="8">EXP(M67)</f>
        <v>1.460672200236657</v>
      </c>
    </row>
    <row r="68" spans="1:14" x14ac:dyDescent="0.3">
      <c r="A68" s="8">
        <v>2013</v>
      </c>
      <c r="B68" s="9">
        <f>Data!Y68</f>
        <v>7.5534296035766602</v>
      </c>
      <c r="C68" s="9">
        <f>Data!AB68</f>
        <v>12.610139846801758</v>
      </c>
      <c r="D68" s="9">
        <f>Data!AE68</f>
        <v>2.5907659530639648</v>
      </c>
      <c r="E68" s="14"/>
      <c r="F68" s="9">
        <f t="shared" ref="F68:F78" si="9">F67</f>
        <v>0.56284594535827637</v>
      </c>
      <c r="G68" s="14"/>
      <c r="H68" s="9">
        <f t="shared" si="7"/>
        <v>1.756144668869071E-2</v>
      </c>
      <c r="I68" s="9">
        <f t="shared" si="7"/>
        <v>1.5172732717825215E-2</v>
      </c>
      <c r="J68" s="9">
        <f t="shared" ref="J68:J72" si="10">LN(D68/D67)</f>
        <v>2.0599513249162753E-2</v>
      </c>
      <c r="K68" s="9">
        <f t="shared" ref="K68:K71" si="11">H68-(1-F68)*I68-F68*J68</f>
        <v>-6.6572744754707196E-4</v>
      </c>
      <c r="L68" s="15"/>
      <c r="M68" s="9">
        <f t="shared" si="6"/>
        <v>0.37823101343701698</v>
      </c>
      <c r="N68" s="9">
        <f t="shared" si="8"/>
        <v>1.4597001142691473</v>
      </c>
    </row>
    <row r="69" spans="1:14" x14ac:dyDescent="0.3">
      <c r="A69" s="8">
        <v>2014</v>
      </c>
      <c r="B69" s="9">
        <f>Data!Y69</f>
        <v>7.7175102233886719</v>
      </c>
      <c r="C69" s="9">
        <f>Data!AB69</f>
        <v>12.810535430908203</v>
      </c>
      <c r="D69" s="9">
        <f>Data!AE69</f>
        <v>2.6348671913146973</v>
      </c>
      <c r="E69" s="14"/>
      <c r="F69" s="9">
        <f t="shared" si="9"/>
        <v>0.56284594535827637</v>
      </c>
      <c r="G69" s="14"/>
      <c r="H69" s="9">
        <f t="shared" si="7"/>
        <v>2.1490089846400381E-2</v>
      </c>
      <c r="I69" s="9">
        <f t="shared" si="7"/>
        <v>1.5766672854094922E-2</v>
      </c>
      <c r="J69" s="9">
        <f t="shared" si="10"/>
        <v>1.6879212180740469E-2</v>
      </c>
      <c r="K69" s="9">
        <f t="shared" si="11"/>
        <v>5.0972287432513846E-3</v>
      </c>
      <c r="L69" s="15"/>
      <c r="M69" s="9">
        <f t="shared" si="6"/>
        <v>0.38332824218026834</v>
      </c>
      <c r="N69" s="9">
        <f t="shared" si="8"/>
        <v>1.4671595346834789</v>
      </c>
    </row>
    <row r="70" spans="1:14" x14ac:dyDescent="0.3">
      <c r="A70" s="8">
        <v>2015</v>
      </c>
      <c r="B70" s="9">
        <f>Data!Y70</f>
        <v>7.9391217231750488</v>
      </c>
      <c r="C70" s="9">
        <f>Data!AB70</f>
        <v>13.100831985473633</v>
      </c>
      <c r="D70" s="9">
        <f>Data!AE70</f>
        <v>2.6970009803771973</v>
      </c>
      <c r="E70" s="14"/>
      <c r="F70" s="9">
        <f t="shared" si="9"/>
        <v>0.56284594535827637</v>
      </c>
      <c r="G70" s="14"/>
      <c r="H70" s="9">
        <f t="shared" ref="H70:I72" si="12">LN(B70/B69)</f>
        <v>2.8310852835722235E-2</v>
      </c>
      <c r="I70" s="9">
        <f t="shared" si="12"/>
        <v>2.240782561166698E-2</v>
      </c>
      <c r="J70" s="9">
        <f t="shared" si="10"/>
        <v>2.3307628719078839E-2</v>
      </c>
      <c r="K70" s="9">
        <f t="shared" si="11"/>
        <v>5.3965766934277147E-3</v>
      </c>
      <c r="L70" s="15"/>
      <c r="M70" s="9">
        <f t="shared" si="6"/>
        <v>0.38872481887369603</v>
      </c>
      <c r="N70" s="9">
        <f t="shared" si="8"/>
        <v>1.4750985761896629</v>
      </c>
    </row>
    <row r="71" spans="1:14" x14ac:dyDescent="0.3">
      <c r="A71" s="8">
        <v>2016</v>
      </c>
      <c r="B71" s="9">
        <f>Data!Y71</f>
        <v>8.0666570663452148</v>
      </c>
      <c r="C71" s="9">
        <f>Data!AB71</f>
        <v>13.408846855163574</v>
      </c>
      <c r="D71" s="9">
        <f>Data!AE71</f>
        <v>2.7411878108978271</v>
      </c>
      <c r="E71" s="14"/>
      <c r="F71" s="9">
        <f t="shared" si="9"/>
        <v>0.56284594535827637</v>
      </c>
      <c r="G71" s="14"/>
      <c r="H71" s="9">
        <f t="shared" si="12"/>
        <v>1.5936499440178949E-2</v>
      </c>
      <c r="I71" s="9">
        <f t="shared" si="12"/>
        <v>2.3238963652093249E-2</v>
      </c>
      <c r="J71" s="9">
        <f t="shared" si="10"/>
        <v>1.6250926425550531E-2</v>
      </c>
      <c r="K71" s="9">
        <f t="shared" si="11"/>
        <v>-3.3692757929420364E-3</v>
      </c>
      <c r="L71" s="15"/>
      <c r="M71" s="9">
        <f t="shared" si="6"/>
        <v>0.38535554308075398</v>
      </c>
      <c r="N71" s="9">
        <f t="shared" si="8"/>
        <v>1.4701369255431407</v>
      </c>
    </row>
    <row r="72" spans="1:14" x14ac:dyDescent="0.3">
      <c r="A72" s="8">
        <v>2017</v>
      </c>
      <c r="B72" s="9">
        <f>Data!Y72</f>
        <v>8.264592170715332</v>
      </c>
      <c r="C72" s="9">
        <f>Data!AB72</f>
        <v>13.710339546203613</v>
      </c>
      <c r="D72" s="9">
        <f>Data!AE72</f>
        <v>2.7760024070739746</v>
      </c>
      <c r="E72" s="14"/>
      <c r="F72" s="9">
        <f t="shared" si="9"/>
        <v>0.56284594535827637</v>
      </c>
      <c r="G72" s="14"/>
      <c r="H72" s="9">
        <f t="shared" si="12"/>
        <v>2.4241231548120815E-2</v>
      </c>
      <c r="I72" s="9">
        <f t="shared" si="12"/>
        <v>2.2235557400362264E-2</v>
      </c>
      <c r="J72" s="9">
        <f t="shared" si="10"/>
        <v>1.2620575656118951E-2</v>
      </c>
      <c r="K72" s="9">
        <f>H72-(1-F72)*I72-F72*J72</f>
        <v>7.4174276371997468E-3</v>
      </c>
      <c r="L72" s="15"/>
      <c r="M72" s="9">
        <f>M71+K72</f>
        <v>0.39277297071795375</v>
      </c>
      <c r="N72" s="9">
        <f>EXP(M72)</f>
        <v>1.4810821021508875</v>
      </c>
    </row>
    <row r="73" spans="1:14" x14ac:dyDescent="0.3">
      <c r="A73" s="8">
        <v>2018</v>
      </c>
      <c r="B73" s="9">
        <f>Data!Y73</f>
        <v>8.4951953887939453</v>
      </c>
      <c r="C73" s="9">
        <f>Data!AB73</f>
        <v>14.037237167358398</v>
      </c>
      <c r="D73" s="9">
        <f>Data!AE73</f>
        <v>2.8328330516815186</v>
      </c>
      <c r="E73" s="14"/>
      <c r="F73" s="9">
        <f t="shared" si="9"/>
        <v>0.56284594535827637</v>
      </c>
      <c r="G73" s="14"/>
      <c r="H73" s="9">
        <f t="shared" ref="H73:H78" si="13">LN(B73/B72)</f>
        <v>2.7520369386548678E-2</v>
      </c>
      <c r="I73" s="9">
        <f t="shared" ref="I73:I78" si="14">LN(C73/C72)</f>
        <v>2.3563336697314887E-2</v>
      </c>
      <c r="J73" s="9">
        <f t="shared" ref="J73:J78" si="15">LN(D73/D72)</f>
        <v>2.0265379497328175E-2</v>
      </c>
      <c r="K73" s="9">
        <f t="shared" ref="K73:K78" si="16">H73-(1-F73)*I73-F73*J73</f>
        <v>5.8132745272114431E-3</v>
      </c>
      <c r="L73" s="15"/>
      <c r="M73" s="9">
        <f t="shared" ref="M73:M78" si="17">M72+K73</f>
        <v>0.39858624524516517</v>
      </c>
      <c r="N73" s="9">
        <f t="shared" ref="N73:N78" si="18">EXP(M73)</f>
        <v>1.4897171135361609</v>
      </c>
    </row>
    <row r="74" spans="1:14" x14ac:dyDescent="0.3">
      <c r="A74" s="8">
        <v>2019</v>
      </c>
      <c r="B74" s="9">
        <f>Data!Y74</f>
        <v>8.7187709808349609</v>
      </c>
      <c r="C74" s="9">
        <f>Data!AB74</f>
        <v>14.361440658569336</v>
      </c>
      <c r="D74" s="9">
        <f>Data!AE74</f>
        <v>2.8785085678100586</v>
      </c>
      <c r="E74" s="14"/>
      <c r="F74" s="9">
        <f t="shared" si="9"/>
        <v>0.56284594535827637</v>
      </c>
      <c r="G74" s="14"/>
      <c r="H74" s="9">
        <f t="shared" si="13"/>
        <v>2.5977530116755184E-2</v>
      </c>
      <c r="I74" s="9">
        <f t="shared" si="14"/>
        <v>2.2833286719148697E-2</v>
      </c>
      <c r="J74" s="9">
        <f t="shared" si="15"/>
        <v>1.5995012370511597E-2</v>
      </c>
      <c r="K74" s="9">
        <f t="shared" si="16"/>
        <v>6.9931383879843871E-3</v>
      </c>
      <c r="L74" s="15"/>
      <c r="M74" s="9">
        <f t="shared" si="17"/>
        <v>0.40557938363314955</v>
      </c>
      <c r="N74" s="9">
        <f t="shared" si="18"/>
        <v>1.5001714230820224</v>
      </c>
    </row>
    <row r="75" spans="1:14" x14ac:dyDescent="0.3">
      <c r="A75" s="8">
        <v>2020</v>
      </c>
      <c r="B75" s="9">
        <f>Data!Y75</f>
        <v>8.547724723815918</v>
      </c>
      <c r="C75" s="9">
        <f>Data!AB75</f>
        <v>14.713427543640137</v>
      </c>
      <c r="D75" s="9">
        <f>Data!AE75</f>
        <v>2.7580521106719971</v>
      </c>
      <c r="E75" s="14"/>
      <c r="F75" s="9">
        <f t="shared" si="9"/>
        <v>0.56284594535827637</v>
      </c>
      <c r="G75" s="14"/>
      <c r="H75" s="9">
        <f t="shared" si="13"/>
        <v>-1.9813152062321256E-2</v>
      </c>
      <c r="I75" s="9">
        <f t="shared" si="14"/>
        <v>2.4213632195801176E-2</v>
      </c>
      <c r="J75" s="9">
        <f t="shared" si="15"/>
        <v>-4.2747628051152044E-2</v>
      </c>
      <c r="K75" s="9">
        <f t="shared" si="16"/>
        <v>-6.3379104320444787E-3</v>
      </c>
      <c r="L75" s="15"/>
      <c r="M75" s="9">
        <f t="shared" si="17"/>
        <v>0.39924147320110509</v>
      </c>
      <c r="N75" s="9">
        <f t="shared" si="18"/>
        <v>1.4906935376906598</v>
      </c>
    </row>
    <row r="76" spans="1:14" x14ac:dyDescent="0.3">
      <c r="A76" s="8">
        <v>2021</v>
      </c>
      <c r="B76" s="9">
        <f>Data!Y76</f>
        <v>9.0701942443847656</v>
      </c>
      <c r="C76" s="9">
        <f>Data!AB76</f>
        <v>14.994697570800781</v>
      </c>
      <c r="D76" s="9">
        <f>Data!AE76</f>
        <v>2.8544209003448486</v>
      </c>
      <c r="E76" s="14"/>
      <c r="F76" s="9">
        <f t="shared" si="9"/>
        <v>0.56284594535827637</v>
      </c>
      <c r="G76" s="14"/>
      <c r="H76" s="9">
        <f t="shared" si="13"/>
        <v>5.9328546676735615E-2</v>
      </c>
      <c r="I76" s="9">
        <f t="shared" si="14"/>
        <v>1.8936128131449292E-2</v>
      </c>
      <c r="J76" s="9">
        <f t="shared" si="15"/>
        <v>3.4344311964261513E-2</v>
      </c>
      <c r="K76" s="9">
        <f t="shared" si="16"/>
        <v>3.171998474965302E-2</v>
      </c>
      <c r="L76" s="15"/>
      <c r="M76" s="9">
        <f t="shared" si="17"/>
        <v>0.43096145795075813</v>
      </c>
      <c r="N76" s="9">
        <f t="shared" si="18"/>
        <v>1.5387362427659232</v>
      </c>
    </row>
    <row r="77" spans="1:14" x14ac:dyDescent="0.3">
      <c r="A77" s="8">
        <v>2022</v>
      </c>
      <c r="B77" s="9">
        <f>Data!Y77</f>
        <v>9.2353200912475586</v>
      </c>
      <c r="C77" s="9">
        <f>Data!AB77</f>
        <v>15.32447338104248</v>
      </c>
      <c r="D77" s="9">
        <f>Data!AE77</f>
        <v>2.9616611003875732</v>
      </c>
      <c r="E77" s="14"/>
      <c r="F77" s="9">
        <f t="shared" si="9"/>
        <v>0.56284594535827637</v>
      </c>
      <c r="G77" s="14"/>
      <c r="H77" s="9">
        <f t="shared" si="13"/>
        <v>1.8041593679048753E-2</v>
      </c>
      <c r="I77" s="9">
        <f t="shared" si="14"/>
        <v>2.1754474513386187E-2</v>
      </c>
      <c r="J77" s="9">
        <f t="shared" si="15"/>
        <v>3.6881307968581883E-2</v>
      </c>
      <c r="K77" s="9">
        <f t="shared" si="16"/>
        <v>-1.2226957710704259E-2</v>
      </c>
      <c r="L77" s="15"/>
      <c r="M77" s="9">
        <f t="shared" si="17"/>
        <v>0.41873450024005388</v>
      </c>
      <c r="N77" s="9">
        <f t="shared" si="18"/>
        <v>1.5200367318242582</v>
      </c>
    </row>
    <row r="78" spans="1:14" x14ac:dyDescent="0.3">
      <c r="A78" s="8">
        <v>2023</v>
      </c>
      <c r="B78" s="9">
        <f>Data!Y78</f>
        <v>9.4895401000976563</v>
      </c>
      <c r="C78" s="9">
        <f>Data!AB78</f>
        <v>15.644364356994629</v>
      </c>
      <c r="D78" s="9">
        <f>Data!AE78</f>
        <v>2.9960243701934814</v>
      </c>
      <c r="E78" s="14"/>
      <c r="F78" s="9">
        <f t="shared" si="9"/>
        <v>0.56284594535827637</v>
      </c>
      <c r="G78" s="14"/>
      <c r="H78" s="9">
        <f t="shared" si="13"/>
        <v>2.7154876203150942E-2</v>
      </c>
      <c r="I78" s="9">
        <f t="shared" si="14"/>
        <v>2.0659629306960008E-2</v>
      </c>
      <c r="J78" s="9">
        <f t="shared" si="15"/>
        <v>1.1535906370086313E-2</v>
      </c>
      <c r="K78" s="9">
        <f t="shared" si="16"/>
        <v>1.1630497357782599E-2</v>
      </c>
      <c r="L78" s="15"/>
      <c r="M78" s="9">
        <f t="shared" si="17"/>
        <v>0.43036499759783647</v>
      </c>
      <c r="N78" s="9">
        <f t="shared" si="18"/>
        <v>1.5378187212633112</v>
      </c>
    </row>
    <row r="79" spans="1:14" x14ac:dyDescent="0.3">
      <c r="B79" s="9"/>
    </row>
    <row r="80" spans="1:14" x14ac:dyDescent="0.3">
      <c r="B80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9B911-3AD9-4E1E-8B14-23480AD232D1}">
  <sheetPr>
    <tabColor rgb="FFFFC000"/>
  </sheetPr>
  <dimension ref="A1:P80"/>
  <sheetViews>
    <sheetView workbookViewId="0">
      <pane xSplit="10" ySplit="14" topLeftCell="K68" activePane="bottomRight" state="frozen"/>
      <selection activeCell="F77" sqref="F77"/>
      <selection pane="topRight" activeCell="F77" sqref="F77"/>
      <selection pane="bottomLeft" activeCell="F77" sqref="F77"/>
      <selection pane="bottomRight" activeCell="B80" sqref="B80:D80"/>
    </sheetView>
  </sheetViews>
  <sheetFormatPr defaultColWidth="8.77734375" defaultRowHeight="14.4" x14ac:dyDescent="0.3"/>
  <cols>
    <col min="1" max="1" width="8.77734375" style="8"/>
    <col min="2" max="2" width="14.109375" style="8" bestFit="1" customWidth="1"/>
    <col min="3" max="3" width="8.88671875" style="8" bestFit="1" customWidth="1"/>
    <col min="4" max="4" width="12.109375" style="6" customWidth="1"/>
    <col min="5" max="6" width="13.33203125" style="6" bestFit="1" customWidth="1"/>
    <col min="7" max="7" width="2.77734375" style="6" customWidth="1"/>
    <col min="8" max="8" width="13.77734375" style="8" bestFit="1" customWidth="1"/>
    <col min="9" max="9" width="2.77734375" style="6" customWidth="1"/>
    <col min="10" max="13" width="11.33203125" style="8" customWidth="1"/>
    <col min="14" max="14" width="8.77734375" style="6"/>
    <col min="15" max="15" width="13.6640625" style="6" bestFit="1" customWidth="1"/>
    <col min="16" max="16" width="10.44140625" style="6" bestFit="1" customWidth="1"/>
    <col min="17" max="16384" width="8.77734375" style="6"/>
  </cols>
  <sheetData>
    <row r="1" spans="1:16" x14ac:dyDescent="0.3">
      <c r="A1" s="8" t="s">
        <v>0</v>
      </c>
      <c r="B1" s="8" t="str">
        <f>Data!K1</f>
        <v>VA_TOT</v>
      </c>
      <c r="C1" s="8" t="str">
        <f>Data!AU1</f>
        <v>X_TOT_P</v>
      </c>
      <c r="D1" s="1" t="s">
        <v>185</v>
      </c>
      <c r="E1" s="8" t="s">
        <v>27</v>
      </c>
      <c r="F1" s="8" t="s">
        <v>30</v>
      </c>
      <c r="G1" s="7"/>
      <c r="H1" s="8" t="s">
        <v>98</v>
      </c>
      <c r="I1" s="7"/>
      <c r="J1" s="8" t="s">
        <v>93</v>
      </c>
      <c r="K1" s="8" t="s">
        <v>94</v>
      </c>
      <c r="L1" s="8" t="s">
        <v>99</v>
      </c>
      <c r="M1" s="8" t="s">
        <v>95</v>
      </c>
      <c r="O1" s="8" t="s">
        <v>96</v>
      </c>
      <c r="P1" s="8" t="s">
        <v>97</v>
      </c>
    </row>
    <row r="2" spans="1:16" x14ac:dyDescent="0.3">
      <c r="A2" s="8">
        <v>1947</v>
      </c>
      <c r="B2" s="16">
        <f>Data!K2</f>
        <v>249946.01</v>
      </c>
      <c r="C2" s="19">
        <f>Data!AU2</f>
        <v>1</v>
      </c>
      <c r="D2" s="24">
        <f>B2/C2</f>
        <v>249946.01</v>
      </c>
      <c r="E2" s="9">
        <f>Data!AB2</f>
        <v>1</v>
      </c>
      <c r="F2" s="9">
        <f>Data!AE2</f>
        <v>1</v>
      </c>
      <c r="G2" s="14"/>
      <c r="H2" s="9">
        <f>AVERAGE(Data!X3:X78)</f>
        <v>0.56284594535827637</v>
      </c>
      <c r="I2" s="14"/>
      <c r="J2" s="9"/>
      <c r="K2" s="9"/>
      <c r="L2" s="9"/>
      <c r="M2" s="9"/>
      <c r="N2" s="15"/>
      <c r="O2" s="9">
        <v>0</v>
      </c>
      <c r="P2" s="9">
        <f>EXP(O2)</f>
        <v>1</v>
      </c>
    </row>
    <row r="3" spans="1:16" x14ac:dyDescent="0.3">
      <c r="A3" s="8">
        <v>1948</v>
      </c>
      <c r="B3" s="16">
        <f>Data!K3</f>
        <v>274818</v>
      </c>
      <c r="C3" s="19">
        <f>Data!AU3</f>
        <v>1.0833855989999901</v>
      </c>
      <c r="D3" s="24">
        <f t="shared" ref="D3:D66" si="0">B3/C3</f>
        <v>253665.91567551612</v>
      </c>
      <c r="E3" s="9">
        <f>Data!AB3</f>
        <v>1.0355644226074219</v>
      </c>
      <c r="F3" s="9">
        <f>Data!AE3</f>
        <v>1.02442467212677</v>
      </c>
      <c r="G3" s="14"/>
      <c r="H3" s="9">
        <f>+H2</f>
        <v>0.56284594535827637</v>
      </c>
      <c r="I3" s="14"/>
      <c r="J3" s="9">
        <f t="shared" ref="J3:J34" si="1">LN(D3/D2)</f>
        <v>1.4773174106365613E-2</v>
      </c>
      <c r="K3" s="9">
        <f t="shared" ref="K3:K34" si="2">LN(E3/E2)</f>
        <v>3.4946613928355123E-2</v>
      </c>
      <c r="L3" s="9">
        <f t="shared" ref="L3:L34" si="3">LN(F3/F2)</f>
        <v>2.4131159519011427E-2</v>
      </c>
      <c r="M3" s="9">
        <f>J3-(1-H3)*K3-H3*L3</f>
        <v>-1.408600516048312E-2</v>
      </c>
      <c r="N3" s="15"/>
      <c r="O3" s="9">
        <f t="shared" ref="O3:O66" si="4">O2+M3</f>
        <v>-1.408600516048312E-2</v>
      </c>
      <c r="P3" s="9">
        <f t="shared" ref="P3:P66" si="5">EXP(O3)</f>
        <v>0.98601273843223736</v>
      </c>
    </row>
    <row r="4" spans="1:16" x14ac:dyDescent="0.3">
      <c r="A4" s="8">
        <v>1949</v>
      </c>
      <c r="B4" s="16">
        <f>Data!K4</f>
        <v>272848</v>
      </c>
      <c r="C4" s="19">
        <f>Data!AU4</f>
        <v>1.0998028430312601</v>
      </c>
      <c r="D4" s="24">
        <f t="shared" si="0"/>
        <v>248088.10208926213</v>
      </c>
      <c r="E4" s="9">
        <f>Data!AB4</f>
        <v>1.0618280172348022</v>
      </c>
      <c r="F4" s="9">
        <f>Data!AE4</f>
        <v>0.98832833766937256</v>
      </c>
      <c r="G4" s="14"/>
      <c r="H4" s="9">
        <f t="shared" ref="H4:H67" si="6">+H3</f>
        <v>0.56284594535827637</v>
      </c>
      <c r="I4" s="14"/>
      <c r="J4" s="9">
        <f t="shared" si="1"/>
        <v>-2.2234175207451749E-2</v>
      </c>
      <c r="K4" s="9">
        <f t="shared" si="2"/>
        <v>2.5045353437204418E-2</v>
      </c>
      <c r="L4" s="9">
        <f t="shared" si="3"/>
        <v>-3.5871470384905992E-2</v>
      </c>
      <c r="M4" s="9">
        <f t="shared" ref="M4:M67" si="7">J4-(1-H4)*K4-H4*L4</f>
        <v>-1.2992741352276863E-2</v>
      </c>
      <c r="N4" s="15"/>
      <c r="O4" s="9">
        <f t="shared" si="4"/>
        <v>-2.7078746512759981E-2</v>
      </c>
      <c r="P4" s="9">
        <f t="shared" si="5"/>
        <v>0.97328459573874482</v>
      </c>
    </row>
    <row r="5" spans="1:16" x14ac:dyDescent="0.3">
      <c r="A5" s="8">
        <v>1950</v>
      </c>
      <c r="B5" s="16">
        <f>Data!K5</f>
        <v>300214</v>
      </c>
      <c r="C5" s="19">
        <f>Data!AU5</f>
        <v>1.11747243990388</v>
      </c>
      <c r="D5" s="24">
        <f t="shared" si="0"/>
        <v>268654.50035244098</v>
      </c>
      <c r="E5" s="9">
        <f>Data!AB5</f>
        <v>1.0995423793792725</v>
      </c>
      <c r="F5" s="9">
        <f>Data!AE5</f>
        <v>1.0290268659591675</v>
      </c>
      <c r="G5" s="14"/>
      <c r="H5" s="9">
        <f t="shared" si="6"/>
        <v>0.56284594535827637</v>
      </c>
      <c r="I5" s="14"/>
      <c r="J5" s="9">
        <f t="shared" si="1"/>
        <v>7.9642235326737171E-2</v>
      </c>
      <c r="K5" s="9">
        <f t="shared" si="2"/>
        <v>3.4902107132843009E-2</v>
      </c>
      <c r="L5" s="9">
        <f t="shared" si="3"/>
        <v>4.0353876180833984E-2</v>
      </c>
      <c r="M5" s="9">
        <f t="shared" si="7"/>
        <v>4.1671622090202684E-2</v>
      </c>
      <c r="N5" s="15"/>
      <c r="O5" s="9">
        <f t="shared" si="4"/>
        <v>1.4592875577442703E-2</v>
      </c>
      <c r="P5" s="9">
        <f t="shared" si="5"/>
        <v>1.0146998714116864</v>
      </c>
    </row>
    <row r="6" spans="1:16" x14ac:dyDescent="0.3">
      <c r="A6" s="8">
        <v>1951</v>
      </c>
      <c r="B6" s="16">
        <f>Data!K6</f>
        <v>347301</v>
      </c>
      <c r="C6" s="19">
        <f>Data!AU6</f>
        <v>1.2193554688561801</v>
      </c>
      <c r="D6" s="24">
        <f t="shared" si="0"/>
        <v>284823.42423558136</v>
      </c>
      <c r="E6" s="9">
        <f>Data!AB6</f>
        <v>1.1515648365020752</v>
      </c>
      <c r="F6" s="9">
        <f>Data!AE6</f>
        <v>1.0993361473083496</v>
      </c>
      <c r="G6" s="14"/>
      <c r="H6" s="9">
        <f t="shared" si="6"/>
        <v>0.56284594535827637</v>
      </c>
      <c r="I6" s="14"/>
      <c r="J6" s="9">
        <f t="shared" si="1"/>
        <v>5.8443255408652237E-2</v>
      </c>
      <c r="K6" s="9">
        <f t="shared" si="2"/>
        <v>4.6227670319321235E-2</v>
      </c>
      <c r="L6" s="9">
        <f t="shared" si="3"/>
        <v>6.6092929861527455E-2</v>
      </c>
      <c r="M6" s="9">
        <f t="shared" si="7"/>
        <v>1.0345043025104181E-3</v>
      </c>
      <c r="N6" s="15"/>
      <c r="O6" s="9">
        <f t="shared" si="4"/>
        <v>1.5627379879953121E-2</v>
      </c>
      <c r="P6" s="9">
        <f t="shared" si="5"/>
        <v>1.0157501259471713</v>
      </c>
    </row>
    <row r="7" spans="1:16" x14ac:dyDescent="0.3">
      <c r="A7" s="8">
        <v>1952</v>
      </c>
      <c r="B7" s="16">
        <f>Data!K7</f>
        <v>367759</v>
      </c>
      <c r="C7" s="19">
        <f>Data!AU7</f>
        <v>1.24763241075875</v>
      </c>
      <c r="D7" s="24">
        <f t="shared" si="0"/>
        <v>294765.50691428949</v>
      </c>
      <c r="E7" s="9">
        <f>Data!AB7</f>
        <v>1.1994779109954834</v>
      </c>
      <c r="F7" s="9">
        <f>Data!AE7</f>
        <v>1.1223959922790527</v>
      </c>
      <c r="G7" s="14"/>
      <c r="H7" s="9">
        <f t="shared" si="6"/>
        <v>0.56284594535827637</v>
      </c>
      <c r="I7" s="14"/>
      <c r="J7" s="9">
        <f t="shared" si="1"/>
        <v>3.4310724256003428E-2</v>
      </c>
      <c r="K7" s="9">
        <f t="shared" si="2"/>
        <v>4.0764643133572837E-2</v>
      </c>
      <c r="L7" s="9">
        <f t="shared" si="3"/>
        <v>2.075918395243569E-2</v>
      </c>
      <c r="M7" s="9">
        <f t="shared" si="7"/>
        <v>4.806072707564139E-3</v>
      </c>
      <c r="N7" s="15"/>
      <c r="O7" s="9">
        <f t="shared" si="4"/>
        <v>2.0433452587517262E-2</v>
      </c>
      <c r="P7" s="9">
        <f t="shared" si="5"/>
        <v>1.020643644789526</v>
      </c>
    </row>
    <row r="8" spans="1:16" x14ac:dyDescent="0.3">
      <c r="A8" s="8">
        <v>1953</v>
      </c>
      <c r="B8" s="16">
        <f>Data!K8</f>
        <v>389775</v>
      </c>
      <c r="C8" s="19">
        <f>Data!AU8</f>
        <v>1.2501213745767901</v>
      </c>
      <c r="D8" s="24">
        <f t="shared" si="0"/>
        <v>311789.72532323311</v>
      </c>
      <c r="E8" s="9">
        <f>Data!AB8</f>
        <v>1.2526760101318359</v>
      </c>
      <c r="F8" s="9">
        <f>Data!AE8</f>
        <v>1.1475481986999512</v>
      </c>
      <c r="G8" s="14"/>
      <c r="H8" s="9">
        <f t="shared" si="6"/>
        <v>0.56284594535827637</v>
      </c>
      <c r="I8" s="14"/>
      <c r="J8" s="9">
        <f t="shared" si="1"/>
        <v>5.6148854871006133E-2</v>
      </c>
      <c r="K8" s="9">
        <f t="shared" si="2"/>
        <v>4.3395683203951131E-2</v>
      </c>
      <c r="L8" s="9">
        <f t="shared" si="3"/>
        <v>2.2161986165908375E-2</v>
      </c>
      <c r="M8" s="9">
        <f t="shared" si="7"/>
        <v>2.4704471949883414E-2</v>
      </c>
      <c r="N8" s="15"/>
      <c r="O8" s="9">
        <f t="shared" si="4"/>
        <v>4.5137924537400675E-2</v>
      </c>
      <c r="P8" s="9">
        <f t="shared" si="5"/>
        <v>1.0461721427672477</v>
      </c>
    </row>
    <row r="9" spans="1:16" x14ac:dyDescent="0.3">
      <c r="A9" s="8">
        <v>1954</v>
      </c>
      <c r="B9" s="16">
        <f>Data!K9</f>
        <v>391158</v>
      </c>
      <c r="C9" s="19">
        <f>Data!AU9</f>
        <v>1.2547682464882099</v>
      </c>
      <c r="D9" s="24">
        <f t="shared" si="0"/>
        <v>311737.24796969938</v>
      </c>
      <c r="E9" s="9">
        <f>Data!AB9</f>
        <v>1.3126991987228394</v>
      </c>
      <c r="F9" s="9">
        <f>Data!AE9</f>
        <v>1.1093044281005859</v>
      </c>
      <c r="G9" s="14"/>
      <c r="H9" s="9">
        <f t="shared" si="6"/>
        <v>0.56284594535827637</v>
      </c>
      <c r="I9" s="14"/>
      <c r="J9" s="9">
        <f t="shared" si="1"/>
        <v>-1.683242454789202E-4</v>
      </c>
      <c r="K9" s="9">
        <f t="shared" si="2"/>
        <v>4.6803403267920304E-2</v>
      </c>
      <c r="L9" s="9">
        <f t="shared" si="3"/>
        <v>-3.3894487743144318E-2</v>
      </c>
      <c r="M9" s="9">
        <f t="shared" si="7"/>
        <v>-1.5512467588574032E-3</v>
      </c>
      <c r="N9" s="15"/>
      <c r="O9" s="9">
        <f t="shared" si="4"/>
        <v>4.3586677778543276E-2</v>
      </c>
      <c r="P9" s="9">
        <f t="shared" si="5"/>
        <v>1.0445505297077573</v>
      </c>
    </row>
    <row r="10" spans="1:16" x14ac:dyDescent="0.3">
      <c r="A10" s="8">
        <v>1955</v>
      </c>
      <c r="B10" s="16">
        <f>Data!K10</f>
        <v>426183</v>
      </c>
      <c r="C10" s="19">
        <f>Data!AU10</f>
        <v>1.2762001111074801</v>
      </c>
      <c r="D10" s="24">
        <f t="shared" si="0"/>
        <v>333946.84445698763</v>
      </c>
      <c r="E10" s="9">
        <f>Data!AB10</f>
        <v>1.3686519861221313</v>
      </c>
      <c r="F10" s="9">
        <f>Data!AE10</f>
        <v>1.1472072601318359</v>
      </c>
      <c r="G10" s="14"/>
      <c r="H10" s="9">
        <f t="shared" si="6"/>
        <v>0.56284594535827637</v>
      </c>
      <c r="I10" s="14"/>
      <c r="J10" s="9">
        <f t="shared" si="1"/>
        <v>6.8821152923526821E-2</v>
      </c>
      <c r="K10" s="9">
        <f t="shared" si="2"/>
        <v>4.1740829282910272E-2</v>
      </c>
      <c r="L10" s="9">
        <f t="shared" si="3"/>
        <v>3.3597341858329841E-2</v>
      </c>
      <c r="M10" s="9">
        <f t="shared" si="7"/>
        <v>3.1663852518617759E-2</v>
      </c>
      <c r="N10" s="15"/>
      <c r="O10" s="9">
        <f t="shared" si="4"/>
        <v>7.5250530297161028E-2</v>
      </c>
      <c r="P10" s="9">
        <f t="shared" si="5"/>
        <v>1.0781542273510138</v>
      </c>
    </row>
    <row r="11" spans="1:16" x14ac:dyDescent="0.3">
      <c r="A11" s="8">
        <v>1956</v>
      </c>
      <c r="B11" s="16">
        <f>Data!K11</f>
        <v>450145</v>
      </c>
      <c r="C11" s="19">
        <f>Data!AU11</f>
        <v>1.3570064318342101</v>
      </c>
      <c r="D11" s="24">
        <f t="shared" si="0"/>
        <v>331719.13517871645</v>
      </c>
      <c r="E11" s="9">
        <f>Data!AB11</f>
        <v>1.4350333213806152</v>
      </c>
      <c r="F11" s="9">
        <f>Data!AE11</f>
        <v>1.1731125116348267</v>
      </c>
      <c r="G11" s="14"/>
      <c r="H11" s="9">
        <f t="shared" si="6"/>
        <v>0.56284594535827637</v>
      </c>
      <c r="I11" s="14"/>
      <c r="J11" s="9">
        <f t="shared" si="1"/>
        <v>-6.6931994814119957E-3</v>
      </c>
      <c r="K11" s="9">
        <f t="shared" si="2"/>
        <v>4.7361765710211501E-2</v>
      </c>
      <c r="L11" s="9">
        <f t="shared" si="3"/>
        <v>2.2329963508771623E-2</v>
      </c>
      <c r="M11" s="9">
        <f t="shared" si="7"/>
        <v>-3.9965916817532685E-2</v>
      </c>
      <c r="N11" s="15"/>
      <c r="O11" s="9">
        <f t="shared" si="4"/>
        <v>3.5284613479628343E-2</v>
      </c>
      <c r="P11" s="9">
        <f t="shared" si="5"/>
        <v>1.0359145020775968</v>
      </c>
    </row>
    <row r="12" spans="1:16" x14ac:dyDescent="0.3">
      <c r="A12" s="8">
        <v>1957</v>
      </c>
      <c r="B12" s="16">
        <f>Data!K12</f>
        <v>474861</v>
      </c>
      <c r="C12" s="19">
        <f>Data!AU12</f>
        <v>1.4062172428197399</v>
      </c>
      <c r="D12" s="24">
        <f t="shared" si="0"/>
        <v>337686.79940790019</v>
      </c>
      <c r="E12" s="9">
        <f>Data!AB12</f>
        <v>1.4991930723190308</v>
      </c>
      <c r="F12" s="9">
        <f>Data!AE12</f>
        <v>1.1725307703018188</v>
      </c>
      <c r="G12" s="14"/>
      <c r="H12" s="9">
        <f t="shared" si="6"/>
        <v>0.56284594535827637</v>
      </c>
      <c r="I12" s="14"/>
      <c r="J12" s="9">
        <f t="shared" si="1"/>
        <v>1.7830204428809893E-2</v>
      </c>
      <c r="K12" s="9">
        <f t="shared" si="2"/>
        <v>4.3738942156585088E-2</v>
      </c>
      <c r="L12" s="9">
        <f t="shared" si="3"/>
        <v>-4.9601859704338899E-4</v>
      </c>
      <c r="M12" s="9">
        <f t="shared" si="7"/>
        <v>-1.0112694245129213E-3</v>
      </c>
      <c r="N12" s="15"/>
      <c r="O12" s="9">
        <f t="shared" si="4"/>
        <v>3.4273344055115423E-2</v>
      </c>
      <c r="P12" s="9">
        <f t="shared" si="5"/>
        <v>1.0348674429339175</v>
      </c>
    </row>
    <row r="13" spans="1:16" x14ac:dyDescent="0.3">
      <c r="A13" s="8">
        <v>1958</v>
      </c>
      <c r="B13" s="16">
        <f>Data!K13</f>
        <v>482033</v>
      </c>
      <c r="C13" s="19">
        <f>Data!AU13</f>
        <v>1.41138186472778</v>
      </c>
      <c r="D13" s="24">
        <f t="shared" si="0"/>
        <v>341532.65820301016</v>
      </c>
      <c r="E13" s="9">
        <f>Data!AB13</f>
        <v>1.5537630319595337</v>
      </c>
      <c r="F13" s="9">
        <f>Data!AE13</f>
        <v>1.1318778991699219</v>
      </c>
      <c r="G13" s="14"/>
      <c r="H13" s="9">
        <f t="shared" si="6"/>
        <v>0.56284594535827637</v>
      </c>
      <c r="I13" s="14"/>
      <c r="J13" s="9">
        <f t="shared" si="1"/>
        <v>1.1324469146142917E-2</v>
      </c>
      <c r="K13" s="9">
        <f t="shared" si="2"/>
        <v>3.5752739658408951E-2</v>
      </c>
      <c r="L13" s="9">
        <f t="shared" si="3"/>
        <v>-3.5286353282454212E-2</v>
      </c>
      <c r="M13" s="9">
        <f t="shared" si="7"/>
        <v>1.5555794911428552E-2</v>
      </c>
      <c r="N13" s="15"/>
      <c r="O13" s="9">
        <f t="shared" si="4"/>
        <v>4.9829138966543979E-2</v>
      </c>
      <c r="P13" s="9">
        <f t="shared" si="5"/>
        <v>1.0510914904543185</v>
      </c>
    </row>
    <row r="14" spans="1:16" x14ac:dyDescent="0.3">
      <c r="A14" s="8">
        <v>1959</v>
      </c>
      <c r="B14" s="16">
        <f>Data!K14</f>
        <v>522486.99</v>
      </c>
      <c r="C14" s="19">
        <f>Data!AU14</f>
        <v>1.4249703989070599</v>
      </c>
      <c r="D14" s="24">
        <f t="shared" si="0"/>
        <v>366665.15346616536</v>
      </c>
      <c r="E14" s="9">
        <f>Data!AB14</f>
        <v>1.6125383377075195</v>
      </c>
      <c r="F14" s="9">
        <f>Data!AE14</f>
        <v>1.1710551977157593</v>
      </c>
      <c r="G14" s="14"/>
      <c r="H14" s="9">
        <f t="shared" si="6"/>
        <v>0.56284594535827637</v>
      </c>
      <c r="I14" s="14"/>
      <c r="J14" s="9">
        <f t="shared" si="1"/>
        <v>7.1005737126949256E-2</v>
      </c>
      <c r="K14" s="9">
        <f t="shared" si="2"/>
        <v>3.7129793496370925E-2</v>
      </c>
      <c r="L14" s="9">
        <f t="shared" si="3"/>
        <v>3.4027109711976859E-2</v>
      </c>
      <c r="M14" s="9">
        <f t="shared" si="7"/>
        <v>3.5622276618353405E-2</v>
      </c>
      <c r="N14" s="15"/>
      <c r="O14" s="9">
        <f t="shared" si="4"/>
        <v>8.5451415584897383E-2</v>
      </c>
      <c r="P14" s="9">
        <f t="shared" si="5"/>
        <v>1.0892086414937645</v>
      </c>
    </row>
    <row r="15" spans="1:16" x14ac:dyDescent="0.3">
      <c r="A15" s="8">
        <v>1960</v>
      </c>
      <c r="B15" s="16">
        <f>Data!K15</f>
        <v>543259.99</v>
      </c>
      <c r="C15" s="19">
        <f>Data!AU15</f>
        <v>1.4299049128464201</v>
      </c>
      <c r="D15" s="24">
        <f t="shared" si="0"/>
        <v>379927.3539934674</v>
      </c>
      <c r="E15" s="9">
        <f>Data!AB15</f>
        <v>1.6789461374282837</v>
      </c>
      <c r="F15" s="9">
        <f>Data!AE15</f>
        <v>1.1867908239364624</v>
      </c>
      <c r="G15" s="14"/>
      <c r="H15" s="9">
        <f t="shared" si="6"/>
        <v>0.56284594535827637</v>
      </c>
      <c r="I15" s="14"/>
      <c r="J15" s="9">
        <f t="shared" si="1"/>
        <v>3.5531017543630194E-2</v>
      </c>
      <c r="K15" s="9">
        <f t="shared" si="2"/>
        <v>4.0356752703249635E-2</v>
      </c>
      <c r="L15" s="9">
        <f t="shared" si="3"/>
        <v>1.3347656884317619E-2</v>
      </c>
      <c r="M15" s="9">
        <f t="shared" si="7"/>
        <v>1.0376224909859618E-2</v>
      </c>
      <c r="N15" s="15"/>
      <c r="O15" s="9">
        <f t="shared" si="4"/>
        <v>9.5827640494757005E-2</v>
      </c>
      <c r="P15" s="9">
        <f t="shared" si="5"/>
        <v>1.1005693540559423</v>
      </c>
    </row>
    <row r="16" spans="1:16" x14ac:dyDescent="0.3">
      <c r="A16" s="8">
        <v>1961</v>
      </c>
      <c r="B16" s="16">
        <f>Data!K16</f>
        <v>563304.01</v>
      </c>
      <c r="C16" s="19">
        <f>Data!AU16</f>
        <v>1.43034570095747</v>
      </c>
      <c r="D16" s="24">
        <f t="shared" si="0"/>
        <v>393823.68166166096</v>
      </c>
      <c r="E16" s="9">
        <f>Data!AB16</f>
        <v>1.7455264329910278</v>
      </c>
      <c r="F16" s="9">
        <f>Data!AE16</f>
        <v>1.1874819993972778</v>
      </c>
      <c r="G16" s="14"/>
      <c r="H16" s="9">
        <f t="shared" si="6"/>
        <v>0.56284594535827637</v>
      </c>
      <c r="I16" s="14"/>
      <c r="J16" s="9">
        <f t="shared" si="1"/>
        <v>3.5923239920183675E-2</v>
      </c>
      <c r="K16" s="9">
        <f t="shared" si="2"/>
        <v>3.8889893524135001E-2</v>
      </c>
      <c r="L16" s="9">
        <f t="shared" si="3"/>
        <v>5.8222077391222146E-4</v>
      </c>
      <c r="M16" s="9">
        <f t="shared" si="7"/>
        <v>1.8594664679623295E-2</v>
      </c>
      <c r="N16" s="15"/>
      <c r="O16" s="9">
        <f t="shared" si="4"/>
        <v>0.1144223051743803</v>
      </c>
      <c r="P16" s="9">
        <f t="shared" si="5"/>
        <v>1.1212255242581564</v>
      </c>
    </row>
    <row r="17" spans="1:16" x14ac:dyDescent="0.3">
      <c r="A17" s="8">
        <v>1962</v>
      </c>
      <c r="B17" s="16">
        <f>Data!K17</f>
        <v>605146</v>
      </c>
      <c r="C17" s="19">
        <f>Data!AU17</f>
        <v>1.4376197490418201</v>
      </c>
      <c r="D17" s="24">
        <f t="shared" si="0"/>
        <v>420936.06491099781</v>
      </c>
      <c r="E17" s="9">
        <f>Data!AB17</f>
        <v>1.8218457698822021</v>
      </c>
      <c r="F17" s="9">
        <f>Data!AE17</f>
        <v>1.2212929725646973</v>
      </c>
      <c r="G17" s="14"/>
      <c r="H17" s="9">
        <f t="shared" si="6"/>
        <v>0.56284594535827637</v>
      </c>
      <c r="I17" s="14"/>
      <c r="J17" s="9">
        <f t="shared" si="1"/>
        <v>6.6577656667077323E-2</v>
      </c>
      <c r="K17" s="9">
        <f t="shared" si="2"/>
        <v>4.2793955497511131E-2</v>
      </c>
      <c r="L17" s="9">
        <f t="shared" si="3"/>
        <v>2.8075012707379804E-2</v>
      </c>
      <c r="M17" s="9">
        <f t="shared" si="7"/>
        <v>3.2068198438952041E-2</v>
      </c>
      <c r="N17" s="15"/>
      <c r="O17" s="9">
        <f t="shared" si="4"/>
        <v>0.14649050361333235</v>
      </c>
      <c r="P17" s="9">
        <f t="shared" si="5"/>
        <v>1.1577639361922438</v>
      </c>
    </row>
    <row r="18" spans="1:16" x14ac:dyDescent="0.3">
      <c r="A18" s="8">
        <v>1963</v>
      </c>
      <c r="B18" s="16">
        <f>Data!K18</f>
        <v>638613</v>
      </c>
      <c r="C18" s="19">
        <f>Data!AU18</f>
        <v>1.43957136508018</v>
      </c>
      <c r="D18" s="24">
        <f t="shared" si="0"/>
        <v>443613.29732647957</v>
      </c>
      <c r="E18" s="9">
        <f>Data!AB18</f>
        <v>1.9064685106277466</v>
      </c>
      <c r="F18" s="9">
        <f>Data!AE18</f>
        <v>1.23627769947052</v>
      </c>
      <c r="G18" s="14"/>
      <c r="H18" s="9">
        <f t="shared" si="6"/>
        <v>0.56284594535827637</v>
      </c>
      <c r="I18" s="14"/>
      <c r="J18" s="9">
        <f t="shared" si="1"/>
        <v>5.2472273635535908E-2</v>
      </c>
      <c r="K18" s="9">
        <f t="shared" si="2"/>
        <v>4.5402436877717722E-2</v>
      </c>
      <c r="L18" s="9">
        <f t="shared" si="3"/>
        <v>1.219489862980387E-2</v>
      </c>
      <c r="M18" s="9">
        <f t="shared" si="7"/>
        <v>2.5760565015986378E-2</v>
      </c>
      <c r="N18" s="15"/>
      <c r="O18" s="9">
        <f t="shared" si="4"/>
        <v>0.17225106862931872</v>
      </c>
      <c r="P18" s="9">
        <f t="shared" si="5"/>
        <v>1.1879760592956032</v>
      </c>
    </row>
    <row r="19" spans="1:16" x14ac:dyDescent="0.3">
      <c r="A19" s="8">
        <v>1964</v>
      </c>
      <c r="B19" s="16">
        <f>Data!K19</f>
        <v>685847.02</v>
      </c>
      <c r="C19" s="19">
        <f>Data!AU19</f>
        <v>1.45065470413917</v>
      </c>
      <c r="D19" s="24">
        <f t="shared" si="0"/>
        <v>472784.47313689796</v>
      </c>
      <c r="E19" s="9">
        <f>Data!AB19</f>
        <v>1.9979027509689331</v>
      </c>
      <c r="F19" s="9">
        <f>Data!AE19</f>
        <v>1.2631669044494629</v>
      </c>
      <c r="G19" s="14"/>
      <c r="H19" s="9">
        <f t="shared" si="6"/>
        <v>0.56284594535827637</v>
      </c>
      <c r="I19" s="14"/>
      <c r="J19" s="9">
        <f t="shared" si="1"/>
        <v>6.3686394351843437E-2</v>
      </c>
      <c r="K19" s="9">
        <f t="shared" si="2"/>
        <v>4.6845422522793237E-2</v>
      </c>
      <c r="L19" s="9">
        <f t="shared" si="3"/>
        <v>2.151697409856481E-2</v>
      </c>
      <c r="M19" s="9">
        <f t="shared" si="7"/>
        <v>3.1096986326843393E-2</v>
      </c>
      <c r="N19" s="15"/>
      <c r="O19" s="9">
        <f t="shared" si="4"/>
        <v>0.20334805495616209</v>
      </c>
      <c r="P19" s="9">
        <f t="shared" si="5"/>
        <v>1.2254989350043595</v>
      </c>
    </row>
    <row r="20" spans="1:16" x14ac:dyDescent="0.3">
      <c r="A20" s="8">
        <v>1965</v>
      </c>
      <c r="B20" s="16">
        <f>Data!K20</f>
        <v>743759.01</v>
      </c>
      <c r="C20" s="6"/>
      <c r="H20" s="6"/>
      <c r="J20" s="6"/>
      <c r="K20" s="6"/>
      <c r="L20" s="6"/>
      <c r="M20" s="6"/>
    </row>
    <row r="21" spans="1:16" x14ac:dyDescent="0.3">
      <c r="A21" s="8">
        <v>1966</v>
      </c>
      <c r="B21" s="16">
        <f>Data!K21</f>
        <v>815033</v>
      </c>
      <c r="C21" s="19">
        <f>Data!AU21</f>
        <v>1.5050035100415999</v>
      </c>
      <c r="D21" s="24">
        <f t="shared" si="0"/>
        <v>541548.90308360255</v>
      </c>
      <c r="E21" s="9">
        <f>Data!AB21</f>
        <v>2.235722541809082</v>
      </c>
      <c r="F21" s="9">
        <f>Data!AE21</f>
        <v>1.3658438920974731</v>
      </c>
      <c r="G21" s="14"/>
      <c r="H21" s="9">
        <f t="shared" si="6"/>
        <v>0</v>
      </c>
      <c r="I21" s="14"/>
      <c r="J21" s="9" t="e">
        <f t="shared" si="1"/>
        <v>#DIV/0!</v>
      </c>
      <c r="K21" s="9" t="e">
        <f t="shared" si="2"/>
        <v>#DIV/0!</v>
      </c>
      <c r="L21" s="9" t="e">
        <f t="shared" si="3"/>
        <v>#DIV/0!</v>
      </c>
      <c r="M21" s="9" t="e">
        <f t="shared" si="7"/>
        <v>#DIV/0!</v>
      </c>
      <c r="N21" s="15"/>
      <c r="O21" s="9" t="e">
        <f t="shared" si="4"/>
        <v>#DIV/0!</v>
      </c>
      <c r="P21" s="9" t="e">
        <f t="shared" si="5"/>
        <v>#DIV/0!</v>
      </c>
    </row>
    <row r="22" spans="1:16" x14ac:dyDescent="0.3">
      <c r="A22" s="8">
        <v>1967</v>
      </c>
      <c r="B22" s="16">
        <f>Data!K22</f>
        <v>861781.98</v>
      </c>
      <c r="C22" s="19">
        <f>Data!AU22</f>
        <v>1.54316786456052</v>
      </c>
      <c r="D22" s="24">
        <f t="shared" si="0"/>
        <v>558449.92614943255</v>
      </c>
      <c r="E22" s="9">
        <f>Data!AB22</f>
        <v>2.3752973079681396</v>
      </c>
      <c r="F22" s="9">
        <f>Data!AE22</f>
        <v>1.3805618286132813</v>
      </c>
      <c r="G22" s="14"/>
      <c r="H22" s="9">
        <f t="shared" si="6"/>
        <v>0</v>
      </c>
      <c r="I22" s="14"/>
      <c r="J22" s="9">
        <f t="shared" si="1"/>
        <v>3.073158397778207E-2</v>
      </c>
      <c r="K22" s="9">
        <f t="shared" si="2"/>
        <v>6.0558151208344443E-2</v>
      </c>
      <c r="L22" s="9">
        <f t="shared" si="3"/>
        <v>1.0718064924259488E-2</v>
      </c>
      <c r="M22" s="9">
        <f t="shared" si="7"/>
        <v>-2.9826567230562373E-2</v>
      </c>
      <c r="N22" s="15"/>
      <c r="O22" s="9" t="e">
        <f t="shared" si="4"/>
        <v>#DIV/0!</v>
      </c>
      <c r="P22" s="9" t="e">
        <f t="shared" si="5"/>
        <v>#DIV/0!</v>
      </c>
    </row>
    <row r="23" spans="1:16" x14ac:dyDescent="0.3">
      <c r="A23" s="8">
        <v>1968</v>
      </c>
      <c r="B23" s="16">
        <f>Data!K23</f>
        <v>942541.02</v>
      </c>
      <c r="C23" s="19">
        <f>Data!AU23</f>
        <v>1.6032705690122699</v>
      </c>
      <c r="D23" s="24">
        <f t="shared" si="0"/>
        <v>587886.43552577228</v>
      </c>
      <c r="E23" s="9">
        <f>Data!AB23</f>
        <v>2.5099687576293945</v>
      </c>
      <c r="F23" s="9">
        <f>Data!AE23</f>
        <v>1.405327320098877</v>
      </c>
      <c r="G23" s="14"/>
      <c r="H23" s="9">
        <f t="shared" si="6"/>
        <v>0</v>
      </c>
      <c r="I23" s="14"/>
      <c r="J23" s="9">
        <f t="shared" si="1"/>
        <v>5.136883563958361E-2</v>
      </c>
      <c r="K23" s="9">
        <f t="shared" si="2"/>
        <v>5.5147693952293686E-2</v>
      </c>
      <c r="L23" s="9">
        <f t="shared" si="3"/>
        <v>1.7779705193873289E-2</v>
      </c>
      <c r="M23" s="9">
        <f t="shared" si="7"/>
        <v>-3.7788583127100761E-3</v>
      </c>
      <c r="N23" s="15"/>
      <c r="O23" s="9" t="e">
        <f t="shared" si="4"/>
        <v>#DIV/0!</v>
      </c>
      <c r="P23" s="9" t="e">
        <f t="shared" si="5"/>
        <v>#DIV/0!</v>
      </c>
    </row>
    <row r="24" spans="1:16" x14ac:dyDescent="0.3">
      <c r="A24" s="8">
        <v>1969</v>
      </c>
      <c r="B24" s="16">
        <f>Data!K24</f>
        <v>1019888.99</v>
      </c>
      <c r="C24" s="19">
        <f>Data!AU24</f>
        <v>1.6859590503897799</v>
      </c>
      <c r="D24" s="24">
        <f t="shared" si="0"/>
        <v>604931.05675621843</v>
      </c>
      <c r="E24" s="9">
        <f>Data!AB24</f>
        <v>2.6488194465637207</v>
      </c>
      <c r="F24" s="9">
        <f>Data!AE24</f>
        <v>1.437849760055542</v>
      </c>
      <c r="G24" s="14"/>
      <c r="H24" s="9">
        <f t="shared" si="6"/>
        <v>0</v>
      </c>
      <c r="I24" s="14"/>
      <c r="J24" s="9">
        <f t="shared" si="1"/>
        <v>2.8580703378173176E-2</v>
      </c>
      <c r="K24" s="9">
        <f t="shared" si="2"/>
        <v>5.3843742967780772E-2</v>
      </c>
      <c r="L24" s="9">
        <f t="shared" si="3"/>
        <v>2.2878531742175783E-2</v>
      </c>
      <c r="M24" s="9">
        <f t="shared" si="7"/>
        <v>-2.5263039589607596E-2</v>
      </c>
      <c r="N24" s="15"/>
      <c r="O24" s="9" t="e">
        <f t="shared" si="4"/>
        <v>#DIV/0!</v>
      </c>
      <c r="P24" s="9" t="e">
        <f t="shared" si="5"/>
        <v>#DIV/0!</v>
      </c>
    </row>
    <row r="25" spans="1:16" x14ac:dyDescent="0.3">
      <c r="A25" s="8">
        <v>1970</v>
      </c>
      <c r="B25" s="16">
        <f>Data!K25</f>
        <v>1075904.02</v>
      </c>
      <c r="C25" s="19">
        <f>Data!AU25</f>
        <v>1.7728372922278</v>
      </c>
      <c r="D25" s="24">
        <f t="shared" si="0"/>
        <v>606882.55189396825</v>
      </c>
      <c r="E25" s="9">
        <f>Data!AB25</f>
        <v>2.7715959548950195</v>
      </c>
      <c r="F25" s="9">
        <f>Data!AE25</f>
        <v>1.404610276222229</v>
      </c>
      <c r="G25" s="14"/>
      <c r="H25" s="9">
        <f t="shared" si="6"/>
        <v>0</v>
      </c>
      <c r="I25" s="14"/>
      <c r="J25" s="9">
        <f t="shared" si="1"/>
        <v>3.2207871091735041E-3</v>
      </c>
      <c r="K25" s="9">
        <f t="shared" si="2"/>
        <v>4.5309262411936412E-2</v>
      </c>
      <c r="L25" s="9">
        <f t="shared" si="3"/>
        <v>-2.3388894600874729E-2</v>
      </c>
      <c r="M25" s="9">
        <f t="shared" si="7"/>
        <v>-4.2088475302762905E-2</v>
      </c>
      <c r="N25" s="15"/>
      <c r="O25" s="9" t="e">
        <f t="shared" si="4"/>
        <v>#DIV/0!</v>
      </c>
      <c r="P25" s="9" t="e">
        <f t="shared" si="5"/>
        <v>#DIV/0!</v>
      </c>
    </row>
    <row r="26" spans="1:16" x14ac:dyDescent="0.3">
      <c r="A26" s="8">
        <v>1971</v>
      </c>
      <c r="B26" s="16">
        <f>Data!K26</f>
        <v>1167804</v>
      </c>
      <c r="C26" s="19">
        <f>Data!AU26</f>
        <v>1.86876842916358</v>
      </c>
      <c r="D26" s="24">
        <f t="shared" si="0"/>
        <v>624905.67679521616</v>
      </c>
      <c r="E26" s="9">
        <f>Data!AB26</f>
        <v>2.9007253646850586</v>
      </c>
      <c r="F26" s="9">
        <f>Data!AE26</f>
        <v>1.4000799655914307</v>
      </c>
      <c r="G26" s="14"/>
      <c r="H26" s="9">
        <f t="shared" si="6"/>
        <v>0</v>
      </c>
      <c r="I26" s="14"/>
      <c r="J26" s="9">
        <f t="shared" si="1"/>
        <v>2.9265438347894801E-2</v>
      </c>
      <c r="K26" s="9">
        <f t="shared" si="2"/>
        <v>4.5537520183326352E-2</v>
      </c>
      <c r="L26" s="9">
        <f t="shared" si="3"/>
        <v>-3.2305275664557221E-3</v>
      </c>
      <c r="M26" s="9">
        <f t="shared" si="7"/>
        <v>-1.6272081835431551E-2</v>
      </c>
      <c r="N26" s="15"/>
      <c r="O26" s="9" t="e">
        <f t="shared" si="4"/>
        <v>#DIV/0!</v>
      </c>
      <c r="P26" s="9" t="e">
        <f t="shared" si="5"/>
        <v>#DIV/0!</v>
      </c>
    </row>
    <row r="27" spans="1:16" x14ac:dyDescent="0.3">
      <c r="A27" s="8">
        <v>1972</v>
      </c>
      <c r="B27" s="16">
        <f>Data!K27</f>
        <v>1282507.99</v>
      </c>
      <c r="C27" s="19">
        <f>Data!AU27</f>
        <v>1.9623908331430699</v>
      </c>
      <c r="D27" s="24">
        <f t="shared" si="0"/>
        <v>653543.61034487037</v>
      </c>
      <c r="E27" s="9">
        <f>Data!AB27</f>
        <v>3.0204887390136719</v>
      </c>
      <c r="F27" s="9">
        <f>Data!AE27</f>
        <v>1.4323701858520508</v>
      </c>
      <c r="G27" s="14"/>
      <c r="H27" s="9">
        <f t="shared" si="6"/>
        <v>0</v>
      </c>
      <c r="I27" s="14"/>
      <c r="J27" s="9">
        <f t="shared" si="1"/>
        <v>4.4808543122093425E-2</v>
      </c>
      <c r="K27" s="9">
        <f t="shared" si="2"/>
        <v>4.045782093387279E-2</v>
      </c>
      <c r="L27" s="9">
        <f t="shared" si="3"/>
        <v>2.2801191534186104E-2</v>
      </c>
      <c r="M27" s="9">
        <f t="shared" si="7"/>
        <v>4.3507221882206348E-3</v>
      </c>
      <c r="N27" s="15"/>
      <c r="O27" s="9" t="e">
        <f t="shared" si="4"/>
        <v>#DIV/0!</v>
      </c>
      <c r="P27" s="9" t="e">
        <f t="shared" si="5"/>
        <v>#DIV/0!</v>
      </c>
    </row>
    <row r="28" spans="1:16" x14ac:dyDescent="0.3">
      <c r="A28" s="8">
        <v>1973</v>
      </c>
      <c r="B28" s="16">
        <f>Data!K28</f>
        <v>1428553</v>
      </c>
      <c r="C28" s="19">
        <f>Data!AU28</f>
        <v>2.0750431108685299</v>
      </c>
      <c r="D28" s="24">
        <f t="shared" si="0"/>
        <v>688444.9737538537</v>
      </c>
      <c r="E28" s="9">
        <f>Data!AB28</f>
        <v>3.1526923179626465</v>
      </c>
      <c r="F28" s="9">
        <f>Data!AE28</f>
        <v>1.4917737245559692</v>
      </c>
      <c r="G28" s="14"/>
      <c r="H28" s="9">
        <f t="shared" si="6"/>
        <v>0</v>
      </c>
      <c r="I28" s="14"/>
      <c r="J28" s="9">
        <f t="shared" si="1"/>
        <v>5.2026128706938547E-2</v>
      </c>
      <c r="K28" s="9">
        <f t="shared" si="2"/>
        <v>4.2838139497559206E-2</v>
      </c>
      <c r="L28" s="9">
        <f t="shared" si="3"/>
        <v>4.0635286331559807E-2</v>
      </c>
      <c r="M28" s="9">
        <f t="shared" si="7"/>
        <v>9.1879892093793408E-3</v>
      </c>
      <c r="N28" s="15"/>
      <c r="O28" s="9" t="e">
        <f t="shared" si="4"/>
        <v>#DIV/0!</v>
      </c>
      <c r="P28" s="9" t="e">
        <f t="shared" si="5"/>
        <v>#DIV/0!</v>
      </c>
    </row>
    <row r="29" spans="1:16" x14ac:dyDescent="0.3">
      <c r="A29" s="8">
        <v>1974</v>
      </c>
      <c r="B29" s="16">
        <f>Data!K29</f>
        <v>1548858.03</v>
      </c>
      <c r="C29" s="19">
        <f>Data!AU29</f>
        <v>2.2957144131305101</v>
      </c>
      <c r="D29" s="24">
        <f t="shared" si="0"/>
        <v>674673.65328247752</v>
      </c>
      <c r="E29" s="9">
        <f>Data!AB29</f>
        <v>3.2913753986358643</v>
      </c>
      <c r="F29" s="9">
        <f>Data!AE29</f>
        <v>1.4881918430328369</v>
      </c>
      <c r="G29" s="14"/>
      <c r="H29" s="9">
        <f t="shared" si="6"/>
        <v>0</v>
      </c>
      <c r="I29" s="14"/>
      <c r="J29" s="9">
        <f t="shared" si="1"/>
        <v>-2.0206295707170637E-2</v>
      </c>
      <c r="K29" s="9">
        <f t="shared" si="2"/>
        <v>4.3048739812447112E-2</v>
      </c>
      <c r="L29" s="9">
        <f t="shared" si="3"/>
        <v>-2.4039762654272743E-3</v>
      </c>
      <c r="M29" s="9">
        <f t="shared" si="7"/>
        <v>-6.3255035519617753E-2</v>
      </c>
      <c r="N29" s="15"/>
      <c r="O29" s="9" t="e">
        <f t="shared" si="4"/>
        <v>#DIV/0!</v>
      </c>
      <c r="P29" s="9" t="e">
        <f t="shared" si="5"/>
        <v>#DIV/0!</v>
      </c>
    </row>
    <row r="30" spans="1:16" x14ac:dyDescent="0.3">
      <c r="A30" s="8">
        <v>1975</v>
      </c>
      <c r="B30" s="16">
        <f>Data!K30</f>
        <v>1688951.97</v>
      </c>
      <c r="C30" s="19">
        <f>Data!AU30</f>
        <v>2.5591083953447402</v>
      </c>
      <c r="D30" s="24">
        <f t="shared" si="0"/>
        <v>659976.72199910053</v>
      </c>
      <c r="E30" s="9">
        <f>Data!AB30</f>
        <v>3.4009368419647217</v>
      </c>
      <c r="F30" s="9">
        <f>Data!AE30</f>
        <v>1.4485042095184326</v>
      </c>
      <c r="G30" s="14"/>
      <c r="H30" s="9">
        <f t="shared" si="6"/>
        <v>0</v>
      </c>
      <c r="I30" s="14"/>
      <c r="J30" s="9">
        <f t="shared" si="1"/>
        <v>-2.2024532641324854E-2</v>
      </c>
      <c r="K30" s="9">
        <f t="shared" si="2"/>
        <v>3.2745403708243324E-2</v>
      </c>
      <c r="L30" s="9">
        <f t="shared" si="3"/>
        <v>-2.7030410524398762E-2</v>
      </c>
      <c r="M30" s="9">
        <f t="shared" si="7"/>
        <v>-5.4769936349568178E-2</v>
      </c>
      <c r="N30" s="15"/>
      <c r="O30" s="9" t="e">
        <f t="shared" si="4"/>
        <v>#DIV/0!</v>
      </c>
      <c r="P30" s="9" t="e">
        <f t="shared" si="5"/>
        <v>#DIV/0!</v>
      </c>
    </row>
    <row r="31" spans="1:16" x14ac:dyDescent="0.3">
      <c r="A31" s="8">
        <v>1976</v>
      </c>
      <c r="B31" s="16">
        <f>Data!K31</f>
        <v>1877616.03</v>
      </c>
      <c r="C31" s="19">
        <f>Data!AU31</f>
        <v>2.6945742040441298</v>
      </c>
      <c r="D31" s="24">
        <f t="shared" si="0"/>
        <v>696813.62910028431</v>
      </c>
      <c r="E31" s="9">
        <f>Data!AB31</f>
        <v>3.4965701103210449</v>
      </c>
      <c r="F31" s="9">
        <f>Data!AE31</f>
        <v>1.4901098012924194</v>
      </c>
      <c r="G31" s="14"/>
      <c r="H31" s="9">
        <f t="shared" si="6"/>
        <v>0</v>
      </c>
      <c r="I31" s="14"/>
      <c r="J31" s="9">
        <f t="shared" si="1"/>
        <v>5.4313420205246425E-2</v>
      </c>
      <c r="K31" s="9">
        <f t="shared" si="2"/>
        <v>2.7731584110836573E-2</v>
      </c>
      <c r="L31" s="9">
        <f t="shared" si="3"/>
        <v>2.8318365039259257E-2</v>
      </c>
      <c r="M31" s="9">
        <f t="shared" si="7"/>
        <v>2.6581836094409853E-2</v>
      </c>
      <c r="N31" s="15"/>
      <c r="O31" s="9" t="e">
        <f t="shared" si="4"/>
        <v>#DIV/0!</v>
      </c>
      <c r="P31" s="9" t="e">
        <f t="shared" si="5"/>
        <v>#DIV/0!</v>
      </c>
    </row>
    <row r="32" spans="1:16" x14ac:dyDescent="0.3">
      <c r="A32" s="8">
        <v>1977</v>
      </c>
      <c r="B32" s="16">
        <f>Data!K32</f>
        <v>2085925.9300000002</v>
      </c>
      <c r="C32" s="19">
        <f>Data!AU32</f>
        <v>2.8846739706924902</v>
      </c>
      <c r="D32" s="24">
        <f t="shared" si="0"/>
        <v>723106.30289330625</v>
      </c>
      <c r="E32" s="9">
        <f>Data!AB32</f>
        <v>3.6051239967346191</v>
      </c>
      <c r="F32" s="9">
        <f>Data!AE32</f>
        <v>1.5474871397018433</v>
      </c>
      <c r="G32" s="14"/>
      <c r="H32" s="9">
        <f t="shared" si="6"/>
        <v>0</v>
      </c>
      <c r="I32" s="14"/>
      <c r="J32" s="9">
        <f t="shared" si="1"/>
        <v>3.7038256726675774E-2</v>
      </c>
      <c r="K32" s="9">
        <f t="shared" si="2"/>
        <v>3.057364637826445E-2</v>
      </c>
      <c r="L32" s="9">
        <f t="shared" si="3"/>
        <v>3.7782605786908202E-2</v>
      </c>
      <c r="M32" s="9">
        <f t="shared" si="7"/>
        <v>6.4646103484113232E-3</v>
      </c>
      <c r="N32" s="15"/>
      <c r="O32" s="9" t="e">
        <f t="shared" si="4"/>
        <v>#DIV/0!</v>
      </c>
      <c r="P32" s="9" t="e">
        <f t="shared" si="5"/>
        <v>#DIV/0!</v>
      </c>
    </row>
    <row r="33" spans="1:16" x14ac:dyDescent="0.3">
      <c r="A33" s="8">
        <v>1978</v>
      </c>
      <c r="B33" s="16">
        <f>Data!K33</f>
        <v>2356548.9699999997</v>
      </c>
      <c r="C33" s="19">
        <f>Data!AU33</f>
        <v>3.1127573753721598</v>
      </c>
      <c r="D33" s="24">
        <f t="shared" si="0"/>
        <v>757061.56497926591</v>
      </c>
      <c r="E33" s="9">
        <f>Data!AB33</f>
        <v>3.7799568176269531</v>
      </c>
      <c r="F33" s="9">
        <f>Data!AE33</f>
        <v>1.6213527917861938</v>
      </c>
      <c r="G33" s="14"/>
      <c r="H33" s="9">
        <f t="shared" si="6"/>
        <v>0</v>
      </c>
      <c r="I33" s="14"/>
      <c r="J33" s="9">
        <f t="shared" si="1"/>
        <v>4.5888336080062972E-2</v>
      </c>
      <c r="K33" s="9">
        <f t="shared" si="2"/>
        <v>4.7356419747140319E-2</v>
      </c>
      <c r="L33" s="9">
        <f t="shared" si="3"/>
        <v>4.6628442264898075E-2</v>
      </c>
      <c r="M33" s="9">
        <f t="shared" si="7"/>
        <v>-1.4680836670773467E-3</v>
      </c>
      <c r="N33" s="15"/>
      <c r="O33" s="9" t="e">
        <f t="shared" si="4"/>
        <v>#DIV/0!</v>
      </c>
      <c r="P33" s="9" t="e">
        <f t="shared" si="5"/>
        <v>#DIV/0!</v>
      </c>
    </row>
    <row r="34" spans="1:16" x14ac:dyDescent="0.3">
      <c r="A34" s="8">
        <v>1979</v>
      </c>
      <c r="B34" s="16">
        <f>Data!K34</f>
        <v>2632153.0699999998</v>
      </c>
      <c r="C34" s="19">
        <f>Data!AU34</f>
        <v>3.3860824263406002</v>
      </c>
      <c r="D34" s="24">
        <f t="shared" si="0"/>
        <v>777344.65337413969</v>
      </c>
      <c r="E34" s="9">
        <f>Data!AB34</f>
        <v>3.9663212299346924</v>
      </c>
      <c r="F34" s="9">
        <f>Data!AE34</f>
        <v>1.6745506525039673</v>
      </c>
      <c r="G34" s="14"/>
      <c r="H34" s="9">
        <f t="shared" si="6"/>
        <v>0</v>
      </c>
      <c r="I34" s="14"/>
      <c r="J34" s="9">
        <f t="shared" si="1"/>
        <v>2.6439243643804969E-2</v>
      </c>
      <c r="K34" s="9">
        <f t="shared" si="2"/>
        <v>4.8126437108821592E-2</v>
      </c>
      <c r="L34" s="9">
        <f t="shared" si="3"/>
        <v>3.2284004688542492E-2</v>
      </c>
      <c r="M34" s="9">
        <f t="shared" si="7"/>
        <v>-2.1687193465016623E-2</v>
      </c>
      <c r="N34" s="15"/>
      <c r="O34" s="9" t="e">
        <f t="shared" si="4"/>
        <v>#DIV/0!</v>
      </c>
      <c r="P34" s="9" t="e">
        <f t="shared" si="5"/>
        <v>#DIV/0!</v>
      </c>
    </row>
    <row r="35" spans="1:16" x14ac:dyDescent="0.3">
      <c r="A35" s="8">
        <v>1980</v>
      </c>
      <c r="B35" s="16">
        <f>Data!K35</f>
        <v>2862517.94</v>
      </c>
      <c r="C35" s="19">
        <f>Data!AU35</f>
        <v>3.7067254083531802</v>
      </c>
      <c r="D35" s="24">
        <f t="shared" si="0"/>
        <v>772249.79588432913</v>
      </c>
      <c r="E35" s="9">
        <f>Data!AB35</f>
        <v>4.1551823616027832</v>
      </c>
      <c r="F35" s="9">
        <f>Data!AE35</f>
        <v>1.6618548631668091</v>
      </c>
      <c r="G35" s="14"/>
      <c r="H35" s="9">
        <f t="shared" si="6"/>
        <v>0</v>
      </c>
      <c r="I35" s="14"/>
      <c r="J35" s="9">
        <f t="shared" ref="J35:J66" si="8">LN(D35/D34)</f>
        <v>-6.5757538702259002E-3</v>
      </c>
      <c r="K35" s="9">
        <f t="shared" ref="K35:K66" si="9">LN(E35/E34)</f>
        <v>4.6517294253196936E-2</v>
      </c>
      <c r="L35" s="9">
        <f t="shared" ref="L35:L66" si="10">LN(F35/F34)</f>
        <v>-7.6104961195166704E-3</v>
      </c>
      <c r="M35" s="9">
        <f t="shared" si="7"/>
        <v>-5.3093048123422838E-2</v>
      </c>
      <c r="N35" s="15"/>
      <c r="O35" s="9" t="e">
        <f t="shared" si="4"/>
        <v>#DIV/0!</v>
      </c>
      <c r="P35" s="9" t="e">
        <f t="shared" si="5"/>
        <v>#DIV/0!</v>
      </c>
    </row>
    <row r="36" spans="1:16" x14ac:dyDescent="0.3">
      <c r="A36" s="8">
        <v>1981</v>
      </c>
      <c r="B36" s="16">
        <f>Data!K36</f>
        <v>3210981</v>
      </c>
      <c r="C36" s="19">
        <f>Data!AU36</f>
        <v>4.0505689301558698</v>
      </c>
      <c r="D36" s="24">
        <f t="shared" si="0"/>
        <v>792723.45573352289</v>
      </c>
      <c r="E36" s="9">
        <f>Data!AB36</f>
        <v>4.3158254623413086</v>
      </c>
      <c r="F36" s="9">
        <f>Data!AE36</f>
        <v>1.6838330030441284</v>
      </c>
      <c r="G36" s="14"/>
      <c r="H36" s="9">
        <f t="shared" si="6"/>
        <v>0</v>
      </c>
      <c r="I36" s="14"/>
      <c r="J36" s="9">
        <f t="shared" si="8"/>
        <v>2.6166361592298893E-2</v>
      </c>
      <c r="K36" s="9">
        <f t="shared" si="9"/>
        <v>3.793228987817801E-2</v>
      </c>
      <c r="L36" s="9">
        <f t="shared" si="10"/>
        <v>1.3138378058744691E-2</v>
      </c>
      <c r="M36" s="9">
        <f t="shared" si="7"/>
        <v>-1.1765928285879117E-2</v>
      </c>
      <c r="N36" s="15"/>
      <c r="O36" s="9" t="e">
        <f t="shared" si="4"/>
        <v>#DIV/0!</v>
      </c>
      <c r="P36" s="9" t="e">
        <f t="shared" si="5"/>
        <v>#DIV/0!</v>
      </c>
    </row>
    <row r="37" spans="1:16" x14ac:dyDescent="0.3">
      <c r="A37" s="8">
        <v>1982</v>
      </c>
      <c r="B37" s="16">
        <f>Data!K37</f>
        <v>3345027.93</v>
      </c>
      <c r="C37" s="19">
        <f>Data!AU37</f>
        <v>4.2856451913212004</v>
      </c>
      <c r="D37" s="24">
        <f t="shared" si="0"/>
        <v>780519.10054849368</v>
      </c>
      <c r="E37" s="9">
        <f>Data!AB37</f>
        <v>4.4880046844482422</v>
      </c>
      <c r="F37" s="9">
        <f>Data!AE37</f>
        <v>1.6490050554275513</v>
      </c>
      <c r="G37" s="14"/>
      <c r="H37" s="9">
        <f t="shared" si="6"/>
        <v>0</v>
      </c>
      <c r="I37" s="14"/>
      <c r="J37" s="9">
        <f t="shared" si="8"/>
        <v>-1.5515217226584249E-2</v>
      </c>
      <c r="K37" s="9">
        <f t="shared" si="9"/>
        <v>3.9119605093514351E-2</v>
      </c>
      <c r="L37" s="9">
        <f t="shared" si="10"/>
        <v>-2.0900634738094958E-2</v>
      </c>
      <c r="M37" s="9">
        <f t="shared" si="7"/>
        <v>-5.46348223200986E-2</v>
      </c>
      <c r="N37" s="15"/>
      <c r="O37" s="9" t="e">
        <f t="shared" si="4"/>
        <v>#DIV/0!</v>
      </c>
      <c r="P37" s="9" t="e">
        <f t="shared" si="5"/>
        <v>#DIV/0!</v>
      </c>
    </row>
    <row r="38" spans="1:16" x14ac:dyDescent="0.3">
      <c r="A38" s="8">
        <v>1983</v>
      </c>
      <c r="B38" s="16">
        <f>Data!K38</f>
        <v>3638136</v>
      </c>
      <c r="C38" s="19">
        <f>Data!AU38</f>
        <v>4.3222798290951499</v>
      </c>
      <c r="D38" s="24">
        <f t="shared" si="0"/>
        <v>841716.90493292932</v>
      </c>
      <c r="E38" s="9">
        <f>Data!AB38</f>
        <v>4.6554460525512695</v>
      </c>
      <c r="F38" s="9">
        <f>Data!AE38</f>
        <v>1.6745383739471436</v>
      </c>
      <c r="G38" s="14"/>
      <c r="H38" s="9">
        <f t="shared" si="6"/>
        <v>0</v>
      </c>
      <c r="I38" s="14"/>
      <c r="J38" s="9">
        <f t="shared" si="8"/>
        <v>7.548452843782727E-2</v>
      </c>
      <c r="K38" s="9">
        <f t="shared" si="9"/>
        <v>3.6629516391802598E-2</v>
      </c>
      <c r="L38" s="9">
        <f t="shared" si="10"/>
        <v>1.5365420323243274E-2</v>
      </c>
      <c r="M38" s="9">
        <f t="shared" si="7"/>
        <v>3.8855012046024671E-2</v>
      </c>
      <c r="N38" s="15"/>
      <c r="O38" s="9" t="e">
        <f t="shared" si="4"/>
        <v>#DIV/0!</v>
      </c>
      <c r="P38" s="9" t="e">
        <f t="shared" si="5"/>
        <v>#DIV/0!</v>
      </c>
    </row>
    <row r="39" spans="1:16" x14ac:dyDescent="0.3">
      <c r="A39" s="8">
        <v>1984</v>
      </c>
      <c r="B39" s="16">
        <f>Data!K39</f>
        <v>4040673</v>
      </c>
      <c r="C39" s="19">
        <f>Data!AU39</f>
        <v>4.3739270756594797</v>
      </c>
      <c r="D39" s="24">
        <f t="shared" si="0"/>
        <v>923808.95476881415</v>
      </c>
      <c r="E39" s="9">
        <f>Data!AB39</f>
        <v>4.8542585372924805</v>
      </c>
      <c r="F39" s="9">
        <f>Data!AE39</f>
        <v>1.7689400911331177</v>
      </c>
      <c r="G39" s="14"/>
      <c r="H39" s="9">
        <f t="shared" si="6"/>
        <v>0</v>
      </c>
      <c r="I39" s="14"/>
      <c r="J39" s="9">
        <f t="shared" si="8"/>
        <v>9.3061551066650386E-2</v>
      </c>
      <c r="K39" s="9">
        <f t="shared" si="9"/>
        <v>4.1818640232676334E-2</v>
      </c>
      <c r="L39" s="9">
        <f t="shared" si="10"/>
        <v>5.4843019003907069E-2</v>
      </c>
      <c r="M39" s="9">
        <f t="shared" si="7"/>
        <v>5.1242910833974052E-2</v>
      </c>
      <c r="N39" s="15"/>
      <c r="O39" s="9" t="e">
        <f t="shared" si="4"/>
        <v>#DIV/0!</v>
      </c>
      <c r="P39" s="9" t="e">
        <f t="shared" si="5"/>
        <v>#DIV/0!</v>
      </c>
    </row>
    <row r="40" spans="1:16" x14ac:dyDescent="0.3">
      <c r="A40" s="8">
        <v>1985</v>
      </c>
      <c r="B40" s="16">
        <f>Data!K40</f>
        <v>4346744.7699999996</v>
      </c>
      <c r="C40" s="19">
        <f>Data!AU40</f>
        <v>4.4318455146013704</v>
      </c>
      <c r="D40" s="24">
        <f t="shared" si="0"/>
        <v>980797.89913231542</v>
      </c>
      <c r="E40" s="9">
        <f>Data!AB40</f>
        <v>5.0852212905883789</v>
      </c>
      <c r="F40" s="9">
        <f>Data!AE40</f>
        <v>1.8069400787353516</v>
      </c>
      <c r="G40" s="14"/>
      <c r="H40" s="9">
        <f t="shared" si="6"/>
        <v>0</v>
      </c>
      <c r="I40" s="14"/>
      <c r="J40" s="9">
        <f t="shared" si="8"/>
        <v>5.9861131829779458E-2</v>
      </c>
      <c r="K40" s="9">
        <f t="shared" si="9"/>
        <v>4.6482178243875884E-2</v>
      </c>
      <c r="L40" s="9">
        <f t="shared" si="10"/>
        <v>2.125430177338224E-2</v>
      </c>
      <c r="M40" s="9">
        <f t="shared" si="7"/>
        <v>1.3378953585903575E-2</v>
      </c>
      <c r="N40" s="15"/>
      <c r="O40" s="9" t="e">
        <f t="shared" si="4"/>
        <v>#DIV/0!</v>
      </c>
      <c r="P40" s="9" t="e">
        <f t="shared" si="5"/>
        <v>#DIV/0!</v>
      </c>
    </row>
    <row r="41" spans="1:16" x14ac:dyDescent="0.3">
      <c r="A41" s="8">
        <v>1986</v>
      </c>
      <c r="B41" s="16">
        <f>Data!K41</f>
        <v>4590168.0600000005</v>
      </c>
      <c r="C41" s="19">
        <f>Data!AU41</f>
        <v>4.5181477657850602</v>
      </c>
      <c r="D41" s="24">
        <f t="shared" si="0"/>
        <v>1015940.2254969026</v>
      </c>
      <c r="E41" s="9">
        <f>Data!AB41</f>
        <v>5.3226032257080078</v>
      </c>
      <c r="F41" s="9">
        <f>Data!AE41</f>
        <v>1.8209192752838135</v>
      </c>
      <c r="G41" s="14"/>
      <c r="H41" s="9">
        <f t="shared" si="6"/>
        <v>0</v>
      </c>
      <c r="I41" s="14"/>
      <c r="J41" s="9">
        <f t="shared" si="8"/>
        <v>3.5203370049664236E-2</v>
      </c>
      <c r="K41" s="9">
        <f t="shared" si="9"/>
        <v>4.5623964952087259E-2</v>
      </c>
      <c r="L41" s="9">
        <f t="shared" si="10"/>
        <v>7.7066194534749499E-3</v>
      </c>
      <c r="M41" s="9">
        <f t="shared" si="7"/>
        <v>-1.0420594902423023E-2</v>
      </c>
      <c r="N41" s="15"/>
      <c r="O41" s="9" t="e">
        <f t="shared" si="4"/>
        <v>#DIV/0!</v>
      </c>
      <c r="P41" s="9" t="e">
        <f t="shared" si="5"/>
        <v>#DIV/0!</v>
      </c>
    </row>
    <row r="42" spans="1:16" x14ac:dyDescent="0.3">
      <c r="A42" s="8">
        <v>1987</v>
      </c>
      <c r="B42" s="16">
        <f>Data!K42</f>
        <v>4870225.9399999995</v>
      </c>
      <c r="C42" s="19">
        <f>Data!AU42</f>
        <v>4.5998304370603398</v>
      </c>
      <c r="D42" s="24">
        <f t="shared" si="0"/>
        <v>1058783.7979333133</v>
      </c>
      <c r="E42" s="9">
        <f>Data!AB42</f>
        <v>5.5711402893066406</v>
      </c>
      <c r="F42" s="9">
        <f>Data!AE42</f>
        <v>1.8855457305908203</v>
      </c>
      <c r="G42" s="14"/>
      <c r="H42" s="9">
        <f t="shared" si="6"/>
        <v>0</v>
      </c>
      <c r="I42" s="14"/>
      <c r="J42" s="9">
        <f t="shared" si="8"/>
        <v>4.1306374708595057E-2</v>
      </c>
      <c r="K42" s="9">
        <f t="shared" si="9"/>
        <v>4.5637240978476622E-2</v>
      </c>
      <c r="L42" s="9">
        <f t="shared" si="10"/>
        <v>3.4875821368873662E-2</v>
      </c>
      <c r="M42" s="9">
        <f t="shared" si="7"/>
        <v>-4.3308662698815642E-3</v>
      </c>
      <c r="N42" s="15"/>
      <c r="O42" s="9" t="e">
        <f t="shared" si="4"/>
        <v>#DIV/0!</v>
      </c>
      <c r="P42" s="9" t="e">
        <f t="shared" si="5"/>
        <v>#DIV/0!</v>
      </c>
    </row>
    <row r="43" spans="1:16" x14ac:dyDescent="0.3">
      <c r="A43" s="8">
        <v>1988</v>
      </c>
      <c r="B43" s="16">
        <f>Data!K43</f>
        <v>5252639.0600000005</v>
      </c>
      <c r="C43" s="19">
        <f>Data!AU43</f>
        <v>4.7256687133979298</v>
      </c>
      <c r="D43" s="24">
        <f t="shared" si="0"/>
        <v>1111512.3337165038</v>
      </c>
      <c r="E43" s="9">
        <f>Data!AB43</f>
        <v>5.7736272811889648</v>
      </c>
      <c r="F43" s="9">
        <f>Data!AE43</f>
        <v>1.9368704557418823</v>
      </c>
      <c r="G43" s="14"/>
      <c r="H43" s="9">
        <f t="shared" si="6"/>
        <v>0</v>
      </c>
      <c r="I43" s="14"/>
      <c r="J43" s="9">
        <f t="shared" si="8"/>
        <v>4.860066185983479E-2</v>
      </c>
      <c r="K43" s="9">
        <f t="shared" si="9"/>
        <v>3.5700775135002687E-2</v>
      </c>
      <c r="L43" s="9">
        <f t="shared" si="10"/>
        <v>2.6856212127584555E-2</v>
      </c>
      <c r="M43" s="9">
        <f t="shared" si="7"/>
        <v>1.2899886724832103E-2</v>
      </c>
      <c r="N43" s="15"/>
      <c r="O43" s="9" t="e">
        <f t="shared" si="4"/>
        <v>#DIV/0!</v>
      </c>
      <c r="P43" s="9" t="e">
        <f t="shared" si="5"/>
        <v>#DIV/0!</v>
      </c>
    </row>
    <row r="44" spans="1:16" x14ac:dyDescent="0.3">
      <c r="A44" s="8">
        <v>1989</v>
      </c>
      <c r="B44" s="16">
        <f>Data!K44</f>
        <v>5657695.9399999995</v>
      </c>
      <c r="C44" s="19">
        <f>Data!AU44</f>
        <v>4.8468749718170097</v>
      </c>
      <c r="D44" s="24">
        <f t="shared" si="0"/>
        <v>1167287.3702948082</v>
      </c>
      <c r="E44" s="9">
        <f>Data!AB44</f>
        <v>5.9772543907165527</v>
      </c>
      <c r="F44" s="9">
        <f>Data!AE44</f>
        <v>1.9893332719802856</v>
      </c>
      <c r="G44" s="14"/>
      <c r="H44" s="9">
        <f t="shared" si="6"/>
        <v>0</v>
      </c>
      <c r="I44" s="14"/>
      <c r="J44" s="9">
        <f t="shared" si="8"/>
        <v>4.8961019208204989E-2</v>
      </c>
      <c r="K44" s="9">
        <f t="shared" si="9"/>
        <v>3.4660802616316183E-2</v>
      </c>
      <c r="L44" s="9">
        <f t="shared" si="10"/>
        <v>2.672604001559397E-2</v>
      </c>
      <c r="M44" s="9">
        <f t="shared" si="7"/>
        <v>1.4300216591888806E-2</v>
      </c>
      <c r="N44" s="15"/>
      <c r="O44" s="9" t="e">
        <f t="shared" si="4"/>
        <v>#DIV/0!</v>
      </c>
      <c r="P44" s="9" t="e">
        <f t="shared" si="5"/>
        <v>#DIV/0!</v>
      </c>
    </row>
    <row r="45" spans="1:16" x14ac:dyDescent="0.3">
      <c r="A45" s="8">
        <v>1990</v>
      </c>
      <c r="B45" s="16">
        <f>Data!K45</f>
        <v>5979597.0600000005</v>
      </c>
      <c r="C45" s="19">
        <f>Data!AU45</f>
        <v>4.9566811083896498</v>
      </c>
      <c r="D45" s="24">
        <f t="shared" si="0"/>
        <v>1206371.1441672067</v>
      </c>
      <c r="E45" s="9">
        <f>Data!AB45</f>
        <v>6.194096565246582</v>
      </c>
      <c r="F45" s="9">
        <f>Data!AE45</f>
        <v>2.014019250869751</v>
      </c>
      <c r="G45" s="14"/>
      <c r="H45" s="9">
        <f t="shared" si="6"/>
        <v>0</v>
      </c>
      <c r="I45" s="14"/>
      <c r="J45" s="9">
        <f t="shared" si="8"/>
        <v>3.2934228996102162E-2</v>
      </c>
      <c r="K45" s="9">
        <f t="shared" si="9"/>
        <v>3.5635341014499375E-2</v>
      </c>
      <c r="L45" s="9">
        <f t="shared" si="10"/>
        <v>1.2332809383546832E-2</v>
      </c>
      <c r="M45" s="9">
        <f t="shared" si="7"/>
        <v>-2.7011120183972129E-3</v>
      </c>
      <c r="N45" s="15"/>
      <c r="O45" s="9" t="e">
        <f t="shared" si="4"/>
        <v>#DIV/0!</v>
      </c>
      <c r="P45" s="9" t="e">
        <f t="shared" si="5"/>
        <v>#DIV/0!</v>
      </c>
    </row>
    <row r="46" spans="1:16" x14ac:dyDescent="0.3">
      <c r="A46" s="8">
        <v>1991</v>
      </c>
      <c r="B46" s="16">
        <f>Data!K46</f>
        <v>6174111.8700000001</v>
      </c>
      <c r="C46" s="19">
        <f>Data!AU46</f>
        <v>5.0451077171738001</v>
      </c>
      <c r="D46" s="24">
        <f t="shared" si="0"/>
        <v>1223781.9717868487</v>
      </c>
      <c r="E46" s="9">
        <f>Data!AB46</f>
        <v>6.37615966796875</v>
      </c>
      <c r="F46" s="9">
        <f>Data!AE46</f>
        <v>1.9877479076385498</v>
      </c>
      <c r="G46" s="14"/>
      <c r="H46" s="9">
        <f t="shared" si="6"/>
        <v>0</v>
      </c>
      <c r="I46" s="14"/>
      <c r="J46" s="9">
        <f t="shared" si="8"/>
        <v>1.4329241572453032E-2</v>
      </c>
      <c r="K46" s="9">
        <f t="shared" si="9"/>
        <v>2.8969311645611506E-2</v>
      </c>
      <c r="L46" s="9">
        <f t="shared" si="10"/>
        <v>-1.3130059605057453E-2</v>
      </c>
      <c r="M46" s="9">
        <f t="shared" si="7"/>
        <v>-1.4640070073158474E-2</v>
      </c>
      <c r="N46" s="15"/>
      <c r="O46" s="9" t="e">
        <f t="shared" si="4"/>
        <v>#DIV/0!</v>
      </c>
      <c r="P46" s="9" t="e">
        <f t="shared" si="5"/>
        <v>#DIV/0!</v>
      </c>
    </row>
    <row r="47" spans="1:16" x14ac:dyDescent="0.3">
      <c r="A47" s="8">
        <v>1992</v>
      </c>
      <c r="B47" s="16">
        <f>Data!K47</f>
        <v>6539266.25</v>
      </c>
      <c r="C47" s="19">
        <f>Data!AU47</f>
        <v>5.0574873615929601</v>
      </c>
      <c r="D47" s="24">
        <f t="shared" si="0"/>
        <v>1292987.1658523183</v>
      </c>
      <c r="E47" s="9">
        <f>Data!AB47</f>
        <v>6.5597171783447266</v>
      </c>
      <c r="F47" s="9">
        <f>Data!AE47</f>
        <v>1.9932829141616821</v>
      </c>
      <c r="G47" s="14"/>
      <c r="H47" s="9">
        <f t="shared" si="6"/>
        <v>0</v>
      </c>
      <c r="I47" s="14"/>
      <c r="J47" s="9">
        <f t="shared" si="8"/>
        <v>5.5009133273780923E-2</v>
      </c>
      <c r="K47" s="9">
        <f t="shared" si="9"/>
        <v>2.8381505767308014E-2</v>
      </c>
      <c r="L47" s="9">
        <f t="shared" si="10"/>
        <v>2.7806919048831333E-3</v>
      </c>
      <c r="M47" s="9">
        <f t="shared" si="7"/>
        <v>2.662762750647291E-2</v>
      </c>
      <c r="N47" s="15"/>
      <c r="O47" s="9" t="e">
        <f t="shared" si="4"/>
        <v>#DIV/0!</v>
      </c>
      <c r="P47" s="9" t="e">
        <f t="shared" si="5"/>
        <v>#DIV/0!</v>
      </c>
    </row>
    <row r="48" spans="1:16" x14ac:dyDescent="0.3">
      <c r="A48" s="8">
        <v>1993</v>
      </c>
      <c r="B48" s="16">
        <f>Data!K48</f>
        <v>6878726</v>
      </c>
      <c r="C48" s="19">
        <f>Data!AU48</f>
        <v>5.1290127611196903</v>
      </c>
      <c r="D48" s="24">
        <f t="shared" si="0"/>
        <v>1341140.3559265737</v>
      </c>
      <c r="E48" s="9">
        <f>Data!AB48</f>
        <v>6.783973217010498</v>
      </c>
      <c r="F48" s="9">
        <f>Data!AE48</f>
        <v>2.038607120513916</v>
      </c>
      <c r="G48" s="14"/>
      <c r="H48" s="9">
        <f t="shared" si="6"/>
        <v>0</v>
      </c>
      <c r="I48" s="14"/>
      <c r="J48" s="9">
        <f t="shared" si="8"/>
        <v>3.6565090070835395E-2</v>
      </c>
      <c r="K48" s="9">
        <f t="shared" si="9"/>
        <v>3.3615461548157546E-2</v>
      </c>
      <c r="L48" s="9">
        <f t="shared" si="10"/>
        <v>2.248380551541097E-2</v>
      </c>
      <c r="M48" s="9">
        <f t="shared" si="7"/>
        <v>2.9496285226778482E-3</v>
      </c>
      <c r="N48" s="15"/>
      <c r="O48" s="9" t="e">
        <f t="shared" si="4"/>
        <v>#DIV/0!</v>
      </c>
      <c r="P48" s="9" t="e">
        <f t="shared" si="5"/>
        <v>#DIV/0!</v>
      </c>
    </row>
    <row r="49" spans="1:16" x14ac:dyDescent="0.3">
      <c r="A49" s="8">
        <v>1994</v>
      </c>
      <c r="B49" s="16">
        <f>Data!K49</f>
        <v>7308767.8100000005</v>
      </c>
      <c r="C49" s="19">
        <f>Data!AU49</f>
        <v>5.2162072225247096</v>
      </c>
      <c r="D49" s="24">
        <f t="shared" si="0"/>
        <v>1401165.156637022</v>
      </c>
      <c r="E49" s="9">
        <f>Data!AB49</f>
        <v>7.0274167060852051</v>
      </c>
      <c r="F49" s="9">
        <f>Data!AE49</f>
        <v>2.0909013748168945</v>
      </c>
      <c r="G49" s="14"/>
      <c r="H49" s="9">
        <f t="shared" si="6"/>
        <v>0</v>
      </c>
      <c r="I49" s="14"/>
      <c r="J49" s="9">
        <f t="shared" si="8"/>
        <v>4.3783881286982206E-2</v>
      </c>
      <c r="K49" s="9">
        <f t="shared" si="9"/>
        <v>3.5256220643724613E-2</v>
      </c>
      <c r="L49" s="9">
        <f t="shared" si="10"/>
        <v>2.5328462227882414E-2</v>
      </c>
      <c r="M49" s="9">
        <f t="shared" si="7"/>
        <v>8.5276606432575924E-3</v>
      </c>
      <c r="N49" s="15"/>
      <c r="O49" s="9" t="e">
        <f t="shared" si="4"/>
        <v>#DIV/0!</v>
      </c>
      <c r="P49" s="9" t="e">
        <f t="shared" si="5"/>
        <v>#DIV/0!</v>
      </c>
    </row>
    <row r="50" spans="1:16" x14ac:dyDescent="0.3">
      <c r="A50" s="8">
        <v>1995</v>
      </c>
      <c r="B50" s="16">
        <f>Data!K50</f>
        <v>7664066.8799999999</v>
      </c>
      <c r="C50" s="19">
        <f>Data!AU50</f>
        <v>5.3179204708383603</v>
      </c>
      <c r="D50" s="24">
        <f t="shared" si="0"/>
        <v>1441177.4155004944</v>
      </c>
      <c r="E50" s="9">
        <f>Data!AB50</f>
        <v>7.3009061813354492</v>
      </c>
      <c r="F50" s="9">
        <f>Data!AE50</f>
        <v>2.1437845230102539</v>
      </c>
      <c r="G50" s="14"/>
      <c r="H50" s="9">
        <f t="shared" si="6"/>
        <v>0</v>
      </c>
      <c r="I50" s="14"/>
      <c r="J50" s="9">
        <f t="shared" si="8"/>
        <v>2.8156283917655064E-2</v>
      </c>
      <c r="K50" s="9">
        <f t="shared" si="9"/>
        <v>3.8179303718539365E-2</v>
      </c>
      <c r="L50" s="9">
        <f t="shared" si="10"/>
        <v>2.4977483011544913E-2</v>
      </c>
      <c r="M50" s="9">
        <f t="shared" si="7"/>
        <v>-1.0023019800884301E-2</v>
      </c>
      <c r="N50" s="15"/>
      <c r="O50" s="9" t="e">
        <f t="shared" si="4"/>
        <v>#DIV/0!</v>
      </c>
      <c r="P50" s="9" t="e">
        <f t="shared" si="5"/>
        <v>#DIV/0!</v>
      </c>
    </row>
    <row r="51" spans="1:16" x14ac:dyDescent="0.3">
      <c r="A51" s="8">
        <v>1996</v>
      </c>
      <c r="B51" s="16">
        <f>Data!K51</f>
        <v>8100231.8200000003</v>
      </c>
      <c r="C51" s="19">
        <f>Data!AU51</f>
        <v>5.3340057519229802</v>
      </c>
      <c r="D51" s="24">
        <f t="shared" si="0"/>
        <v>1518602.0032092689</v>
      </c>
      <c r="E51" s="9">
        <f>Data!AB51</f>
        <v>7.6035518646240234</v>
      </c>
      <c r="F51" s="9">
        <f>Data!AE51</f>
        <v>2.1777563095092773</v>
      </c>
      <c r="G51" s="14"/>
      <c r="H51" s="9">
        <f t="shared" si="6"/>
        <v>0</v>
      </c>
      <c r="I51" s="14"/>
      <c r="J51" s="9">
        <f t="shared" si="8"/>
        <v>5.2329747764281599E-2</v>
      </c>
      <c r="K51" s="9">
        <f t="shared" si="9"/>
        <v>4.0617013846609415E-2</v>
      </c>
      <c r="L51" s="9">
        <f t="shared" si="10"/>
        <v>1.5722395142718511E-2</v>
      </c>
      <c r="M51" s="9">
        <f t="shared" si="7"/>
        <v>1.1712733917672184E-2</v>
      </c>
      <c r="N51" s="15"/>
      <c r="O51" s="9" t="e">
        <f t="shared" si="4"/>
        <v>#DIV/0!</v>
      </c>
      <c r="P51" s="9" t="e">
        <f t="shared" si="5"/>
        <v>#DIV/0!</v>
      </c>
    </row>
    <row r="52" spans="1:16" x14ac:dyDescent="0.3">
      <c r="A52" s="8">
        <v>1997</v>
      </c>
      <c r="B52" s="16">
        <f>Data!K52</f>
        <v>8577570.8800000008</v>
      </c>
      <c r="C52" s="19">
        <f>Data!AU52</f>
        <v>5.3527536323138598</v>
      </c>
      <c r="D52" s="24">
        <f t="shared" si="0"/>
        <v>1602459.4945334957</v>
      </c>
      <c r="E52" s="9">
        <f>Data!AB52</f>
        <v>7.9690055847167969</v>
      </c>
      <c r="F52" s="9">
        <f>Data!AE52</f>
        <v>2.241417407989502</v>
      </c>
      <c r="G52" s="14"/>
      <c r="H52" s="9">
        <f t="shared" si="6"/>
        <v>0</v>
      </c>
      <c r="I52" s="14"/>
      <c r="J52" s="9">
        <f t="shared" si="8"/>
        <v>5.3749456159142291E-2</v>
      </c>
      <c r="K52" s="9">
        <f t="shared" si="9"/>
        <v>4.6944226494157741E-2</v>
      </c>
      <c r="L52" s="9">
        <f t="shared" si="10"/>
        <v>2.8813306202139607E-2</v>
      </c>
      <c r="M52" s="9">
        <f t="shared" si="7"/>
        <v>6.8052296649845495E-3</v>
      </c>
      <c r="N52" s="15"/>
      <c r="O52" s="9" t="e">
        <f t="shared" si="4"/>
        <v>#DIV/0!</v>
      </c>
      <c r="P52" s="9" t="e">
        <f t="shared" si="5"/>
        <v>#DIV/0!</v>
      </c>
    </row>
    <row r="53" spans="1:16" x14ac:dyDescent="0.3">
      <c r="A53" s="8">
        <v>1998</v>
      </c>
      <c r="B53" s="16">
        <f>Data!K53</f>
        <v>9062819.9399999995</v>
      </c>
      <c r="C53" s="19">
        <f>Data!AU53</f>
        <v>5.3358489837822098</v>
      </c>
      <c r="D53" s="24">
        <f t="shared" si="0"/>
        <v>1698477.593265018</v>
      </c>
      <c r="E53" s="9">
        <f>Data!AB53</f>
        <v>8.406916618347168</v>
      </c>
      <c r="F53" s="9">
        <f>Data!AE53</f>
        <v>2.3065404891967773</v>
      </c>
      <c r="G53" s="14"/>
      <c r="H53" s="9">
        <f t="shared" si="6"/>
        <v>0</v>
      </c>
      <c r="I53" s="14"/>
      <c r="J53" s="9">
        <f t="shared" si="8"/>
        <v>5.8192683388000682E-2</v>
      </c>
      <c r="K53" s="9">
        <f t="shared" si="9"/>
        <v>5.3495058761249319E-2</v>
      </c>
      <c r="L53" s="9">
        <f t="shared" si="10"/>
        <v>2.8640341074622901E-2</v>
      </c>
      <c r="M53" s="9">
        <f t="shared" si="7"/>
        <v>4.6976246267513636E-3</v>
      </c>
      <c r="N53" s="15"/>
      <c r="O53" s="9" t="e">
        <f t="shared" si="4"/>
        <v>#DIV/0!</v>
      </c>
      <c r="P53" s="9" t="e">
        <f t="shared" si="5"/>
        <v>#DIV/0!</v>
      </c>
    </row>
    <row r="54" spans="1:16" x14ac:dyDescent="0.3">
      <c r="A54" s="8">
        <v>1999</v>
      </c>
      <c r="B54" s="16">
        <f>Data!K54</f>
        <v>9631159.75</v>
      </c>
      <c r="C54" s="19">
        <f>Data!AU54</f>
        <v>5.3599167356289801</v>
      </c>
      <c r="D54" s="24">
        <f t="shared" si="0"/>
        <v>1796886.0758561383</v>
      </c>
      <c r="E54" s="9">
        <f>Data!AB54</f>
        <v>8.909672737121582</v>
      </c>
      <c r="F54" s="9">
        <f>Data!AE54</f>
        <v>2.3501489162445068</v>
      </c>
      <c r="G54" s="14"/>
      <c r="H54" s="9">
        <f t="shared" si="6"/>
        <v>0</v>
      </c>
      <c r="I54" s="14"/>
      <c r="J54" s="9">
        <f t="shared" si="8"/>
        <v>5.6322892480222396E-2</v>
      </c>
      <c r="K54" s="9">
        <f t="shared" si="9"/>
        <v>5.8082736985875121E-2</v>
      </c>
      <c r="L54" s="9">
        <f t="shared" si="10"/>
        <v>1.8729916513012944E-2</v>
      </c>
      <c r="M54" s="9">
        <f t="shared" si="7"/>
        <v>-1.7598445056527245E-3</v>
      </c>
      <c r="N54" s="15"/>
      <c r="O54" s="9" t="e">
        <f t="shared" si="4"/>
        <v>#DIV/0!</v>
      </c>
      <c r="P54" s="9" t="e">
        <f t="shared" si="5"/>
        <v>#DIV/0!</v>
      </c>
    </row>
    <row r="55" spans="1:16" x14ac:dyDescent="0.3">
      <c r="A55" s="8">
        <v>2000</v>
      </c>
      <c r="B55" s="16">
        <f>Data!K55</f>
        <v>10250953.76</v>
      </c>
      <c r="C55" s="19">
        <f>Data!AU55</f>
        <v>5.4462256492026899</v>
      </c>
      <c r="D55" s="24">
        <f t="shared" si="0"/>
        <v>1882212.4568967698</v>
      </c>
      <c r="E55" s="9">
        <f>Data!AB55</f>
        <v>9.4075469970703125</v>
      </c>
      <c r="F55" s="9">
        <f>Data!AE55</f>
        <v>2.3958287239074707</v>
      </c>
      <c r="G55" s="14"/>
      <c r="H55" s="9">
        <f t="shared" si="6"/>
        <v>0</v>
      </c>
      <c r="I55" s="14"/>
      <c r="J55" s="9">
        <f t="shared" si="8"/>
        <v>4.6392714745491177E-2</v>
      </c>
      <c r="K55" s="9">
        <f t="shared" si="9"/>
        <v>5.4374728207665167E-2</v>
      </c>
      <c r="L55" s="9">
        <f t="shared" si="10"/>
        <v>1.925049875618973E-2</v>
      </c>
      <c r="M55" s="9">
        <f t="shared" si="7"/>
        <v>-7.9820134621739897E-3</v>
      </c>
      <c r="N55" s="15"/>
      <c r="O55" s="9" t="e">
        <f t="shared" si="4"/>
        <v>#DIV/0!</v>
      </c>
      <c r="P55" s="9" t="e">
        <f t="shared" si="5"/>
        <v>#DIV/0!</v>
      </c>
    </row>
    <row r="56" spans="1:16" x14ac:dyDescent="0.3">
      <c r="A56" s="8">
        <v>2001</v>
      </c>
      <c r="B56" s="16">
        <f>Data!K56</f>
        <v>10581947</v>
      </c>
      <c r="C56" s="19">
        <f>Data!AU56</f>
        <v>5.4976809929621799</v>
      </c>
      <c r="D56" s="24">
        <f t="shared" si="0"/>
        <v>1924801.9325869235</v>
      </c>
      <c r="E56" s="9">
        <f>Data!AB56</f>
        <v>9.8063392639160156</v>
      </c>
      <c r="F56" s="9">
        <f>Data!AE56</f>
        <v>2.3863615989685059</v>
      </c>
      <c r="G56" s="14"/>
      <c r="H56" s="9">
        <f t="shared" si="6"/>
        <v>0</v>
      </c>
      <c r="I56" s="14"/>
      <c r="J56" s="9">
        <f t="shared" si="8"/>
        <v>2.2375146598556002E-2</v>
      </c>
      <c r="K56" s="9">
        <f t="shared" si="9"/>
        <v>4.1516801039929399E-2</v>
      </c>
      <c r="L56" s="9">
        <f t="shared" si="10"/>
        <v>-3.9593310459160071E-3</v>
      </c>
      <c r="M56" s="9">
        <f t="shared" si="7"/>
        <v>-1.9141654441373397E-2</v>
      </c>
      <c r="N56" s="15"/>
      <c r="O56" s="9" t="e">
        <f t="shared" si="4"/>
        <v>#DIV/0!</v>
      </c>
      <c r="P56" s="9" t="e">
        <f t="shared" si="5"/>
        <v>#DIV/0!</v>
      </c>
    </row>
    <row r="57" spans="1:16" x14ac:dyDescent="0.3">
      <c r="A57" s="8">
        <v>2002</v>
      </c>
      <c r="B57" s="16">
        <f>Data!K57</f>
        <v>10929099</v>
      </c>
      <c r="C57" s="19">
        <f>Data!AU57</f>
        <v>5.5201105992094304</v>
      </c>
      <c r="D57" s="24">
        <f t="shared" si="0"/>
        <v>1979869.5702881794</v>
      </c>
      <c r="E57" s="9">
        <f>Data!AB57</f>
        <v>10.08292293548584</v>
      </c>
      <c r="F57" s="9">
        <f>Data!AE57</f>
        <v>2.3727443218231201</v>
      </c>
      <c r="G57" s="14"/>
      <c r="H57" s="9">
        <f t="shared" si="6"/>
        <v>0</v>
      </c>
      <c r="I57" s="14"/>
      <c r="J57" s="9">
        <f t="shared" si="8"/>
        <v>2.8207898661506327E-2</v>
      </c>
      <c r="K57" s="9">
        <f t="shared" si="9"/>
        <v>2.7814154152169392E-2</v>
      </c>
      <c r="L57" s="9">
        <f t="shared" si="10"/>
        <v>-5.7226355261629416E-3</v>
      </c>
      <c r="M57" s="9">
        <f t="shared" si="7"/>
        <v>3.9374450933693517E-4</v>
      </c>
      <c r="N57" s="15"/>
      <c r="O57" s="9" t="e">
        <f t="shared" si="4"/>
        <v>#DIV/0!</v>
      </c>
      <c r="P57" s="9" t="e">
        <f t="shared" si="5"/>
        <v>#DIV/0!</v>
      </c>
    </row>
    <row r="58" spans="1:16" x14ac:dyDescent="0.3">
      <c r="A58" s="8">
        <v>2003</v>
      </c>
      <c r="B58" s="16">
        <f>Data!K58</f>
        <v>11456471.379999999</v>
      </c>
      <c r="C58" s="19">
        <f>Data!AU58</f>
        <v>5.5725907838044</v>
      </c>
      <c r="D58" s="24">
        <f t="shared" si="0"/>
        <v>2055860.8777260119</v>
      </c>
      <c r="E58" s="9">
        <f>Data!AB58</f>
        <v>10.365086555480957</v>
      </c>
      <c r="F58" s="9">
        <f>Data!AE58</f>
        <v>2.3683497905731201</v>
      </c>
      <c r="G58" s="14"/>
      <c r="H58" s="9">
        <f t="shared" si="6"/>
        <v>0</v>
      </c>
      <c r="I58" s="14"/>
      <c r="J58" s="9">
        <f t="shared" si="8"/>
        <v>3.7663709882909346E-2</v>
      </c>
      <c r="K58" s="9">
        <f t="shared" si="9"/>
        <v>2.7599902231273128E-2</v>
      </c>
      <c r="L58" s="9">
        <f t="shared" si="10"/>
        <v>-1.8538052206253336E-3</v>
      </c>
      <c r="M58" s="9">
        <f t="shared" si="7"/>
        <v>1.0063807651636218E-2</v>
      </c>
      <c r="N58" s="15"/>
      <c r="O58" s="9" t="e">
        <f t="shared" si="4"/>
        <v>#DIV/0!</v>
      </c>
      <c r="P58" s="9" t="e">
        <f t="shared" si="5"/>
        <v>#DIV/0!</v>
      </c>
    </row>
    <row r="59" spans="1:16" x14ac:dyDescent="0.3">
      <c r="A59" s="8">
        <v>2004</v>
      </c>
      <c r="B59" s="16">
        <f>Data!K59</f>
        <v>12217199</v>
      </c>
      <c r="C59" s="19">
        <f>Data!AU59</f>
        <v>5.7376156189952496</v>
      </c>
      <c r="D59" s="24">
        <f t="shared" si="0"/>
        <v>2129316.3940005153</v>
      </c>
      <c r="E59" s="9">
        <f>Data!AB59</f>
        <v>10.680783271789551</v>
      </c>
      <c r="F59" s="9">
        <f>Data!AE59</f>
        <v>2.3992338180541992</v>
      </c>
      <c r="G59" s="14"/>
      <c r="H59" s="9">
        <f t="shared" si="6"/>
        <v>0</v>
      </c>
      <c r="I59" s="14"/>
      <c r="J59" s="9">
        <f t="shared" si="8"/>
        <v>3.5106307596937489E-2</v>
      </c>
      <c r="K59" s="9">
        <f t="shared" si="9"/>
        <v>3.0003074299252804E-2</v>
      </c>
      <c r="L59" s="9">
        <f t="shared" si="10"/>
        <v>1.29560221812245E-2</v>
      </c>
      <c r="M59" s="9">
        <f t="shared" si="7"/>
        <v>5.1032332976846846E-3</v>
      </c>
      <c r="N59" s="15"/>
      <c r="O59" s="9" t="e">
        <f t="shared" si="4"/>
        <v>#DIV/0!</v>
      </c>
      <c r="P59" s="9" t="e">
        <f t="shared" si="5"/>
        <v>#DIV/0!</v>
      </c>
    </row>
    <row r="60" spans="1:16" x14ac:dyDescent="0.3">
      <c r="A60" s="8">
        <v>2005</v>
      </c>
      <c r="B60" s="16">
        <f>Data!K60</f>
        <v>13039207.120000001</v>
      </c>
      <c r="C60" s="19">
        <f>Data!AU60</f>
        <v>5.9843063670644199</v>
      </c>
      <c r="D60" s="24">
        <f t="shared" si="0"/>
        <v>2178900.3303312389</v>
      </c>
      <c r="E60" s="9">
        <f>Data!AB60</f>
        <v>11.027340888977051</v>
      </c>
      <c r="F60" s="9">
        <f>Data!AE60</f>
        <v>2.4361965656280518</v>
      </c>
      <c r="G60" s="14"/>
      <c r="H60" s="9">
        <f t="shared" si="6"/>
        <v>0</v>
      </c>
      <c r="I60" s="14"/>
      <c r="J60" s="9">
        <f t="shared" si="8"/>
        <v>2.3019327477970808E-2</v>
      </c>
      <c r="K60" s="9">
        <f t="shared" si="9"/>
        <v>3.1931553427832771E-2</v>
      </c>
      <c r="L60" s="9">
        <f t="shared" si="10"/>
        <v>1.5288594650012113E-2</v>
      </c>
      <c r="M60" s="9">
        <f t="shared" si="7"/>
        <v>-8.9122259498619627E-3</v>
      </c>
      <c r="N60" s="15"/>
      <c r="O60" s="9" t="e">
        <f t="shared" si="4"/>
        <v>#DIV/0!</v>
      </c>
      <c r="P60" s="9" t="e">
        <f t="shared" si="5"/>
        <v>#DIV/0!</v>
      </c>
    </row>
    <row r="61" spans="1:16" x14ac:dyDescent="0.3">
      <c r="A61" s="8">
        <v>2006</v>
      </c>
      <c r="B61" s="16">
        <f>Data!K61</f>
        <v>13815577.379999999</v>
      </c>
      <c r="C61" s="19">
        <f>Data!AU61</f>
        <v>6.2033419158008298</v>
      </c>
      <c r="D61" s="24">
        <f t="shared" si="0"/>
        <v>2227118.4738035602</v>
      </c>
      <c r="E61" s="9">
        <f>Data!AB61</f>
        <v>11.394719123840332</v>
      </c>
      <c r="F61" s="9">
        <f>Data!AE61</f>
        <v>2.5069975852966309</v>
      </c>
      <c r="G61" s="14"/>
      <c r="H61" s="9">
        <f t="shared" si="6"/>
        <v>0</v>
      </c>
      <c r="I61" s="14"/>
      <c r="J61" s="9">
        <f t="shared" si="8"/>
        <v>2.1888271791659031E-2</v>
      </c>
      <c r="K61" s="9">
        <f t="shared" si="9"/>
        <v>3.2772288997405745E-2</v>
      </c>
      <c r="L61" s="9">
        <f t="shared" si="10"/>
        <v>2.8647817433493754E-2</v>
      </c>
      <c r="M61" s="9">
        <f t="shared" si="7"/>
        <v>-1.0884017205746714E-2</v>
      </c>
      <c r="N61" s="15"/>
      <c r="O61" s="9" t="e">
        <f t="shared" si="4"/>
        <v>#DIV/0!</v>
      </c>
      <c r="P61" s="9" t="e">
        <f t="shared" si="5"/>
        <v>#DIV/0!</v>
      </c>
    </row>
    <row r="62" spans="1:16" x14ac:dyDescent="0.3">
      <c r="A62" s="8">
        <v>2007</v>
      </c>
      <c r="B62" s="16">
        <f>Data!K62</f>
        <v>14474231.379999999</v>
      </c>
      <c r="C62" s="19">
        <f>Data!AU62</f>
        <v>6.3339980540450096</v>
      </c>
      <c r="D62" s="24">
        <f t="shared" si="0"/>
        <v>2285165.1131715276</v>
      </c>
      <c r="E62" s="9">
        <f>Data!AB62</f>
        <v>11.674237251281738</v>
      </c>
      <c r="F62" s="9">
        <f>Data!AE62</f>
        <v>2.5517029762268066</v>
      </c>
      <c r="G62" s="14"/>
      <c r="H62" s="9">
        <f t="shared" si="6"/>
        <v>0</v>
      </c>
      <c r="I62" s="14"/>
      <c r="J62" s="9">
        <f t="shared" si="8"/>
        <v>2.5729695634904074E-2</v>
      </c>
      <c r="K62" s="9">
        <f t="shared" si="9"/>
        <v>2.4234456301511085E-2</v>
      </c>
      <c r="L62" s="9">
        <f t="shared" si="10"/>
        <v>1.7675114091740989E-2</v>
      </c>
      <c r="M62" s="9">
        <f t="shared" si="7"/>
        <v>1.4952393333929892E-3</v>
      </c>
      <c r="N62" s="15"/>
      <c r="O62" s="9" t="e">
        <f t="shared" si="4"/>
        <v>#DIV/0!</v>
      </c>
      <c r="P62" s="9" t="e">
        <f t="shared" si="5"/>
        <v>#DIV/0!</v>
      </c>
    </row>
    <row r="63" spans="1:16" x14ac:dyDescent="0.3">
      <c r="A63" s="8">
        <v>2008</v>
      </c>
      <c r="B63" s="16">
        <f>Data!K63</f>
        <v>14769881.879999999</v>
      </c>
      <c r="C63" s="19">
        <f>Data!AU63</f>
        <v>6.4184248281964997</v>
      </c>
      <c r="D63" s="24">
        <f t="shared" si="0"/>
        <v>2301169.2549728216</v>
      </c>
      <c r="E63" s="9">
        <f>Data!AB63</f>
        <v>11.996634483337402</v>
      </c>
      <c r="F63" s="9">
        <f>Data!AE63</f>
        <v>2.542844295501709</v>
      </c>
      <c r="G63" s="14"/>
      <c r="H63" s="9">
        <f t="shared" si="6"/>
        <v>0</v>
      </c>
      <c r="I63" s="14"/>
      <c r="J63" s="9">
        <f t="shared" si="8"/>
        <v>6.979084156053709E-3</v>
      </c>
      <c r="K63" s="9">
        <f t="shared" si="9"/>
        <v>2.7241681105184927E-2</v>
      </c>
      <c r="L63" s="9">
        <f t="shared" si="10"/>
        <v>-3.4777141838277618E-3</v>
      </c>
      <c r="M63" s="9">
        <f t="shared" si="7"/>
        <v>-2.0262596949131219E-2</v>
      </c>
      <c r="N63" s="15"/>
      <c r="O63" s="9" t="e">
        <f t="shared" si="4"/>
        <v>#DIV/0!</v>
      </c>
      <c r="P63" s="9" t="e">
        <f t="shared" si="5"/>
        <v>#DIV/0!</v>
      </c>
    </row>
    <row r="64" spans="1:16" x14ac:dyDescent="0.3">
      <c r="A64" s="8">
        <v>2009</v>
      </c>
      <c r="B64" s="16">
        <f>Data!K64</f>
        <v>14478059.879999999</v>
      </c>
      <c r="C64" s="19">
        <f>Data!AU64</f>
        <v>6.3708364007648699</v>
      </c>
      <c r="D64" s="24">
        <f t="shared" si="0"/>
        <v>2272552.4513958311</v>
      </c>
      <c r="E64" s="9">
        <f>Data!AB64</f>
        <v>12.125386238098145</v>
      </c>
      <c r="F64" s="9">
        <f>Data!AE64</f>
        <v>2.4314415454864502</v>
      </c>
      <c r="G64" s="14"/>
      <c r="H64" s="9">
        <f t="shared" si="6"/>
        <v>0</v>
      </c>
      <c r="I64" s="14"/>
      <c r="J64" s="9">
        <f t="shared" si="8"/>
        <v>-1.2513737759894977E-2</v>
      </c>
      <c r="K64" s="9">
        <f t="shared" si="9"/>
        <v>1.0675140274769561E-2</v>
      </c>
      <c r="L64" s="9">
        <f t="shared" si="10"/>
        <v>-4.4798945841994793E-2</v>
      </c>
      <c r="M64" s="9">
        <f t="shared" si="7"/>
        <v>-2.3188878034664538E-2</v>
      </c>
      <c r="N64" s="15"/>
      <c r="O64" s="9" t="e">
        <f t="shared" si="4"/>
        <v>#DIV/0!</v>
      </c>
      <c r="P64" s="9" t="e">
        <f t="shared" si="5"/>
        <v>#DIV/0!</v>
      </c>
    </row>
    <row r="65" spans="1:16" x14ac:dyDescent="0.3">
      <c r="A65" s="8">
        <v>2010</v>
      </c>
      <c r="B65" s="16">
        <f>Data!K65</f>
        <v>15048961.120000001</v>
      </c>
      <c r="C65" s="19">
        <f>Data!AU65</f>
        <v>6.3049973934837604</v>
      </c>
      <c r="D65" s="24">
        <f t="shared" si="0"/>
        <v>2386830.6647601728</v>
      </c>
      <c r="E65" s="9">
        <f>Data!AB65</f>
        <v>12.158876419067383</v>
      </c>
      <c r="F65" s="9">
        <f>Data!AE65</f>
        <v>2.4317371845245361</v>
      </c>
      <c r="G65" s="14"/>
      <c r="H65" s="9">
        <f t="shared" si="6"/>
        <v>0</v>
      </c>
      <c r="I65" s="14"/>
      <c r="J65" s="9">
        <f t="shared" si="8"/>
        <v>4.906277650332054E-2</v>
      </c>
      <c r="K65" s="9">
        <f t="shared" si="9"/>
        <v>2.7581815164492199E-3</v>
      </c>
      <c r="L65" s="9">
        <f t="shared" si="10"/>
        <v>1.2158263344325647E-4</v>
      </c>
      <c r="M65" s="9">
        <f t="shared" si="7"/>
        <v>4.6304594986871318E-2</v>
      </c>
      <c r="N65" s="15"/>
      <c r="O65" s="9" t="e">
        <f t="shared" si="4"/>
        <v>#DIV/0!</v>
      </c>
      <c r="P65" s="9" t="e">
        <f t="shared" si="5"/>
        <v>#DIV/0!</v>
      </c>
    </row>
    <row r="66" spans="1:16" x14ac:dyDescent="0.3">
      <c r="A66" s="8">
        <v>2011</v>
      </c>
      <c r="B66" s="16">
        <f>Data!K66</f>
        <v>15599742.620000001</v>
      </c>
      <c r="C66" s="19">
        <f>Data!AU66</f>
        <v>6.3910511467576496</v>
      </c>
      <c r="D66" s="24">
        <f t="shared" si="0"/>
        <v>2440872.7550106002</v>
      </c>
      <c r="E66" s="9">
        <f>Data!AB66</f>
        <v>12.277114868164063</v>
      </c>
      <c r="F66" s="9">
        <f>Data!AE66</f>
        <v>2.4856657981872559</v>
      </c>
      <c r="G66" s="14"/>
      <c r="H66" s="9">
        <f t="shared" si="6"/>
        <v>0</v>
      </c>
      <c r="I66" s="14"/>
      <c r="J66" s="9">
        <f t="shared" si="8"/>
        <v>2.2389257601590884E-2</v>
      </c>
      <c r="K66" s="9">
        <f t="shared" si="9"/>
        <v>9.6774770045588675E-3</v>
      </c>
      <c r="L66" s="9">
        <f t="shared" si="10"/>
        <v>2.1934657807901967E-2</v>
      </c>
      <c r="M66" s="9">
        <f t="shared" si="7"/>
        <v>1.2711780597032016E-2</v>
      </c>
      <c r="N66" s="15"/>
      <c r="O66" s="9" t="e">
        <f t="shared" si="4"/>
        <v>#DIV/0!</v>
      </c>
      <c r="P66" s="9" t="e">
        <f t="shared" si="5"/>
        <v>#DIV/0!</v>
      </c>
    </row>
    <row r="67" spans="1:16" x14ac:dyDescent="0.3">
      <c r="A67" s="8">
        <v>2012</v>
      </c>
      <c r="B67" s="16">
        <f>Data!K67</f>
        <v>16253952.25</v>
      </c>
      <c r="C67" s="19">
        <f>Data!AU67</f>
        <v>6.4864542642010399</v>
      </c>
      <c r="D67" s="24">
        <f t="shared" ref="D67:D78" si="11">B67/C67</f>
        <v>2505830.0865090671</v>
      </c>
      <c r="E67" s="9">
        <f>Data!AB67</f>
        <v>12.420253753662109</v>
      </c>
      <c r="F67" s="9">
        <f>Data!AE67</f>
        <v>2.5379433631896973</v>
      </c>
      <c r="G67" s="14"/>
      <c r="H67" s="9">
        <f t="shared" si="6"/>
        <v>0</v>
      </c>
      <c r="I67" s="14"/>
      <c r="J67" s="9">
        <f t="shared" ref="J67:J72" si="12">LN(D67/D66)</f>
        <v>2.6264389674900683E-2</v>
      </c>
      <c r="K67" s="9">
        <f t="shared" ref="K67:K72" si="13">LN(E67/E66)</f>
        <v>1.1591557822609212E-2</v>
      </c>
      <c r="L67" s="9">
        <f t="shared" ref="L67:L72" si="14">LN(F67/F66)</f>
        <v>2.0813503016581771E-2</v>
      </c>
      <c r="M67" s="9">
        <f t="shared" si="7"/>
        <v>1.4672831852291471E-2</v>
      </c>
      <c r="N67" s="15"/>
      <c r="O67" s="9" t="e">
        <f t="shared" ref="O67:O71" si="15">O66+M67</f>
        <v>#DIV/0!</v>
      </c>
      <c r="P67" s="9" t="e">
        <f t="shared" ref="P67:P71" si="16">EXP(O67)</f>
        <v>#DIV/0!</v>
      </c>
    </row>
    <row r="68" spans="1:16" x14ac:dyDescent="0.3">
      <c r="A68" s="8">
        <v>2013</v>
      </c>
      <c r="B68" s="16">
        <f>Data!K68</f>
        <v>16880700.75</v>
      </c>
      <c r="C68" s="19">
        <f>Data!AU68</f>
        <v>6.5528260979583903</v>
      </c>
      <c r="D68" s="24">
        <f t="shared" si="11"/>
        <v>2576094.7257946278</v>
      </c>
      <c r="E68" s="9">
        <f>Data!AB68</f>
        <v>12.610139846801758</v>
      </c>
      <c r="F68" s="9">
        <f>Data!AE68</f>
        <v>2.5907659530639648</v>
      </c>
      <c r="G68" s="14"/>
      <c r="H68" s="9">
        <f t="shared" ref="H68:H78" si="17">+H67</f>
        <v>0</v>
      </c>
      <c r="I68" s="14"/>
      <c r="J68" s="9">
        <f t="shared" si="12"/>
        <v>2.7654528496613973E-2</v>
      </c>
      <c r="K68" s="9">
        <f t="shared" si="13"/>
        <v>1.5172732717825215E-2</v>
      </c>
      <c r="L68" s="9">
        <f t="shared" si="14"/>
        <v>2.0599513249162753E-2</v>
      </c>
      <c r="M68" s="9">
        <f t="shared" ref="M68:M71" si="18">J68-(1-H68)*K68-H68*L68</f>
        <v>1.2481795778788758E-2</v>
      </c>
      <c r="N68" s="15"/>
      <c r="O68" s="9" t="e">
        <f t="shared" si="15"/>
        <v>#DIV/0!</v>
      </c>
      <c r="P68" s="9" t="e">
        <f t="shared" si="16"/>
        <v>#DIV/0!</v>
      </c>
    </row>
    <row r="69" spans="1:16" x14ac:dyDescent="0.3">
      <c r="A69" s="8">
        <v>2014</v>
      </c>
      <c r="B69" s="16">
        <f>Data!K69</f>
        <v>17608127.379999999</v>
      </c>
      <c r="C69" s="19">
        <f>Data!AU69</f>
        <v>6.6722564008273002</v>
      </c>
      <c r="D69" s="24">
        <f t="shared" si="11"/>
        <v>2639006.4053618726</v>
      </c>
      <c r="E69" s="9">
        <f>Data!AB69</f>
        <v>12.810535430908203</v>
      </c>
      <c r="F69" s="9">
        <f>Data!AE69</f>
        <v>2.6348671913146973</v>
      </c>
      <c r="G69" s="14"/>
      <c r="H69" s="9">
        <f t="shared" si="17"/>
        <v>0</v>
      </c>
      <c r="I69" s="14"/>
      <c r="J69" s="9">
        <f t="shared" si="12"/>
        <v>2.4127904709248835E-2</v>
      </c>
      <c r="K69" s="9">
        <f t="shared" si="13"/>
        <v>1.5766672854094922E-2</v>
      </c>
      <c r="L69" s="9">
        <f t="shared" si="14"/>
        <v>1.6879212180740469E-2</v>
      </c>
      <c r="M69" s="9">
        <f t="shared" si="18"/>
        <v>8.3612318551539132E-3</v>
      </c>
      <c r="N69" s="15"/>
      <c r="O69" s="9" t="e">
        <f t="shared" si="15"/>
        <v>#DIV/0!</v>
      </c>
      <c r="P69" s="9" t="e">
        <f t="shared" si="16"/>
        <v>#DIV/0!</v>
      </c>
    </row>
    <row r="70" spans="1:16" x14ac:dyDescent="0.3">
      <c r="A70" s="8">
        <v>2015</v>
      </c>
      <c r="B70" s="16">
        <f>Data!K70</f>
        <v>18295043.379999999</v>
      </c>
      <c r="C70" s="19">
        <f>Data!AU70</f>
        <v>6.7149506249711797</v>
      </c>
      <c r="D70" s="24">
        <f t="shared" si="11"/>
        <v>2724523.8873336497</v>
      </c>
      <c r="E70" s="9">
        <f>Data!AB70</f>
        <v>13.100831985473633</v>
      </c>
      <c r="F70" s="9">
        <f>Data!AE70</f>
        <v>2.6970009803771973</v>
      </c>
      <c r="G70" s="14"/>
      <c r="H70" s="9">
        <f t="shared" si="17"/>
        <v>0</v>
      </c>
      <c r="I70" s="14"/>
      <c r="J70" s="9">
        <f t="shared" si="12"/>
        <v>3.1891207894245981E-2</v>
      </c>
      <c r="K70" s="9">
        <f t="shared" si="13"/>
        <v>2.240782561166698E-2</v>
      </c>
      <c r="L70" s="9">
        <f t="shared" si="14"/>
        <v>2.3307628719078839E-2</v>
      </c>
      <c r="M70" s="9">
        <f t="shared" si="18"/>
        <v>9.4833822825790004E-3</v>
      </c>
      <c r="N70" s="15"/>
      <c r="O70" s="9" t="e">
        <f t="shared" si="15"/>
        <v>#DIV/0!</v>
      </c>
      <c r="P70" s="9" t="e">
        <f t="shared" si="16"/>
        <v>#DIV/0!</v>
      </c>
    </row>
    <row r="71" spans="1:16" x14ac:dyDescent="0.3">
      <c r="A71" s="8">
        <v>2016</v>
      </c>
      <c r="B71" s="16">
        <f>Data!K71</f>
        <v>18804953.25</v>
      </c>
      <c r="C71" s="19">
        <f>Data!AU71</f>
        <v>6.7174645784968998</v>
      </c>
      <c r="D71" s="24">
        <f t="shared" si="11"/>
        <v>2799412.3422989151</v>
      </c>
      <c r="E71" s="9">
        <f>Data!AB71</f>
        <v>13.408846855163574</v>
      </c>
      <c r="F71" s="9">
        <f>Data!AE71</f>
        <v>2.7411878108978271</v>
      </c>
      <c r="G71" s="14"/>
      <c r="H71" s="9">
        <f t="shared" si="17"/>
        <v>0</v>
      </c>
      <c r="I71" s="14"/>
      <c r="J71" s="9">
        <f t="shared" si="12"/>
        <v>2.7115824798038531E-2</v>
      </c>
      <c r="K71" s="9">
        <f t="shared" si="13"/>
        <v>2.3238963652093249E-2</v>
      </c>
      <c r="L71" s="9">
        <f t="shared" si="14"/>
        <v>1.6250926425550531E-2</v>
      </c>
      <c r="M71" s="9">
        <f t="shared" si="18"/>
        <v>3.8768611459452824E-3</v>
      </c>
      <c r="N71" s="15"/>
      <c r="O71" s="9" t="e">
        <f t="shared" si="15"/>
        <v>#DIV/0!</v>
      </c>
      <c r="P71" s="9" t="e">
        <f t="shared" si="16"/>
        <v>#DIV/0!</v>
      </c>
    </row>
    <row r="72" spans="1:16" x14ac:dyDescent="0.3">
      <c r="A72" s="8">
        <v>2017</v>
      </c>
      <c r="B72" s="16">
        <f>Data!K72</f>
        <v>19612097.120000001</v>
      </c>
      <c r="C72" s="19">
        <f>Data!AU72</f>
        <v>6.8190881841031201</v>
      </c>
      <c r="D72" s="24">
        <f t="shared" si="11"/>
        <v>2876058.5859148088</v>
      </c>
      <c r="E72" s="9">
        <f>Data!AB72</f>
        <v>13.710339546203613</v>
      </c>
      <c r="F72" s="9">
        <f>Data!AE72</f>
        <v>2.7760024070739746</v>
      </c>
      <c r="G72" s="14"/>
      <c r="H72" s="9">
        <f t="shared" si="17"/>
        <v>0</v>
      </c>
      <c r="I72" s="14"/>
      <c r="J72" s="9">
        <f t="shared" si="12"/>
        <v>2.7011292872032452E-2</v>
      </c>
      <c r="K72" s="9">
        <f t="shared" si="13"/>
        <v>2.2235557400362264E-2</v>
      </c>
      <c r="L72" s="9">
        <f t="shared" si="14"/>
        <v>1.2620575656118951E-2</v>
      </c>
      <c r="M72" s="9">
        <f>J72-(1-H72)*K72-H72*L72</f>
        <v>4.7757354716701887E-3</v>
      </c>
      <c r="N72" s="15"/>
      <c r="O72" s="9" t="e">
        <f>O71+M72</f>
        <v>#DIV/0!</v>
      </c>
      <c r="P72" s="9" t="e">
        <f>EXP(O72)</f>
        <v>#DIV/0!</v>
      </c>
    </row>
    <row r="73" spans="1:16" x14ac:dyDescent="0.3">
      <c r="A73" s="8">
        <v>2018</v>
      </c>
      <c r="B73" s="16">
        <f>Data!K73</f>
        <v>20656528.5</v>
      </c>
      <c r="C73" s="19">
        <f>Data!AU73</f>
        <v>6.93855925374924</v>
      </c>
      <c r="D73" s="24">
        <f t="shared" si="11"/>
        <v>2977063.0680768886</v>
      </c>
      <c r="E73" s="9">
        <f>Data!AB73</f>
        <v>14.037237167358398</v>
      </c>
      <c r="F73" s="9">
        <f>Data!AE73</f>
        <v>2.8328330516815186</v>
      </c>
      <c r="G73" s="14"/>
      <c r="H73" s="9">
        <f t="shared" si="17"/>
        <v>0</v>
      </c>
      <c r="I73" s="14"/>
      <c r="J73" s="9">
        <f t="shared" ref="J73:J78" si="19">LN(D73/D72)</f>
        <v>3.4516456645336063E-2</v>
      </c>
      <c r="K73" s="9">
        <f t="shared" ref="K73:K78" si="20">LN(E73/E72)</f>
        <v>2.3563336697314887E-2</v>
      </c>
      <c r="L73" s="9">
        <f t="shared" ref="L73:L78" si="21">LN(F73/F72)</f>
        <v>2.0265379497328175E-2</v>
      </c>
      <c r="M73" s="9">
        <f t="shared" ref="M73:M78" si="22">J73-(1-H73)*K73-H73*L73</f>
        <v>1.0953119948021176E-2</v>
      </c>
      <c r="O73" s="9" t="e">
        <f t="shared" ref="O73:O77" si="23">O72+M73</f>
        <v>#DIV/0!</v>
      </c>
      <c r="P73" s="9" t="e">
        <f t="shared" ref="P73:P77" si="24">EXP(O73)</f>
        <v>#DIV/0!</v>
      </c>
    </row>
    <row r="74" spans="1:16" x14ac:dyDescent="0.3">
      <c r="A74" s="8">
        <v>2019</v>
      </c>
      <c r="B74" s="16">
        <f>Data!K74</f>
        <v>21539988</v>
      </c>
      <c r="C74" s="19">
        <f>Data!AU74</f>
        <v>7.0410935012484197</v>
      </c>
      <c r="D74" s="24">
        <f t="shared" si="11"/>
        <v>3059182.2131293751</v>
      </c>
      <c r="E74" s="9">
        <f>Data!AB74</f>
        <v>14.361440658569336</v>
      </c>
      <c r="F74" s="9">
        <f>Data!AE74</f>
        <v>2.8785085678100586</v>
      </c>
      <c r="G74" s="14"/>
      <c r="H74" s="9">
        <f t="shared" si="17"/>
        <v>0</v>
      </c>
      <c r="I74" s="14"/>
      <c r="J74" s="9">
        <f t="shared" si="19"/>
        <v>2.7210362714443308E-2</v>
      </c>
      <c r="K74" s="9">
        <f t="shared" si="20"/>
        <v>2.2833286719148697E-2</v>
      </c>
      <c r="L74" s="9">
        <f t="shared" si="21"/>
        <v>1.5995012370511597E-2</v>
      </c>
      <c r="M74" s="9">
        <f t="shared" si="22"/>
        <v>4.3770759952946117E-3</v>
      </c>
      <c r="O74" s="9" t="e">
        <f t="shared" si="23"/>
        <v>#DIV/0!</v>
      </c>
      <c r="P74" s="9" t="e">
        <f t="shared" si="24"/>
        <v>#DIV/0!</v>
      </c>
    </row>
    <row r="75" spans="1:16" x14ac:dyDescent="0.3">
      <c r="A75" s="8">
        <v>2020</v>
      </c>
      <c r="B75" s="16">
        <f>Data!K75</f>
        <v>21354093.5</v>
      </c>
      <c r="C75" s="19">
        <f>Data!AU75</f>
        <v>7.12235760667539</v>
      </c>
      <c r="D75" s="24">
        <f t="shared" si="11"/>
        <v>2998177.6652138326</v>
      </c>
      <c r="E75" s="9">
        <f>Data!AB75</f>
        <v>14.713427543640137</v>
      </c>
      <c r="F75" s="9">
        <f>Data!AE75</f>
        <v>2.7580521106719971</v>
      </c>
      <c r="G75" s="14"/>
      <c r="H75" s="9">
        <f t="shared" si="17"/>
        <v>0</v>
      </c>
      <c r="I75" s="14"/>
      <c r="J75" s="9">
        <f t="shared" si="19"/>
        <v>-2.0142970465196738E-2</v>
      </c>
      <c r="K75" s="9">
        <f t="shared" si="20"/>
        <v>2.4213632195801176E-2</v>
      </c>
      <c r="L75" s="9">
        <f t="shared" si="21"/>
        <v>-4.2747628051152044E-2</v>
      </c>
      <c r="M75" s="9">
        <f t="shared" si="22"/>
        <v>-4.4356602660997918E-2</v>
      </c>
      <c r="O75" s="9" t="e">
        <f t="shared" si="23"/>
        <v>#DIV/0!</v>
      </c>
      <c r="P75" s="9" t="e">
        <f t="shared" si="24"/>
        <v>#DIV/0!</v>
      </c>
    </row>
    <row r="76" spans="1:16" x14ac:dyDescent="0.3">
      <c r="A76" s="8">
        <v>2021</v>
      </c>
      <c r="B76" s="16">
        <f>Data!K76</f>
        <v>23681157.5</v>
      </c>
      <c r="C76" s="19">
        <f>Data!AU76</f>
        <v>7.3852789834455903</v>
      </c>
      <c r="D76" s="24">
        <f t="shared" si="11"/>
        <v>3206535.2646910562</v>
      </c>
      <c r="E76" s="9">
        <f>Data!AB76</f>
        <v>14.994697570800781</v>
      </c>
      <c r="F76" s="9">
        <f>Data!AE76</f>
        <v>2.8544209003448486</v>
      </c>
      <c r="G76" s="14"/>
      <c r="H76" s="9">
        <f t="shared" si="17"/>
        <v>0</v>
      </c>
      <c r="I76" s="14"/>
      <c r="J76" s="9">
        <f t="shared" si="19"/>
        <v>6.7186338252853806E-2</v>
      </c>
      <c r="K76" s="9">
        <f t="shared" si="20"/>
        <v>1.8936128131449292E-2</v>
      </c>
      <c r="L76" s="9">
        <f t="shared" si="21"/>
        <v>3.4344311964261513E-2</v>
      </c>
      <c r="M76" s="9">
        <f t="shared" si="22"/>
        <v>4.8250210121404513E-2</v>
      </c>
      <c r="O76" s="9" t="e">
        <f t="shared" si="23"/>
        <v>#DIV/0!</v>
      </c>
      <c r="P76" s="9" t="e">
        <f t="shared" si="24"/>
        <v>#DIV/0!</v>
      </c>
    </row>
    <row r="77" spans="1:16" x14ac:dyDescent="0.3">
      <c r="A77" s="8">
        <v>2022</v>
      </c>
      <c r="B77" s="16">
        <f>Data!K77</f>
        <v>26006915.5</v>
      </c>
      <c r="C77" s="19">
        <f>Data!AU77</f>
        <v>7.9839882384532403</v>
      </c>
      <c r="D77" s="24">
        <f t="shared" si="11"/>
        <v>3257383.9944732171</v>
      </c>
      <c r="E77" s="9">
        <f>Data!AB77</f>
        <v>15.32447338104248</v>
      </c>
      <c r="F77" s="9">
        <f>Data!AE77</f>
        <v>2.9616611003875732</v>
      </c>
      <c r="G77" s="14"/>
      <c r="H77" s="9">
        <f t="shared" si="17"/>
        <v>0</v>
      </c>
      <c r="I77" s="14"/>
      <c r="J77" s="9">
        <f t="shared" si="19"/>
        <v>1.5733420132822827E-2</v>
      </c>
      <c r="K77" s="9">
        <f t="shared" si="20"/>
        <v>2.1754474513386187E-2</v>
      </c>
      <c r="L77" s="9">
        <f t="shared" si="21"/>
        <v>3.6881307968581883E-2</v>
      </c>
      <c r="M77" s="9">
        <f t="shared" si="22"/>
        <v>-6.02105438056336E-3</v>
      </c>
      <c r="O77" s="9" t="e">
        <f t="shared" si="23"/>
        <v>#DIV/0!</v>
      </c>
      <c r="P77" s="9" t="e">
        <f t="shared" si="24"/>
        <v>#DIV/0!</v>
      </c>
    </row>
    <row r="78" spans="1:16" x14ac:dyDescent="0.3">
      <c r="A78" s="8">
        <v>2023</v>
      </c>
      <c r="B78" s="16">
        <f>Data!K78</f>
        <v>27720687.25</v>
      </c>
      <c r="C78" s="19">
        <f>Data!AU78</f>
        <v>8.2504222415258202</v>
      </c>
      <c r="D78" s="24">
        <f t="shared" si="11"/>
        <v>3359911.3401101977</v>
      </c>
      <c r="E78" s="9">
        <f>Data!AB78</f>
        <v>15.644364356994629</v>
      </c>
      <c r="F78" s="9">
        <f>Data!AE78</f>
        <v>2.9960243701934814</v>
      </c>
      <c r="G78" s="14"/>
      <c r="H78" s="9">
        <f t="shared" si="17"/>
        <v>0</v>
      </c>
      <c r="I78" s="14"/>
      <c r="J78" s="9">
        <f t="shared" si="19"/>
        <v>3.099016919936274E-2</v>
      </c>
      <c r="K78" s="9">
        <f t="shared" si="20"/>
        <v>2.0659629306960008E-2</v>
      </c>
      <c r="L78" s="9">
        <f t="shared" si="21"/>
        <v>1.1535906370086313E-2</v>
      </c>
      <c r="M78" s="9">
        <f t="shared" si="22"/>
        <v>1.0330539892402731E-2</v>
      </c>
      <c r="O78" s="9" t="e">
        <f>O77+M78</f>
        <v>#DIV/0!</v>
      </c>
      <c r="P78" s="9" t="e">
        <f>EXP(O78)</f>
        <v>#DIV/0!</v>
      </c>
    </row>
    <row r="80" spans="1:16" x14ac:dyDescent="0.3">
      <c r="B80" s="9"/>
      <c r="D80" s="9"/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0E7D-AC13-4130-8682-1A186DF6532B}">
  <sheetPr>
    <tabColor rgb="FFFFC000"/>
  </sheetPr>
  <dimension ref="A1:N80"/>
  <sheetViews>
    <sheetView workbookViewId="0">
      <pane xSplit="7" ySplit="14" topLeftCell="H69" activePane="bottomRight" state="frozen"/>
      <selection activeCell="F77" sqref="F77"/>
      <selection pane="topRight" activeCell="F77" sqref="F77"/>
      <selection pane="bottomLeft" activeCell="F77" sqref="F77"/>
      <selection pane="bottomRight" activeCell="B80" sqref="B80"/>
    </sheetView>
  </sheetViews>
  <sheetFormatPr defaultColWidth="8.77734375" defaultRowHeight="14.4" x14ac:dyDescent="0.3"/>
  <cols>
    <col min="1" max="1" width="8.77734375" style="8"/>
    <col min="2" max="2" width="13.33203125" style="8" customWidth="1"/>
    <col min="3" max="3" width="28" style="8" customWidth="1"/>
    <col min="4" max="4" width="13.33203125" style="6" customWidth="1"/>
    <col min="5" max="5" width="2.77734375" style="6" customWidth="1"/>
    <col min="6" max="6" width="15.44140625" style="6" bestFit="1" customWidth="1"/>
    <col min="7" max="7" width="2.77734375" style="6" customWidth="1"/>
    <col min="8" max="8" width="11.6640625" style="8" bestFit="1" customWidth="1"/>
    <col min="9" max="11" width="11.33203125" style="8" customWidth="1"/>
    <col min="12" max="12" width="8.77734375" style="6"/>
    <col min="13" max="13" width="12.441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8" t="s">
        <v>25</v>
      </c>
      <c r="C1" s="8" t="s">
        <v>28</v>
      </c>
      <c r="D1" s="8" t="s">
        <v>31</v>
      </c>
      <c r="E1" s="7"/>
      <c r="F1" s="8" t="s">
        <v>98</v>
      </c>
      <c r="G1" s="7"/>
      <c r="H1" s="8" t="s">
        <v>100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9">
        <f>Data!Z2</f>
        <v>1</v>
      </c>
      <c r="C2" s="9">
        <f>Data!AC2</f>
        <v>1</v>
      </c>
      <c r="D2" s="9">
        <f>Data!AF2</f>
        <v>1</v>
      </c>
      <c r="E2" s="14"/>
      <c r="F2" s="9">
        <f>AVERAGE(Data!X3:X78)</f>
        <v>0.56284594535827637</v>
      </c>
      <c r="G2" s="14"/>
      <c r="H2" s="9"/>
      <c r="I2" s="9"/>
      <c r="J2" s="9"/>
      <c r="K2" s="9"/>
      <c r="L2" s="15"/>
      <c r="M2" s="9">
        <v>0</v>
      </c>
      <c r="N2" s="9">
        <f>EXP(M2)</f>
        <v>1</v>
      </c>
    </row>
    <row r="3" spans="1:14" x14ac:dyDescent="0.3">
      <c r="A3" s="8">
        <v>1948</v>
      </c>
      <c r="B3" s="9">
        <f>Data!Z3</f>
        <v>1.0894179344177246</v>
      </c>
      <c r="C3" s="9">
        <f>Data!AC3</f>
        <v>1.0613375902175903</v>
      </c>
      <c r="D3" s="9">
        <f>Data!AF3</f>
        <v>1.0199851989746094</v>
      </c>
      <c r="E3" s="14"/>
      <c r="F3" s="9">
        <f>F2</f>
        <v>0.56284594535827637</v>
      </c>
      <c r="G3" s="14"/>
      <c r="H3" s="9">
        <f t="shared" ref="H3:H34" si="0">LN(B3/B2)</f>
        <v>8.5643548488184382E-2</v>
      </c>
      <c r="I3" s="9">
        <f t="shared" ref="I3:I34" si="1">LN(C3/C2)</f>
        <v>5.9529990189391292E-2</v>
      </c>
      <c r="J3" s="9">
        <f t="shared" ref="J3:J34" si="2">LN(D3/D2)</f>
        <v>1.9788116381690406E-2</v>
      </c>
      <c r="K3" s="9">
        <f>H3-(1-F3)*I3-F3*J3</f>
        <v>4.8482110832397819E-2</v>
      </c>
      <c r="L3" s="15"/>
      <c r="M3" s="9">
        <f>M2+K3</f>
        <v>4.8482110832397819E-2</v>
      </c>
      <c r="N3" s="9">
        <f t="shared" ref="N3:N66" si="3">EXP(M3)</f>
        <v>1.0496765938118493</v>
      </c>
    </row>
    <row r="4" spans="1:14" x14ac:dyDescent="0.3">
      <c r="A4" s="8">
        <v>1949</v>
      </c>
      <c r="B4" s="9">
        <f>Data!Z4</f>
        <v>1.0591192245483398</v>
      </c>
      <c r="C4" s="9">
        <f>Data!AC4</f>
        <v>1.0834800004959106</v>
      </c>
      <c r="D4" s="9">
        <f>Data!AF4</f>
        <v>0.9507482647895813</v>
      </c>
      <c r="E4" s="14"/>
      <c r="F4" s="9">
        <f t="shared" ref="F4:F67" si="4">F3</f>
        <v>0.56284594535827637</v>
      </c>
      <c r="G4" s="14"/>
      <c r="H4" s="9">
        <f t="shared" si="0"/>
        <v>-2.8205906007193918E-2</v>
      </c>
      <c r="I4" s="9">
        <f t="shared" si="1"/>
        <v>2.0648093393561478E-2</v>
      </c>
      <c r="J4" s="9">
        <f t="shared" si="2"/>
        <v>-7.0294073653541109E-2</v>
      </c>
      <c r="K4" s="9">
        <f t="shared" ref="K4:K67" si="5">H4-(1-F4)*I4-F4*J4</f>
        <v>2.332430583801344E-3</v>
      </c>
      <c r="L4" s="15"/>
      <c r="M4" s="9">
        <f t="shared" ref="M4:M67" si="6">M3+K4</f>
        <v>5.0814541416199163E-2</v>
      </c>
      <c r="N4" s="9">
        <f t="shared" si="3"/>
        <v>1.0521277490658589</v>
      </c>
    </row>
    <row r="5" spans="1:14" x14ac:dyDescent="0.3">
      <c r="A5" s="8">
        <v>1950</v>
      </c>
      <c r="B5" s="9">
        <f>Data!Z5</f>
        <v>1.1728990077972412</v>
      </c>
      <c r="C5" s="9">
        <f>Data!AC5</f>
        <v>1.1210259199142456</v>
      </c>
      <c r="D5" s="9">
        <f>Data!AF5</f>
        <v>1.0109016895294189</v>
      </c>
      <c r="E5" s="14"/>
      <c r="F5" s="9">
        <f t="shared" si="4"/>
        <v>0.56284594535827637</v>
      </c>
      <c r="G5" s="14"/>
      <c r="H5" s="9">
        <f t="shared" si="0"/>
        <v>0.1020408261242018</v>
      </c>
      <c r="I5" s="9">
        <f t="shared" si="1"/>
        <v>3.4066182375569957E-2</v>
      </c>
      <c r="J5" s="9">
        <f t="shared" si="2"/>
        <v>6.1348651760445794E-2</v>
      </c>
      <c r="K5" s="9">
        <f t="shared" si="5"/>
        <v>5.2618816475993181E-2</v>
      </c>
      <c r="L5" s="15"/>
      <c r="M5" s="9">
        <f t="shared" si="6"/>
        <v>0.10343335789219235</v>
      </c>
      <c r="N5" s="9">
        <f t="shared" si="3"/>
        <v>1.1089718866784188</v>
      </c>
    </row>
    <row r="6" spans="1:14" x14ac:dyDescent="0.3">
      <c r="A6" s="8">
        <v>1951</v>
      </c>
      <c r="B6" s="9">
        <f>Data!Z6</f>
        <v>1.2452199459075928</v>
      </c>
      <c r="C6" s="9">
        <f>Data!AC6</f>
        <v>1.1901323795318604</v>
      </c>
      <c r="D6" s="9">
        <f>Data!AF6</f>
        <v>1.0784541368484497</v>
      </c>
      <c r="E6" s="14"/>
      <c r="F6" s="9">
        <f t="shared" si="4"/>
        <v>0.56284594535827637</v>
      </c>
      <c r="G6" s="14"/>
      <c r="H6" s="9">
        <f t="shared" si="0"/>
        <v>5.9833709087934062E-2</v>
      </c>
      <c r="I6" s="9">
        <f t="shared" si="1"/>
        <v>5.9820278281922074E-2</v>
      </c>
      <c r="J6" s="9">
        <f t="shared" si="2"/>
        <v>6.4685966510781262E-2</v>
      </c>
      <c r="K6" s="9">
        <f t="shared" si="5"/>
        <v>-2.7252020849789019E-3</v>
      </c>
      <c r="L6" s="15"/>
      <c r="M6" s="9">
        <f t="shared" si="6"/>
        <v>0.10070815580721346</v>
      </c>
      <c r="N6" s="9">
        <f t="shared" si="3"/>
        <v>1.105953828457795</v>
      </c>
    </row>
    <row r="7" spans="1:14" x14ac:dyDescent="0.3">
      <c r="A7" s="8">
        <v>1952</v>
      </c>
      <c r="B7" s="9">
        <f>Data!Z7</f>
        <v>1.3007050752639771</v>
      </c>
      <c r="C7" s="9">
        <f>Data!AC7</f>
        <v>1.240800142288208</v>
      </c>
      <c r="D7" s="9">
        <f>Data!AF7</f>
        <v>1.0965025424957275</v>
      </c>
      <c r="E7" s="14"/>
      <c r="F7" s="9">
        <f t="shared" si="4"/>
        <v>0.56284594535827637</v>
      </c>
      <c r="G7" s="14"/>
      <c r="H7" s="9">
        <f t="shared" si="0"/>
        <v>4.3594305334983291E-2</v>
      </c>
      <c r="I7" s="9">
        <f t="shared" si="1"/>
        <v>4.1691903314311947E-2</v>
      </c>
      <c r="J7" s="9">
        <f t="shared" si="2"/>
        <v>1.6596946611294867E-2</v>
      </c>
      <c r="K7" s="9">
        <f t="shared" si="5"/>
        <v>1.6026996649906006E-2</v>
      </c>
      <c r="L7" s="15"/>
      <c r="M7" s="9">
        <f t="shared" si="6"/>
        <v>0.11673515245711946</v>
      </c>
      <c r="N7" s="9">
        <f t="shared" si="3"/>
        <v>1.1238217488434394</v>
      </c>
    </row>
    <row r="8" spans="1:14" x14ac:dyDescent="0.3">
      <c r="A8" s="8">
        <v>1953</v>
      </c>
      <c r="B8" s="9">
        <f>Data!Z8</f>
        <v>1.3923352956771851</v>
      </c>
      <c r="C8" s="9">
        <f>Data!AC8</f>
        <v>1.2997132539749146</v>
      </c>
      <c r="D8" s="9">
        <f>Data!AF8</f>
        <v>1.1255636215209961</v>
      </c>
      <c r="E8" s="14"/>
      <c r="F8" s="9">
        <f t="shared" si="4"/>
        <v>0.56284594535827637</v>
      </c>
      <c r="G8" s="14"/>
      <c r="H8" s="9">
        <f t="shared" si="0"/>
        <v>6.8075923210106165E-2</v>
      </c>
      <c r="I8" s="9">
        <f t="shared" si="1"/>
        <v>4.6387218717291082E-2</v>
      </c>
      <c r="J8" s="9">
        <f t="shared" si="2"/>
        <v>2.6158299496214257E-2</v>
      </c>
      <c r="K8" s="9">
        <f t="shared" si="5"/>
        <v>3.3074469655378275E-2</v>
      </c>
      <c r="L8" s="15"/>
      <c r="M8" s="9">
        <f t="shared" si="6"/>
        <v>0.14980962211249774</v>
      </c>
      <c r="N8" s="9">
        <f t="shared" si="3"/>
        <v>1.1616130762327979</v>
      </c>
    </row>
    <row r="9" spans="1:14" x14ac:dyDescent="0.3">
      <c r="A9" s="8">
        <v>1954</v>
      </c>
      <c r="B9" s="9">
        <f>Data!Z9</f>
        <v>1.3550273180007935</v>
      </c>
      <c r="C9" s="9">
        <f>Data!AC9</f>
        <v>1.3659058809280396</v>
      </c>
      <c r="D9" s="9">
        <f>Data!AF9</f>
        <v>1.0536787509918213</v>
      </c>
      <c r="E9" s="14"/>
      <c r="F9" s="9">
        <f t="shared" si="4"/>
        <v>0.56284594535827637</v>
      </c>
      <c r="G9" s="14"/>
      <c r="H9" s="9">
        <f t="shared" si="0"/>
        <v>-2.7160791223585057E-2</v>
      </c>
      <c r="I9" s="9">
        <f t="shared" si="1"/>
        <v>4.9674191278769306E-2</v>
      </c>
      <c r="J9" s="9">
        <f t="shared" si="2"/>
        <v>-6.5996293776068249E-2</v>
      </c>
      <c r="K9" s="9">
        <f t="shared" si="5"/>
        <v>-1.173031899161394E-2</v>
      </c>
      <c r="L9" s="15"/>
      <c r="M9" s="9">
        <f t="shared" si="6"/>
        <v>0.13807930312088379</v>
      </c>
      <c r="N9" s="9">
        <f t="shared" si="3"/>
        <v>1.1480665919279096</v>
      </c>
    </row>
    <row r="10" spans="1:14" x14ac:dyDescent="0.3">
      <c r="A10" s="8">
        <v>1955</v>
      </c>
      <c r="B10" s="9">
        <f>Data!Z10</f>
        <v>1.4808347225189209</v>
      </c>
      <c r="C10" s="9">
        <f>Data!AC10</f>
        <v>1.4175570011138916</v>
      </c>
      <c r="D10" s="9">
        <f>Data!AF10</f>
        <v>1.1026390790939331</v>
      </c>
      <c r="E10" s="14"/>
      <c r="F10" s="9">
        <f t="shared" si="4"/>
        <v>0.56284594535827637</v>
      </c>
      <c r="G10" s="14"/>
      <c r="H10" s="9">
        <f t="shared" si="0"/>
        <v>8.8784315474183875E-2</v>
      </c>
      <c r="I10" s="9">
        <f t="shared" si="1"/>
        <v>3.7117110686480784E-2</v>
      </c>
      <c r="J10" s="9">
        <f t="shared" si="2"/>
        <v>4.5418855889985663E-2</v>
      </c>
      <c r="K10" s="9">
        <f t="shared" si="5"/>
        <v>4.6994601160512864E-2</v>
      </c>
      <c r="L10" s="15"/>
      <c r="M10" s="9">
        <f t="shared" si="6"/>
        <v>0.18507390428139664</v>
      </c>
      <c r="N10" s="9">
        <f t="shared" si="3"/>
        <v>1.2033073664078522</v>
      </c>
    </row>
    <row r="11" spans="1:14" x14ac:dyDescent="0.3">
      <c r="A11" s="8">
        <v>1956</v>
      </c>
      <c r="B11" s="9">
        <f>Data!Z11</f>
        <v>1.4807370901107788</v>
      </c>
      <c r="C11" s="9">
        <f>Data!AC11</f>
        <v>1.492082953453064</v>
      </c>
      <c r="D11" s="9">
        <f>Data!AF11</f>
        <v>1.1196023225784302</v>
      </c>
      <c r="E11" s="14"/>
      <c r="F11" s="9">
        <f t="shared" si="4"/>
        <v>0.56284594535827637</v>
      </c>
      <c r="G11" s="14"/>
      <c r="H11" s="9">
        <f t="shared" si="0"/>
        <v>-6.5932831857100379E-5</v>
      </c>
      <c r="I11" s="9">
        <f t="shared" si="1"/>
        <v>5.1238130827844862E-2</v>
      </c>
      <c r="J11" s="9">
        <f t="shared" si="2"/>
        <v>1.5267083907830544E-2</v>
      </c>
      <c r="K11" s="9">
        <f t="shared" si="5"/>
        <v>-3.1057905750479592E-2</v>
      </c>
      <c r="L11" s="15"/>
      <c r="M11" s="9">
        <f t="shared" si="6"/>
        <v>0.15401599853091705</v>
      </c>
      <c r="N11" s="9">
        <f t="shared" si="3"/>
        <v>1.1665095490682402</v>
      </c>
    </row>
    <row r="12" spans="1:14" x14ac:dyDescent="0.3">
      <c r="A12" s="8">
        <v>1957</v>
      </c>
      <c r="B12" s="9">
        <f>Data!Z12</f>
        <v>1.4855481386184692</v>
      </c>
      <c r="C12" s="9">
        <f>Data!AC12</f>
        <v>1.5631506443023682</v>
      </c>
      <c r="D12" s="9">
        <f>Data!AF12</f>
        <v>1.1003443002700806</v>
      </c>
      <c r="E12" s="14"/>
      <c r="F12" s="9">
        <f t="shared" si="4"/>
        <v>0.56284594535827637</v>
      </c>
      <c r="G12" s="14"/>
      <c r="H12" s="9">
        <f t="shared" si="0"/>
        <v>3.2438234056102475E-3</v>
      </c>
      <c r="I12" s="9">
        <f t="shared" si="1"/>
        <v>4.653032924122915E-2</v>
      </c>
      <c r="J12" s="9">
        <f t="shared" si="2"/>
        <v>-1.7350422053138758E-2</v>
      </c>
      <c r="K12" s="9">
        <f t="shared" si="5"/>
        <v>-7.3314839831434622E-3</v>
      </c>
      <c r="L12" s="15"/>
      <c r="M12" s="9">
        <f t="shared" si="6"/>
        <v>0.14668451454777359</v>
      </c>
      <c r="N12" s="9">
        <f t="shared" si="3"/>
        <v>1.1579885768460338</v>
      </c>
    </row>
    <row r="13" spans="1:14" x14ac:dyDescent="0.3">
      <c r="A13" s="8">
        <v>1958</v>
      </c>
      <c r="B13" s="9">
        <f>Data!Z13</f>
        <v>1.4226467609405518</v>
      </c>
      <c r="C13" s="9">
        <f>Data!AC13</f>
        <v>1.6031262874603271</v>
      </c>
      <c r="D13" s="9">
        <f>Data!AF13</f>
        <v>1.0229679346084595</v>
      </c>
      <c r="E13" s="14"/>
      <c r="F13" s="9">
        <f t="shared" si="4"/>
        <v>0.56284594535827637</v>
      </c>
      <c r="G13" s="14"/>
      <c r="H13" s="9">
        <f t="shared" si="0"/>
        <v>-4.3264768230281324E-2</v>
      </c>
      <c r="I13" s="9">
        <f t="shared" si="1"/>
        <v>2.5252224164464033E-2</v>
      </c>
      <c r="J13" s="9">
        <f t="shared" si="2"/>
        <v>-7.2914989066012598E-2</v>
      </c>
      <c r="K13" s="9">
        <f t="shared" si="5"/>
        <v>-1.3263974460850238E-2</v>
      </c>
      <c r="L13" s="15"/>
      <c r="M13" s="9">
        <f t="shared" si="6"/>
        <v>0.13342054008692336</v>
      </c>
      <c r="N13" s="9">
        <f t="shared" si="3"/>
        <v>1.1427304612643614</v>
      </c>
    </row>
    <row r="14" spans="1:14" x14ac:dyDescent="0.3">
      <c r="A14" s="8">
        <v>1959</v>
      </c>
      <c r="B14" s="9">
        <f>Data!Z14</f>
        <v>1.5250990390777588</v>
      </c>
      <c r="C14" s="9">
        <f>Data!AC14</f>
        <v>1.6388061046600342</v>
      </c>
      <c r="D14" s="9">
        <f>Data!AF14</f>
        <v>1.0798392295837402</v>
      </c>
      <c r="E14" s="14"/>
      <c r="F14" s="9">
        <f t="shared" si="4"/>
        <v>0.56284594535827637</v>
      </c>
      <c r="G14" s="14"/>
      <c r="H14" s="9">
        <f t="shared" si="0"/>
        <v>6.9540298775887341E-2</v>
      </c>
      <c r="I14" s="9">
        <f t="shared" si="1"/>
        <v>2.2012339292152051E-2</v>
      </c>
      <c r="J14" s="9">
        <f t="shared" si="2"/>
        <v>5.4104026549137083E-2</v>
      </c>
      <c r="K14" s="9">
        <f t="shared" si="5"/>
        <v>2.94652834314354E-2</v>
      </c>
      <c r="L14" s="15"/>
      <c r="M14" s="9">
        <f t="shared" si="6"/>
        <v>0.16288582351835876</v>
      </c>
      <c r="N14" s="9">
        <f t="shared" si="3"/>
        <v>1.1769023074522671</v>
      </c>
    </row>
    <row r="15" spans="1:14" x14ac:dyDescent="0.3">
      <c r="A15" s="8">
        <v>1960</v>
      </c>
      <c r="B15" s="9">
        <f>Data!Z15</f>
        <v>1.5572274923324585</v>
      </c>
      <c r="C15" s="9">
        <f>Data!AC15</f>
        <v>1.6794880628585815</v>
      </c>
      <c r="D15" s="9">
        <f>Data!AF15</f>
        <v>1.0785924196243286</v>
      </c>
      <c r="E15" s="14"/>
      <c r="F15" s="9">
        <f t="shared" si="4"/>
        <v>0.56284594535827637</v>
      </c>
      <c r="G15" s="14"/>
      <c r="H15" s="9">
        <f t="shared" si="0"/>
        <v>2.0847639968602973E-2</v>
      </c>
      <c r="I15" s="9">
        <f t="shared" si="1"/>
        <v>2.4521030725298848E-2</v>
      </c>
      <c r="J15" s="9">
        <f t="shared" si="2"/>
        <v>-1.1552926390285107E-3</v>
      </c>
      <c r="K15" s="9">
        <f t="shared" si="5"/>
        <v>1.0778423740623757E-2</v>
      </c>
      <c r="L15" s="15"/>
      <c r="M15" s="9">
        <f t="shared" si="6"/>
        <v>0.17366424725898252</v>
      </c>
      <c r="N15" s="9">
        <f t="shared" si="3"/>
        <v>1.1896560684720932</v>
      </c>
    </row>
    <row r="16" spans="1:14" x14ac:dyDescent="0.3">
      <c r="A16" s="8">
        <v>1961</v>
      </c>
      <c r="B16" s="9">
        <f>Data!Z16</f>
        <v>1.5725324153900146</v>
      </c>
      <c r="C16" s="9">
        <f>Data!AC16</f>
        <v>1.7218136787414551</v>
      </c>
      <c r="D16" s="9">
        <f>Data!AF16</f>
        <v>1.0630162954330444</v>
      </c>
      <c r="E16" s="14"/>
      <c r="F16" s="9">
        <f t="shared" si="4"/>
        <v>0.56284594535827637</v>
      </c>
      <c r="G16" s="14"/>
      <c r="H16" s="9">
        <f t="shared" si="0"/>
        <v>9.7803317237360205E-3</v>
      </c>
      <c r="I16" s="9">
        <f t="shared" si="1"/>
        <v>2.4889177164581743E-2</v>
      </c>
      <c r="J16" s="9">
        <f t="shared" si="2"/>
        <v>-1.4546447013078081E-2</v>
      </c>
      <c r="K16" s="9">
        <f t="shared" si="5"/>
        <v>7.0873357302229205E-3</v>
      </c>
      <c r="L16" s="15"/>
      <c r="M16" s="9">
        <f t="shared" si="6"/>
        <v>0.18075158298920543</v>
      </c>
      <c r="N16" s="9">
        <f t="shared" si="3"/>
        <v>1.1981175095513132</v>
      </c>
    </row>
    <row r="17" spans="1:14" x14ac:dyDescent="0.3">
      <c r="A17" s="8">
        <v>1962</v>
      </c>
      <c r="B17" s="9">
        <f>Data!Z17</f>
        <v>1.697056770324707</v>
      </c>
      <c r="C17" s="9">
        <f>Data!AC17</f>
        <v>1.7723236083984375</v>
      </c>
      <c r="D17" s="9">
        <f>Data!AF17</f>
        <v>1.1039234399795532</v>
      </c>
      <c r="E17" s="14"/>
      <c r="F17" s="9">
        <f t="shared" si="4"/>
        <v>0.56284594535827637</v>
      </c>
      <c r="G17" s="14"/>
      <c r="H17" s="9">
        <f t="shared" si="0"/>
        <v>7.620811573599004E-2</v>
      </c>
      <c r="I17" s="9">
        <f t="shared" si="1"/>
        <v>2.8913259106107439E-2</v>
      </c>
      <c r="J17" s="9">
        <f t="shared" si="2"/>
        <v>3.7760168699110412E-2</v>
      </c>
      <c r="K17" s="9">
        <f t="shared" si="5"/>
        <v>4.2315409436509632E-2</v>
      </c>
      <c r="L17" s="15"/>
      <c r="M17" s="9">
        <f t="shared" si="6"/>
        <v>0.22306699242571507</v>
      </c>
      <c r="N17" s="9">
        <f t="shared" si="3"/>
        <v>1.2499043050525778</v>
      </c>
    </row>
    <row r="18" spans="1:14" x14ac:dyDescent="0.3">
      <c r="A18" s="8">
        <v>1963</v>
      </c>
      <c r="B18" s="9">
        <f>Data!Z18</f>
        <v>1.7844487428665161</v>
      </c>
      <c r="C18" s="9">
        <f>Data!AC18</f>
        <v>1.8388214111328125</v>
      </c>
      <c r="D18" s="9">
        <f>Data!AF18</f>
        <v>1.1186676025390625</v>
      </c>
      <c r="E18" s="14"/>
      <c r="F18" s="9">
        <f t="shared" si="4"/>
        <v>0.56284594535827637</v>
      </c>
      <c r="G18" s="14"/>
      <c r="H18" s="9">
        <f t="shared" si="0"/>
        <v>5.0214100972297691E-2</v>
      </c>
      <c r="I18" s="9">
        <f t="shared" si="1"/>
        <v>3.6833370202356851E-2</v>
      </c>
      <c r="J18" s="9">
        <f t="shared" si="2"/>
        <v>1.3267738927178526E-2</v>
      </c>
      <c r="K18" s="9">
        <f t="shared" si="5"/>
        <v>2.6644550782983153E-2</v>
      </c>
      <c r="L18" s="15"/>
      <c r="M18" s="9">
        <f t="shared" si="6"/>
        <v>0.24971154320869821</v>
      </c>
      <c r="N18" s="9">
        <f t="shared" si="3"/>
        <v>1.2836550842511147</v>
      </c>
    </row>
    <row r="19" spans="1:14" x14ac:dyDescent="0.3">
      <c r="A19" s="8">
        <v>1964</v>
      </c>
      <c r="B19" s="9">
        <f>Data!Z19</f>
        <v>1.8940409421920776</v>
      </c>
      <c r="C19" s="9">
        <f>Data!AC19</f>
        <v>1.91441810131073</v>
      </c>
      <c r="D19" s="9">
        <f>Data!AF19</f>
        <v>1.1389110088348389</v>
      </c>
      <c r="E19" s="14"/>
      <c r="F19" s="9">
        <f t="shared" si="4"/>
        <v>0.56284594535827637</v>
      </c>
      <c r="G19" s="14"/>
      <c r="H19" s="9">
        <f t="shared" si="0"/>
        <v>5.9603071307126651E-2</v>
      </c>
      <c r="I19" s="9">
        <f t="shared" si="1"/>
        <v>4.0288883950084189E-2</v>
      </c>
      <c r="J19" s="9">
        <f t="shared" si="2"/>
        <v>1.7934213918349953E-2</v>
      </c>
      <c r="K19" s="9">
        <f t="shared" si="5"/>
        <v>3.1896422744226251E-2</v>
      </c>
      <c r="L19" s="15"/>
      <c r="M19" s="9">
        <f t="shared" si="6"/>
        <v>0.28160796595292448</v>
      </c>
      <c r="N19" s="9">
        <f t="shared" si="3"/>
        <v>1.3252590714562826</v>
      </c>
    </row>
    <row r="20" spans="1:14" x14ac:dyDescent="0.3">
      <c r="A20" s="8">
        <v>1965</v>
      </c>
      <c r="B20" s="9">
        <f>Data!Z20</f>
        <v>2.0490539073944092</v>
      </c>
      <c r="C20" s="9">
        <f>Data!AC20</f>
        <v>2.0143558979034424</v>
      </c>
      <c r="D20" s="9">
        <f>Data!AF20</f>
        <v>1.1945916414260864</v>
      </c>
      <c r="E20" s="14"/>
      <c r="F20" s="9">
        <f t="shared" si="4"/>
        <v>0.56284594535827637</v>
      </c>
      <c r="G20" s="14"/>
      <c r="H20" s="9">
        <f t="shared" si="0"/>
        <v>7.8665566718431348E-2</v>
      </c>
      <c r="I20" s="9">
        <f t="shared" si="1"/>
        <v>5.0885777741178216E-2</v>
      </c>
      <c r="J20" s="9">
        <f t="shared" si="2"/>
        <v>4.7731853875836304E-2</v>
      </c>
      <c r="K20" s="9">
        <f t="shared" si="5"/>
        <v>2.9554962236829529E-2</v>
      </c>
      <c r="L20" s="15"/>
      <c r="M20" s="9">
        <f t="shared" si="6"/>
        <v>0.311162928189754</v>
      </c>
      <c r="N20" s="9">
        <f t="shared" si="3"/>
        <v>1.3650116019389198</v>
      </c>
    </row>
    <row r="21" spans="1:14" x14ac:dyDescent="0.3">
      <c r="A21" s="8">
        <v>1966</v>
      </c>
      <c r="B21" s="9">
        <f>Data!Z21</f>
        <v>2.1841678619384766</v>
      </c>
      <c r="C21" s="9">
        <f>Data!AC21</f>
        <v>2.1584830284118652</v>
      </c>
      <c r="D21" s="9">
        <f>Data!AF21</f>
        <v>1.2513864040374756</v>
      </c>
      <c r="E21" s="14"/>
      <c r="F21" s="9">
        <f t="shared" si="4"/>
        <v>0.56284594535827637</v>
      </c>
      <c r="G21" s="14"/>
      <c r="H21" s="9">
        <f t="shared" si="0"/>
        <v>6.3856736756672278E-2</v>
      </c>
      <c r="I21" s="9">
        <f t="shared" si="1"/>
        <v>6.9106182652967363E-2</v>
      </c>
      <c r="J21" s="9">
        <f t="shared" si="2"/>
        <v>4.6447655594452519E-2</v>
      </c>
      <c r="K21" s="9">
        <f t="shared" si="5"/>
        <v>7.5038141863807833E-3</v>
      </c>
      <c r="L21" s="15"/>
      <c r="M21" s="9">
        <f t="shared" si="6"/>
        <v>0.31866674237613479</v>
      </c>
      <c r="N21" s="9">
        <f t="shared" si="3"/>
        <v>1.3752929216759</v>
      </c>
    </row>
    <row r="22" spans="1:14" x14ac:dyDescent="0.3">
      <c r="A22" s="8">
        <v>1967</v>
      </c>
      <c r="B22" s="9">
        <f>Data!Z22</f>
        <v>2.2119667530059814</v>
      </c>
      <c r="C22" s="9">
        <f>Data!AC22</f>
        <v>2.3094916343688965</v>
      </c>
      <c r="D22" s="9">
        <f>Data!AF22</f>
        <v>1.2463043928146362</v>
      </c>
      <c r="E22" s="14"/>
      <c r="F22" s="9">
        <f t="shared" si="4"/>
        <v>0.56284594535827637</v>
      </c>
      <c r="G22" s="14"/>
      <c r="H22" s="9">
        <f t="shared" si="0"/>
        <v>1.2647138469475145E-2</v>
      </c>
      <c r="I22" s="9">
        <f t="shared" si="1"/>
        <v>6.7621755307032655E-2</v>
      </c>
      <c r="J22" s="9">
        <f t="shared" si="2"/>
        <v>-4.0693733926818491E-3</v>
      </c>
      <c r="K22" s="9">
        <f t="shared" si="5"/>
        <v>-1.4623555730764843E-2</v>
      </c>
      <c r="L22" s="15"/>
      <c r="M22" s="9">
        <f t="shared" si="6"/>
        <v>0.30404318664536994</v>
      </c>
      <c r="N22" s="9">
        <f t="shared" si="3"/>
        <v>1.3553275868776431</v>
      </c>
    </row>
    <row r="23" spans="1:14" x14ac:dyDescent="0.3">
      <c r="A23" s="8">
        <v>1968</v>
      </c>
      <c r="B23" s="9">
        <f>Data!Z23</f>
        <v>2.336033821105957</v>
      </c>
      <c r="C23" s="9">
        <f>Data!AC23</f>
        <v>2.4442868232727051</v>
      </c>
      <c r="D23" s="9">
        <f>Data!AF23</f>
        <v>1.2494852542877197</v>
      </c>
      <c r="E23" s="14"/>
      <c r="F23" s="9">
        <f t="shared" si="4"/>
        <v>0.56284594535827637</v>
      </c>
      <c r="G23" s="14"/>
      <c r="H23" s="9">
        <f t="shared" si="0"/>
        <v>5.45724898138331E-2</v>
      </c>
      <c r="I23" s="9">
        <f t="shared" si="1"/>
        <v>5.6725963942048221E-2</v>
      </c>
      <c r="J23" s="9">
        <f t="shared" si="2"/>
        <v>2.5489834041354355E-3</v>
      </c>
      <c r="K23" s="9">
        <f t="shared" si="5"/>
        <v>2.8339819699303343E-2</v>
      </c>
      <c r="L23" s="15"/>
      <c r="M23" s="9">
        <f t="shared" si="6"/>
        <v>0.33238300634467327</v>
      </c>
      <c r="N23" s="9">
        <f t="shared" si="3"/>
        <v>1.3942867669369485</v>
      </c>
    </row>
    <row r="24" spans="1:14" x14ac:dyDescent="0.3">
      <c r="A24" s="8">
        <v>1969</v>
      </c>
      <c r="B24" s="9">
        <f>Data!Z24</f>
        <v>2.401982307434082</v>
      </c>
      <c r="C24" s="9">
        <f>Data!AC24</f>
        <v>2.5789237022399902</v>
      </c>
      <c r="D24" s="9">
        <f>Data!AF24</f>
        <v>1.2720767259597778</v>
      </c>
      <c r="E24" s="14"/>
      <c r="F24" s="9">
        <f t="shared" si="4"/>
        <v>0.56284594535827637</v>
      </c>
      <c r="G24" s="14"/>
      <c r="H24" s="9">
        <f t="shared" si="0"/>
        <v>2.7839814791996625E-2</v>
      </c>
      <c r="I24" s="9">
        <f t="shared" si="1"/>
        <v>5.3618749664983749E-2</v>
      </c>
      <c r="J24" s="9">
        <f t="shared" si="2"/>
        <v>1.791911231667848E-2</v>
      </c>
      <c r="K24" s="9">
        <f t="shared" si="5"/>
        <v>-5.6855387407326128E-3</v>
      </c>
      <c r="L24" s="15"/>
      <c r="M24" s="9">
        <f t="shared" si="6"/>
        <v>0.32669746760394064</v>
      </c>
      <c r="N24" s="9">
        <f t="shared" si="3"/>
        <v>1.386381988264245</v>
      </c>
    </row>
    <row r="25" spans="1:14" x14ac:dyDescent="0.3">
      <c r="A25" s="8">
        <v>1970</v>
      </c>
      <c r="B25" s="9">
        <f>Data!Z25</f>
        <v>2.3420348167419434</v>
      </c>
      <c r="C25" s="9">
        <f>Data!AC25</f>
        <v>2.6910402774810791</v>
      </c>
      <c r="D25" s="9">
        <f>Data!AF25</f>
        <v>1.2056573629379272</v>
      </c>
      <c r="E25" s="14"/>
      <c r="F25" s="9">
        <f t="shared" si="4"/>
        <v>0.56284594535827637</v>
      </c>
      <c r="G25" s="14"/>
      <c r="H25" s="9">
        <f t="shared" si="0"/>
        <v>-2.527422655795394E-2</v>
      </c>
      <c r="I25" s="9">
        <f t="shared" si="1"/>
        <v>4.2555696890305299E-2</v>
      </c>
      <c r="J25" s="9">
        <f t="shared" si="2"/>
        <v>-5.3625834644959042E-2</v>
      </c>
      <c r="K25" s="9">
        <f t="shared" si="5"/>
        <v>-1.3694538405286512E-2</v>
      </c>
      <c r="L25" s="15"/>
      <c r="M25" s="9">
        <f t="shared" si="6"/>
        <v>0.31300292919865413</v>
      </c>
      <c r="N25" s="9">
        <f t="shared" si="3"/>
        <v>1.3675255367757002</v>
      </c>
    </row>
    <row r="26" spans="1:14" x14ac:dyDescent="0.3">
      <c r="A26" s="8">
        <v>1971</v>
      </c>
      <c r="B26" s="9">
        <f>Data!Z26</f>
        <v>2.4110782146453857</v>
      </c>
      <c r="C26" s="9">
        <f>Data!AC26</f>
        <v>2.8003273010253906</v>
      </c>
      <c r="D26" s="9">
        <f>Data!AF26</f>
        <v>1.1783778667449951</v>
      </c>
      <c r="E26" s="14"/>
      <c r="F26" s="9">
        <f t="shared" si="4"/>
        <v>0.56284594535827637</v>
      </c>
      <c r="G26" s="14"/>
      <c r="H26" s="9">
        <f t="shared" si="0"/>
        <v>2.9053908113274636E-2</v>
      </c>
      <c r="I26" s="9">
        <f t="shared" si="1"/>
        <v>3.9808464463098978E-2</v>
      </c>
      <c r="J26" s="9">
        <f t="shared" si="2"/>
        <v>-2.2886144078236546E-2</v>
      </c>
      <c r="K26" s="9">
        <f t="shared" si="5"/>
        <v>2.4532849863490719E-2</v>
      </c>
      <c r="L26" s="15"/>
      <c r="M26" s="9">
        <f t="shared" si="6"/>
        <v>0.33753577906214483</v>
      </c>
      <c r="N26" s="9">
        <f t="shared" si="3"/>
        <v>1.4014897514838451</v>
      </c>
    </row>
    <row r="27" spans="1:14" x14ac:dyDescent="0.3">
      <c r="A27" s="8">
        <v>1972</v>
      </c>
      <c r="B27" s="9">
        <f>Data!Z27</f>
        <v>2.5701115131378174</v>
      </c>
      <c r="C27" s="9">
        <f>Data!AC27</f>
        <v>2.8997070789337158</v>
      </c>
      <c r="D27" s="9">
        <f>Data!AF27</f>
        <v>1.2160598039627075</v>
      </c>
      <c r="E27" s="14"/>
      <c r="F27" s="9">
        <f t="shared" si="4"/>
        <v>0.56284594535827637</v>
      </c>
      <c r="G27" s="14"/>
      <c r="H27" s="9">
        <f t="shared" si="0"/>
        <v>6.3875248870138179E-2</v>
      </c>
      <c r="I27" s="9">
        <f t="shared" si="1"/>
        <v>3.487342105358357E-2</v>
      </c>
      <c r="J27" s="9">
        <f t="shared" si="2"/>
        <v>3.147715969864251E-2</v>
      </c>
      <c r="K27" s="9">
        <f t="shared" si="5"/>
        <v>3.0913399749560193E-2</v>
      </c>
      <c r="L27" s="15"/>
      <c r="M27" s="9">
        <f t="shared" si="6"/>
        <v>0.36844917881170502</v>
      </c>
      <c r="N27" s="9">
        <f t="shared" si="3"/>
        <v>1.4454911771826973</v>
      </c>
    </row>
    <row r="28" spans="1:14" x14ac:dyDescent="0.3">
      <c r="A28" s="8">
        <v>1973</v>
      </c>
      <c r="B28" s="9">
        <f>Data!Z28</f>
        <v>2.7225549221038818</v>
      </c>
      <c r="C28" s="9">
        <f>Data!AC28</f>
        <v>3.0202271938323975</v>
      </c>
      <c r="D28" s="9">
        <f>Data!AF28</f>
        <v>1.281403660774231</v>
      </c>
      <c r="E28" s="14"/>
      <c r="F28" s="9">
        <f t="shared" si="4"/>
        <v>0.56284594535827637</v>
      </c>
      <c r="G28" s="14"/>
      <c r="H28" s="9">
        <f t="shared" si="0"/>
        <v>5.7621460737924728E-2</v>
      </c>
      <c r="I28" s="9">
        <f t="shared" si="1"/>
        <v>4.0722333676374727E-2</v>
      </c>
      <c r="J28" s="9">
        <f t="shared" si="2"/>
        <v>5.23401238488665E-2</v>
      </c>
      <c r="K28" s="9">
        <f t="shared" si="5"/>
        <v>1.0360100968939776E-2</v>
      </c>
      <c r="L28" s="15"/>
      <c r="M28" s="9">
        <f t="shared" si="6"/>
        <v>0.37880927978064483</v>
      </c>
      <c r="N28" s="9">
        <f t="shared" si="3"/>
        <v>1.4605444538200629</v>
      </c>
    </row>
    <row r="29" spans="1:14" x14ac:dyDescent="0.3">
      <c r="A29" s="8">
        <v>1974</v>
      </c>
      <c r="B29" s="9">
        <f>Data!Z29</f>
        <v>2.5641734600067139</v>
      </c>
      <c r="C29" s="9">
        <f>Data!AC29</f>
        <v>3.1576354503631592</v>
      </c>
      <c r="D29" s="9">
        <f>Data!AF29</f>
        <v>1.2593812942504883</v>
      </c>
      <c r="E29" s="14"/>
      <c r="F29" s="9">
        <f t="shared" si="4"/>
        <v>0.56284594535827637</v>
      </c>
      <c r="G29" s="14"/>
      <c r="H29" s="9">
        <f t="shared" si="0"/>
        <v>-5.9934560150893386E-2</v>
      </c>
      <c r="I29" s="9">
        <f t="shared" si="1"/>
        <v>4.4491413996675028E-2</v>
      </c>
      <c r="J29" s="9">
        <f t="shared" si="2"/>
        <v>-1.7335523017444222E-2</v>
      </c>
      <c r="K29" s="9">
        <f t="shared" si="5"/>
        <v>-6.9626933335249858E-2</v>
      </c>
      <c r="L29" s="15"/>
      <c r="M29" s="9">
        <f t="shared" si="6"/>
        <v>0.309182346445395</v>
      </c>
      <c r="N29" s="9">
        <f t="shared" si="3"/>
        <v>1.3623107603809068</v>
      </c>
    </row>
    <row r="30" spans="1:14" x14ac:dyDescent="0.3">
      <c r="A30" s="8">
        <v>1975</v>
      </c>
      <c r="B30" s="9">
        <f>Data!Z30</f>
        <v>2.444838285446167</v>
      </c>
      <c r="C30" s="9">
        <f>Data!AC30</f>
        <v>3.2862989902496338</v>
      </c>
      <c r="D30" s="9">
        <f>Data!AF30</f>
        <v>1.1641682386398315</v>
      </c>
      <c r="E30" s="14"/>
      <c r="F30" s="9">
        <f t="shared" si="4"/>
        <v>0.56284594535827637</v>
      </c>
      <c r="G30" s="14"/>
      <c r="H30" s="9">
        <f t="shared" si="0"/>
        <v>-4.7657209061210654E-2</v>
      </c>
      <c r="I30" s="9">
        <f t="shared" si="1"/>
        <v>3.9938532296552351E-2</v>
      </c>
      <c r="J30" s="9">
        <f t="shared" si="2"/>
        <v>-7.8613690277415313E-2</v>
      </c>
      <c r="K30" s="9">
        <f t="shared" si="5"/>
        <v>-2.0869103568793387E-2</v>
      </c>
      <c r="L30" s="15"/>
      <c r="M30" s="9">
        <f t="shared" si="6"/>
        <v>0.28831324287660159</v>
      </c>
      <c r="N30" s="9">
        <f t="shared" si="3"/>
        <v>1.334175159539716</v>
      </c>
    </row>
    <row r="31" spans="1:14" x14ac:dyDescent="0.3">
      <c r="A31" s="8">
        <v>1976</v>
      </c>
      <c r="B31" s="9">
        <f>Data!Z31</f>
        <v>2.6209979057312012</v>
      </c>
      <c r="C31" s="9">
        <f>Data!AC31</f>
        <v>3.4023220539093018</v>
      </c>
      <c r="D31" s="9">
        <f>Data!AF31</f>
        <v>1.2079548835754395</v>
      </c>
      <c r="E31" s="14"/>
      <c r="F31" s="9">
        <f t="shared" si="4"/>
        <v>0.56284594535827637</v>
      </c>
      <c r="G31" s="14"/>
      <c r="H31" s="9">
        <f t="shared" si="0"/>
        <v>6.9576145489073787E-2</v>
      </c>
      <c r="I31" s="9">
        <f t="shared" si="1"/>
        <v>3.4696150949021717E-2</v>
      </c>
      <c r="J31" s="9">
        <f t="shared" si="2"/>
        <v>3.6921877002565058E-2</v>
      </c>
      <c r="K31" s="9">
        <f t="shared" si="5"/>
        <v>3.3627253655336926E-2</v>
      </c>
      <c r="L31" s="15"/>
      <c r="M31" s="9">
        <f t="shared" si="6"/>
        <v>0.32194049653193851</v>
      </c>
      <c r="N31" s="9">
        <f t="shared" si="3"/>
        <v>1.3798026704703565</v>
      </c>
    </row>
    <row r="32" spans="1:14" x14ac:dyDescent="0.3">
      <c r="A32" s="8">
        <v>1977</v>
      </c>
      <c r="B32" s="9">
        <f>Data!Z32</f>
        <v>2.7403571605682373</v>
      </c>
      <c r="C32" s="9">
        <f>Data!AC32</f>
        <v>3.5186254978179932</v>
      </c>
      <c r="D32" s="9">
        <f>Data!AF32</f>
        <v>1.2612452507019043</v>
      </c>
      <c r="E32" s="14"/>
      <c r="F32" s="9">
        <f t="shared" si="4"/>
        <v>0.56284594535827637</v>
      </c>
      <c r="G32" s="14"/>
      <c r="H32" s="9">
        <f t="shared" si="0"/>
        <v>4.4533137170741748E-2</v>
      </c>
      <c r="I32" s="9">
        <f t="shared" si="1"/>
        <v>3.3612274231769622E-2</v>
      </c>
      <c r="J32" s="9">
        <f t="shared" si="2"/>
        <v>4.31707763484609E-2</v>
      </c>
      <c r="K32" s="9">
        <f t="shared" si="5"/>
        <v>5.5408987788939379E-3</v>
      </c>
      <c r="L32" s="15"/>
      <c r="M32" s="9">
        <f t="shared" si="6"/>
        <v>0.32748139531083242</v>
      </c>
      <c r="N32" s="9">
        <f t="shared" si="3"/>
        <v>1.3874692376239497</v>
      </c>
    </row>
    <row r="33" spans="1:14" x14ac:dyDescent="0.3">
      <c r="A33" s="8">
        <v>1978</v>
      </c>
      <c r="B33" s="9">
        <f>Data!Z33</f>
        <v>2.8520467281341553</v>
      </c>
      <c r="C33" s="9">
        <f>Data!AC33</f>
        <v>3.6835041046142578</v>
      </c>
      <c r="D33" s="9">
        <f>Data!AF33</f>
        <v>1.330358624458313</v>
      </c>
      <c r="E33" s="14"/>
      <c r="F33" s="9">
        <f t="shared" si="4"/>
        <v>0.56284594535827637</v>
      </c>
      <c r="G33" s="14"/>
      <c r="H33" s="9">
        <f t="shared" si="0"/>
        <v>3.9948624279161286E-2</v>
      </c>
      <c r="I33" s="9">
        <f t="shared" si="1"/>
        <v>4.5794071687591552E-2</v>
      </c>
      <c r="J33" s="9">
        <f t="shared" si="2"/>
        <v>5.334902120647781E-2</v>
      </c>
      <c r="K33" s="9">
        <f t="shared" si="5"/>
        <v>-1.0097720112521857E-2</v>
      </c>
      <c r="L33" s="15"/>
      <c r="M33" s="9">
        <f t="shared" si="6"/>
        <v>0.31738367519831057</v>
      </c>
      <c r="N33" s="9">
        <f t="shared" si="3"/>
        <v>1.3735294600300088</v>
      </c>
    </row>
    <row r="34" spans="1:14" x14ac:dyDescent="0.3">
      <c r="A34" s="8">
        <v>1979</v>
      </c>
      <c r="B34" s="9">
        <f>Data!Z34</f>
        <v>2.8714587688446045</v>
      </c>
      <c r="C34" s="9">
        <f>Data!AC34</f>
        <v>3.8551688194274902</v>
      </c>
      <c r="D34" s="9">
        <f>Data!AF34</f>
        <v>1.3723134994506836</v>
      </c>
      <c r="E34" s="14"/>
      <c r="F34" s="9">
        <f t="shared" si="4"/>
        <v>0.56284594535827637</v>
      </c>
      <c r="G34" s="14"/>
      <c r="H34" s="9">
        <f t="shared" si="0"/>
        <v>6.7832957108732222E-3</v>
      </c>
      <c r="I34" s="9">
        <f t="shared" si="1"/>
        <v>4.5550296920627883E-2</v>
      </c>
      <c r="J34" s="9">
        <f t="shared" si="2"/>
        <v>3.1049453007336705E-2</v>
      </c>
      <c r="K34" s="9">
        <f t="shared" si="5"/>
        <v>-3.0605260008885478E-2</v>
      </c>
      <c r="L34" s="15"/>
      <c r="M34" s="9">
        <f t="shared" si="6"/>
        <v>0.2867784151894251</v>
      </c>
      <c r="N34" s="9">
        <f t="shared" si="3"/>
        <v>1.3321290012172116</v>
      </c>
    </row>
    <row r="35" spans="1:14" x14ac:dyDescent="0.3">
      <c r="A35" s="8">
        <v>1980</v>
      </c>
      <c r="B35" s="9">
        <f>Data!Z35</f>
        <v>2.733159065246582</v>
      </c>
      <c r="C35" s="9">
        <f>Data!AC35</f>
        <v>4.039771556854248</v>
      </c>
      <c r="D35" s="9">
        <f>Data!AF35</f>
        <v>1.3201251029968262</v>
      </c>
      <c r="E35" s="14"/>
      <c r="F35" s="9">
        <f t="shared" si="4"/>
        <v>0.56284594535827637</v>
      </c>
      <c r="G35" s="14"/>
      <c r="H35" s="9">
        <f t="shared" ref="H35:H66" si="7">LN(B35/B34)</f>
        <v>-4.9362075515010914E-2</v>
      </c>
      <c r="I35" s="9">
        <f t="shared" ref="I35:I66" si="8">LN(C35/C34)</f>
        <v>4.6773346655976225E-2</v>
      </c>
      <c r="J35" s="9">
        <f t="shared" ref="J35:J66" si="9">LN(D35/D34)</f>
        <v>-3.8771494238858027E-2</v>
      </c>
      <c r="K35" s="9">
        <f t="shared" si="5"/>
        <v>-4.7986855327010816E-2</v>
      </c>
      <c r="L35" s="15"/>
      <c r="M35" s="9">
        <f t="shared" si="6"/>
        <v>0.23879155986241429</v>
      </c>
      <c r="N35" s="9">
        <f t="shared" si="3"/>
        <v>1.2697138496695868</v>
      </c>
    </row>
    <row r="36" spans="1:14" x14ac:dyDescent="0.3">
      <c r="A36" s="8">
        <v>1981</v>
      </c>
      <c r="B36" s="9">
        <f>Data!Z36</f>
        <v>2.7829663753509521</v>
      </c>
      <c r="C36" s="9">
        <f>Data!AC36</f>
        <v>4.1842570304870605</v>
      </c>
      <c r="D36" s="9">
        <f>Data!AF36</f>
        <v>1.3217947483062744</v>
      </c>
      <c r="E36" s="14"/>
      <c r="F36" s="9">
        <f t="shared" si="4"/>
        <v>0.56284594535827637</v>
      </c>
      <c r="G36" s="14"/>
      <c r="H36" s="9">
        <f t="shared" si="7"/>
        <v>1.8059293359111762E-2</v>
      </c>
      <c r="I36" s="9">
        <f t="shared" si="8"/>
        <v>3.5141011595333907E-2</v>
      </c>
      <c r="J36" s="9">
        <f t="shared" si="9"/>
        <v>1.2639638033764087E-3</v>
      </c>
      <c r="K36" s="9">
        <f t="shared" si="5"/>
        <v>1.9858407541896821E-3</v>
      </c>
      <c r="L36" s="15"/>
      <c r="M36" s="9">
        <f t="shared" si="6"/>
        <v>0.24077740061660396</v>
      </c>
      <c r="N36" s="9">
        <f t="shared" si="3"/>
        <v>1.2722378044350893</v>
      </c>
    </row>
    <row r="37" spans="1:14" x14ac:dyDescent="0.3">
      <c r="A37" s="8">
        <v>1982</v>
      </c>
      <c r="B37" s="9">
        <f>Data!Z37</f>
        <v>2.6431910991668701</v>
      </c>
      <c r="C37" s="9">
        <f>Data!AC37</f>
        <v>4.3826475143432617</v>
      </c>
      <c r="D37" s="9">
        <f>Data!AF37</f>
        <v>1.2284587621688843</v>
      </c>
      <c r="E37" s="14"/>
      <c r="F37" s="9">
        <f t="shared" si="4"/>
        <v>0.56284594535827637</v>
      </c>
      <c r="G37" s="14"/>
      <c r="H37" s="9">
        <f t="shared" si="7"/>
        <v>-5.1530463418661937E-2</v>
      </c>
      <c r="I37" s="9">
        <f t="shared" si="8"/>
        <v>4.6323840471788294E-2</v>
      </c>
      <c r="J37" s="9">
        <f t="shared" si="9"/>
        <v>-7.3230126120789593E-2</v>
      </c>
      <c r="K37" s="9">
        <f t="shared" si="5"/>
        <v>-3.0563838542318929E-2</v>
      </c>
      <c r="L37" s="15"/>
      <c r="M37" s="9">
        <f t="shared" si="6"/>
        <v>0.21021356207428504</v>
      </c>
      <c r="N37" s="9">
        <f t="shared" si="3"/>
        <v>1.2339415549374935</v>
      </c>
    </row>
    <row r="38" spans="1:14" x14ac:dyDescent="0.3">
      <c r="A38" s="8">
        <v>1983</v>
      </c>
      <c r="B38" s="9">
        <f>Data!Z38</f>
        <v>2.7578587532043457</v>
      </c>
      <c r="C38" s="9">
        <f>Data!AC38</f>
        <v>4.5598320960998535</v>
      </c>
      <c r="D38" s="9">
        <f>Data!AF38</f>
        <v>1.2418984174728394</v>
      </c>
      <c r="E38" s="14"/>
      <c r="F38" s="9">
        <f t="shared" si="4"/>
        <v>0.56284594535827637</v>
      </c>
      <c r="G38" s="14"/>
      <c r="H38" s="9">
        <f t="shared" si="7"/>
        <v>4.2467627680291671E-2</v>
      </c>
      <c r="I38" s="9">
        <f t="shared" si="8"/>
        <v>3.9632804709323621E-2</v>
      </c>
      <c r="J38" s="9">
        <f t="shared" si="9"/>
        <v>1.0880845904385565E-2</v>
      </c>
      <c r="K38" s="9">
        <f t="shared" si="5"/>
        <v>1.9017746405435628E-2</v>
      </c>
      <c r="L38" s="15"/>
      <c r="M38" s="9">
        <f t="shared" si="6"/>
        <v>0.22923130847972067</v>
      </c>
      <c r="N38" s="9">
        <f t="shared" si="3"/>
        <v>1.2576329065241358</v>
      </c>
    </row>
    <row r="39" spans="1:14" x14ac:dyDescent="0.3">
      <c r="A39" s="8">
        <v>1984</v>
      </c>
      <c r="B39" s="9">
        <f>Data!Z39</f>
        <v>3.0325381755828857</v>
      </c>
      <c r="C39" s="9">
        <f>Data!AC39</f>
        <v>4.6733393669128418</v>
      </c>
      <c r="D39" s="9">
        <f>Data!AF39</f>
        <v>1.3339046239852905</v>
      </c>
      <c r="E39" s="14"/>
      <c r="F39" s="9">
        <f t="shared" si="4"/>
        <v>0.56284594535827637</v>
      </c>
      <c r="G39" s="14"/>
      <c r="H39" s="9">
        <f t="shared" si="7"/>
        <v>9.4945385999095286E-2</v>
      </c>
      <c r="I39" s="9">
        <f t="shared" si="8"/>
        <v>2.4588082185366254E-2</v>
      </c>
      <c r="J39" s="9">
        <f t="shared" si="9"/>
        <v>7.1469257982570644E-2</v>
      </c>
      <c r="K39" s="9">
        <f t="shared" si="5"/>
        <v>4.3970424102643985E-2</v>
      </c>
      <c r="L39" s="15"/>
      <c r="M39" s="9">
        <f t="shared" si="6"/>
        <v>0.27320173258236469</v>
      </c>
      <c r="N39" s="9">
        <f t="shared" si="3"/>
        <v>1.3141653280511603</v>
      </c>
    </row>
    <row r="40" spans="1:14" x14ac:dyDescent="0.3">
      <c r="A40" s="8">
        <v>1985</v>
      </c>
      <c r="B40" s="9">
        <f>Data!Z40</f>
        <v>3.1847002506256104</v>
      </c>
      <c r="C40" s="9">
        <f>Data!AC40</f>
        <v>4.8268799781799316</v>
      </c>
      <c r="D40" s="9">
        <f>Data!AF40</f>
        <v>1.3505531549453735</v>
      </c>
      <c r="E40" s="14"/>
      <c r="F40" s="9">
        <f t="shared" si="4"/>
        <v>0.56284594535827637</v>
      </c>
      <c r="G40" s="14"/>
      <c r="H40" s="9">
        <f t="shared" si="7"/>
        <v>4.8958221189542066E-2</v>
      </c>
      <c r="I40" s="9">
        <f t="shared" si="8"/>
        <v>3.2326407684196951E-2</v>
      </c>
      <c r="J40" s="9">
        <f t="shared" si="9"/>
        <v>1.2403804257452146E-2</v>
      </c>
      <c r="K40" s="9">
        <f t="shared" si="5"/>
        <v>2.7845170065069334E-2</v>
      </c>
      <c r="L40" s="15"/>
      <c r="M40" s="9">
        <f t="shared" si="6"/>
        <v>0.301046902647434</v>
      </c>
      <c r="N40" s="9">
        <f t="shared" si="3"/>
        <v>1.3512727183196291</v>
      </c>
    </row>
    <row r="41" spans="1:14" x14ac:dyDescent="0.3">
      <c r="A41" s="8">
        <v>1986</v>
      </c>
      <c r="B41" s="9">
        <f>Data!Z41</f>
        <v>3.2635104656219482</v>
      </c>
      <c r="C41" s="9">
        <f>Data!AC41</f>
        <v>4.9581489562988281</v>
      </c>
      <c r="D41" s="9">
        <f>Data!AF41</f>
        <v>1.325040340423584</v>
      </c>
      <c r="E41" s="14"/>
      <c r="F41" s="9">
        <f t="shared" si="4"/>
        <v>0.56284594535827637</v>
      </c>
      <c r="G41" s="14"/>
      <c r="H41" s="9">
        <f t="shared" si="7"/>
        <v>2.4445274196682337E-2</v>
      </c>
      <c r="I41" s="9">
        <f t="shared" si="8"/>
        <v>2.6832185100710788E-2</v>
      </c>
      <c r="J41" s="9">
        <f t="shared" si="9"/>
        <v>-1.9071348354571409E-2</v>
      </c>
      <c r="K41" s="9">
        <f t="shared" si="5"/>
        <v>2.3449706778895123E-2</v>
      </c>
      <c r="L41" s="15"/>
      <c r="M41" s="9">
        <f t="shared" si="6"/>
        <v>0.32449660942632913</v>
      </c>
      <c r="N41" s="9">
        <f t="shared" si="3"/>
        <v>1.3833341133285872</v>
      </c>
    </row>
    <row r="42" spans="1:14" x14ac:dyDescent="0.3">
      <c r="A42" s="8">
        <v>1987</v>
      </c>
      <c r="B42" s="9">
        <f>Data!Z42</f>
        <v>3.4412012100219727</v>
      </c>
      <c r="C42" s="9">
        <f>Data!AC42</f>
        <v>5.0682663917541504</v>
      </c>
      <c r="D42" s="9">
        <f>Data!AF42</f>
        <v>1.34930419921875</v>
      </c>
      <c r="E42" s="14"/>
      <c r="F42" s="9">
        <f t="shared" si="4"/>
        <v>0.56284594535827637</v>
      </c>
      <c r="G42" s="14"/>
      <c r="H42" s="9">
        <f t="shared" si="7"/>
        <v>5.3017153434391784E-2</v>
      </c>
      <c r="I42" s="9">
        <f t="shared" si="8"/>
        <v>2.1966347776958262E-2</v>
      </c>
      <c r="J42" s="9">
        <f t="shared" si="9"/>
        <v>1.814614701844218E-2</v>
      </c>
      <c r="K42" s="9">
        <f t="shared" si="5"/>
        <v>3.3200990164818908E-2</v>
      </c>
      <c r="L42" s="15"/>
      <c r="M42" s="9">
        <f t="shared" si="6"/>
        <v>0.35769759959114805</v>
      </c>
      <c r="N42" s="9">
        <f t="shared" si="3"/>
        <v>1.4300331124900085</v>
      </c>
    </row>
    <row r="43" spans="1:14" x14ac:dyDescent="0.3">
      <c r="A43" s="8">
        <v>1988</v>
      </c>
      <c r="B43" s="9">
        <f>Data!Z43</f>
        <v>3.5917632579803467</v>
      </c>
      <c r="C43" s="9">
        <f>Data!AC43</f>
        <v>5.0646696090698242</v>
      </c>
      <c r="D43" s="9">
        <f>Data!AF43</f>
        <v>1.4036611318588257</v>
      </c>
      <c r="E43" s="14"/>
      <c r="F43" s="9">
        <f t="shared" si="4"/>
        <v>0.56284594535827637</v>
      </c>
      <c r="G43" s="14"/>
      <c r="H43" s="9">
        <f t="shared" si="7"/>
        <v>4.2822640740362426E-2</v>
      </c>
      <c r="I43" s="9">
        <f t="shared" si="8"/>
        <v>-7.0991918533664983E-4</v>
      </c>
      <c r="J43" s="9">
        <f t="shared" si="9"/>
        <v>3.9494865801045061E-2</v>
      </c>
      <c r="K43" s="9">
        <f t="shared" si="5"/>
        <v>2.0903459712112823E-2</v>
      </c>
      <c r="L43" s="15"/>
      <c r="M43" s="9">
        <f t="shared" si="6"/>
        <v>0.37860105930326088</v>
      </c>
      <c r="N43" s="9">
        <f t="shared" si="3"/>
        <v>1.4602403702159634</v>
      </c>
    </row>
    <row r="44" spans="1:14" x14ac:dyDescent="0.3">
      <c r="A44" s="8">
        <v>1989</v>
      </c>
      <c r="B44" s="9">
        <f>Data!Z44</f>
        <v>3.6445736885070801</v>
      </c>
      <c r="C44" s="9">
        <f>Data!AC44</f>
        <v>5.1489987373352051</v>
      </c>
      <c r="D44" s="9">
        <f>Data!AF44</f>
        <v>1.4126372337341309</v>
      </c>
      <c r="E44" s="14"/>
      <c r="F44" s="9">
        <f t="shared" si="4"/>
        <v>0.56284594535827637</v>
      </c>
      <c r="G44" s="14"/>
      <c r="H44" s="9">
        <f t="shared" si="7"/>
        <v>1.4596160601670573E-2</v>
      </c>
      <c r="I44" s="9">
        <f t="shared" si="8"/>
        <v>1.6513370459181879E-2</v>
      </c>
      <c r="J44" s="9">
        <f t="shared" si="9"/>
        <v>6.3744185480732393E-3</v>
      </c>
      <c r="K44" s="9">
        <f t="shared" si="5"/>
        <v>3.7894581158387395E-3</v>
      </c>
      <c r="L44" s="15"/>
      <c r="M44" s="9">
        <f t="shared" si="6"/>
        <v>0.38239051741909963</v>
      </c>
      <c r="N44" s="9">
        <f t="shared" si="3"/>
        <v>1.4657843877146699</v>
      </c>
    </row>
    <row r="45" spans="1:14" x14ac:dyDescent="0.3">
      <c r="A45" s="8">
        <v>1990</v>
      </c>
      <c r="B45" s="9">
        <f>Data!Z45</f>
        <v>3.6505122184753418</v>
      </c>
      <c r="C45" s="9">
        <f>Data!AC45</f>
        <v>5.2593202590942383</v>
      </c>
      <c r="D45" s="9">
        <f>Data!AF45</f>
        <v>1.4026949405670166</v>
      </c>
      <c r="E45" s="14"/>
      <c r="F45" s="9">
        <f t="shared" si="4"/>
        <v>0.56284594535827637</v>
      </c>
      <c r="G45" s="14"/>
      <c r="H45" s="9">
        <f t="shared" si="7"/>
        <v>1.6280908424504842E-3</v>
      </c>
      <c r="I45" s="9">
        <f t="shared" si="8"/>
        <v>2.1199514251113379E-2</v>
      </c>
      <c r="J45" s="9">
        <f t="shared" si="9"/>
        <v>-7.0629921325002579E-3</v>
      </c>
      <c r="K45" s="9">
        <f t="shared" si="5"/>
        <v>-3.6639862849835569E-3</v>
      </c>
      <c r="L45" s="15"/>
      <c r="M45" s="9">
        <f t="shared" si="6"/>
        <v>0.37872653113411608</v>
      </c>
      <c r="N45" s="9">
        <f t="shared" si="3"/>
        <v>1.4604236007435976</v>
      </c>
    </row>
    <row r="46" spans="1:14" x14ac:dyDescent="0.3">
      <c r="A46" s="8">
        <v>1991</v>
      </c>
      <c r="B46" s="9">
        <f>Data!Z46</f>
        <v>3.5812723636627197</v>
      </c>
      <c r="C46" s="9">
        <f>Data!AC46</f>
        <v>5.3583378791809082</v>
      </c>
      <c r="D46" s="9">
        <f>Data!AF46</f>
        <v>1.352910041809082</v>
      </c>
      <c r="E46" s="14"/>
      <c r="F46" s="9">
        <f t="shared" si="4"/>
        <v>0.56284594535827637</v>
      </c>
      <c r="G46" s="14"/>
      <c r="H46" s="9">
        <f t="shared" si="7"/>
        <v>-1.9149345463209014E-2</v>
      </c>
      <c r="I46" s="9">
        <f t="shared" si="8"/>
        <v>1.8652039735059946E-2</v>
      </c>
      <c r="J46" s="9">
        <f t="shared" si="9"/>
        <v>-3.6137484780248405E-2</v>
      </c>
      <c r="K46" s="9">
        <f t="shared" si="5"/>
        <v>-6.9633234767197717E-3</v>
      </c>
      <c r="L46" s="15"/>
      <c r="M46" s="9">
        <f t="shared" si="6"/>
        <v>0.37176320765739629</v>
      </c>
      <c r="N46" s="9">
        <f t="shared" si="3"/>
        <v>1.450289523176991</v>
      </c>
    </row>
    <row r="47" spans="1:14" x14ac:dyDescent="0.3">
      <c r="A47" s="8">
        <v>1992</v>
      </c>
      <c r="B47" s="9">
        <f>Data!Z47</f>
        <v>3.697364330291748</v>
      </c>
      <c r="C47" s="9">
        <f>Data!AC47</f>
        <v>5.4644527435302734</v>
      </c>
      <c r="D47" s="9">
        <f>Data!AF47</f>
        <v>1.3496688604354858</v>
      </c>
      <c r="E47" s="14"/>
      <c r="F47" s="9">
        <f t="shared" si="4"/>
        <v>0.56284594535827637</v>
      </c>
      <c r="G47" s="14"/>
      <c r="H47" s="9">
        <f t="shared" si="7"/>
        <v>3.190207653466004E-2</v>
      </c>
      <c r="I47" s="9">
        <f t="shared" si="8"/>
        <v>1.9610148368604682E-2</v>
      </c>
      <c r="J47" s="9">
        <f t="shared" si="9"/>
        <v>-2.3985852363736519E-3</v>
      </c>
      <c r="K47" s="9">
        <f t="shared" si="5"/>
        <v>2.4679454638087853E-2</v>
      </c>
      <c r="L47" s="15"/>
      <c r="M47" s="9">
        <f t="shared" si="6"/>
        <v>0.39644266229548414</v>
      </c>
      <c r="N47" s="9">
        <f t="shared" si="3"/>
        <v>1.4865272014737474</v>
      </c>
    </row>
    <row r="48" spans="1:14" x14ac:dyDescent="0.3">
      <c r="A48" s="8">
        <v>1993</v>
      </c>
      <c r="B48" s="9">
        <f>Data!Z48</f>
        <v>3.7805240154266357</v>
      </c>
      <c r="C48" s="9">
        <f>Data!AC48</f>
        <v>5.581937313079834</v>
      </c>
      <c r="D48" s="9">
        <f>Data!AF48</f>
        <v>1.3728379011154175</v>
      </c>
      <c r="E48" s="14"/>
      <c r="F48" s="9">
        <f t="shared" si="4"/>
        <v>0.56284594535827637</v>
      </c>
      <c r="G48" s="14"/>
      <c r="H48" s="9">
        <f t="shared" si="7"/>
        <v>2.2242405794368661E-2</v>
      </c>
      <c r="I48" s="9">
        <f t="shared" si="8"/>
        <v>2.1271926667640099E-2</v>
      </c>
      <c r="J48" s="9">
        <f t="shared" si="9"/>
        <v>1.7020784195949632E-2</v>
      </c>
      <c r="K48" s="9">
        <f t="shared" si="5"/>
        <v>3.3632174300599026E-3</v>
      </c>
      <c r="L48" s="15"/>
      <c r="M48" s="9">
        <f t="shared" si="6"/>
        <v>0.39980587972554404</v>
      </c>
      <c r="N48" s="9">
        <f t="shared" si="3"/>
        <v>1.4915351323276824</v>
      </c>
    </row>
    <row r="49" spans="1:14" x14ac:dyDescent="0.3">
      <c r="A49" s="8">
        <v>1994</v>
      </c>
      <c r="B49" s="9">
        <f>Data!Z49</f>
        <v>4.0222072601318359</v>
      </c>
      <c r="C49" s="9">
        <f>Data!AC49</f>
        <v>5.7040791511535645</v>
      </c>
      <c r="D49" s="9">
        <f>Data!AF49</f>
        <v>1.4140087366104126</v>
      </c>
      <c r="E49" s="14"/>
      <c r="F49" s="9">
        <f t="shared" si="4"/>
        <v>0.56284594535827637</v>
      </c>
      <c r="G49" s="14"/>
      <c r="H49" s="9">
        <f t="shared" si="7"/>
        <v>6.196819318865171E-2</v>
      </c>
      <c r="I49" s="9">
        <f t="shared" si="8"/>
        <v>2.1645654584019403E-2</v>
      </c>
      <c r="J49" s="9">
        <f t="shared" si="9"/>
        <v>2.95486881129867E-2</v>
      </c>
      <c r="K49" s="9">
        <f t="shared" si="5"/>
        <v>3.5874348226822554E-2</v>
      </c>
      <c r="L49" s="15"/>
      <c r="M49" s="9">
        <f t="shared" si="6"/>
        <v>0.43568022795236661</v>
      </c>
      <c r="N49" s="9">
        <f t="shared" si="3"/>
        <v>1.5460143435254508</v>
      </c>
    </row>
    <row r="50" spans="1:14" x14ac:dyDescent="0.3">
      <c r="A50" s="8">
        <v>1995</v>
      </c>
      <c r="B50" s="9">
        <f>Data!Z50</f>
        <v>4.1044392585754395</v>
      </c>
      <c r="C50" s="9">
        <f>Data!AC50</f>
        <v>5.8766236305236816</v>
      </c>
      <c r="D50" s="9">
        <f>Data!AF50</f>
        <v>1.4318298101425171</v>
      </c>
      <c r="E50" s="14"/>
      <c r="F50" s="9">
        <f t="shared" si="4"/>
        <v>0.56284594535827637</v>
      </c>
      <c r="G50" s="14"/>
      <c r="H50" s="9">
        <f t="shared" si="7"/>
        <v>2.0238312325738424E-2</v>
      </c>
      <c r="I50" s="9">
        <f t="shared" si="8"/>
        <v>2.9800825046265949E-2</v>
      </c>
      <c r="J50" s="9">
        <f t="shared" si="9"/>
        <v>1.2524467704863399E-2</v>
      </c>
      <c r="K50" s="9">
        <f t="shared" si="5"/>
        <v>1.6141495964159137E-4</v>
      </c>
      <c r="L50" s="15"/>
      <c r="M50" s="9">
        <f t="shared" si="6"/>
        <v>0.43584164291200822</v>
      </c>
      <c r="N50" s="9">
        <f t="shared" si="3"/>
        <v>1.546263913509939</v>
      </c>
    </row>
    <row r="51" spans="1:14" x14ac:dyDescent="0.3">
      <c r="A51" s="8">
        <v>1996</v>
      </c>
      <c r="B51" s="9">
        <f>Data!Z51</f>
        <v>4.2611603736877441</v>
      </c>
      <c r="C51" s="9">
        <f>Data!AC51</f>
        <v>6.0986032485961914</v>
      </c>
      <c r="D51" s="9">
        <f>Data!AF51</f>
        <v>1.4549505710601807</v>
      </c>
      <c r="E51" s="14"/>
      <c r="F51" s="9">
        <f t="shared" si="4"/>
        <v>0.56284594535827637</v>
      </c>
      <c r="G51" s="14"/>
      <c r="H51" s="9">
        <f t="shared" si="7"/>
        <v>3.7472377422362861E-2</v>
      </c>
      <c r="I51" s="9">
        <f t="shared" si="8"/>
        <v>3.7077384828941851E-2</v>
      </c>
      <c r="J51" s="9">
        <f t="shared" si="9"/>
        <v>1.6018714456786994E-2</v>
      </c>
      <c r="K51" s="9">
        <f t="shared" si="5"/>
        <v>1.2247779827024836E-2</v>
      </c>
      <c r="L51" s="15"/>
      <c r="M51" s="9">
        <f t="shared" si="6"/>
        <v>0.44808942273903307</v>
      </c>
      <c r="N51" s="9">
        <f t="shared" si="3"/>
        <v>1.5653186644776678</v>
      </c>
    </row>
    <row r="52" spans="1:14" x14ac:dyDescent="0.3">
      <c r="A52" s="8">
        <v>1997</v>
      </c>
      <c r="B52" s="9">
        <f>Data!Z52</f>
        <v>4.4793763160705566</v>
      </c>
      <c r="C52" s="9">
        <f>Data!AC52</f>
        <v>6.350071907043457</v>
      </c>
      <c r="D52" s="9">
        <f>Data!AF52</f>
        <v>1.4870531558990479</v>
      </c>
      <c r="E52" s="14"/>
      <c r="F52" s="9">
        <f t="shared" si="4"/>
        <v>0.56284594535827637</v>
      </c>
      <c r="G52" s="14"/>
      <c r="H52" s="9">
        <f t="shared" si="7"/>
        <v>4.9942310192778665E-2</v>
      </c>
      <c r="I52" s="9">
        <f t="shared" si="8"/>
        <v>4.0406367463963679E-2</v>
      </c>
      <c r="J52" s="9">
        <f t="shared" si="9"/>
        <v>2.1824485646656025E-2</v>
      </c>
      <c r="K52" s="9">
        <f t="shared" si="5"/>
        <v>1.9994679566813275E-2</v>
      </c>
      <c r="L52" s="15"/>
      <c r="M52" s="9">
        <f t="shared" si="6"/>
        <v>0.46808410230584635</v>
      </c>
      <c r="N52" s="9">
        <f t="shared" si="3"/>
        <v>1.5969317026779783</v>
      </c>
    </row>
    <row r="53" spans="1:14" x14ac:dyDescent="0.3">
      <c r="A53" s="8">
        <v>1998</v>
      </c>
      <c r="B53" s="9">
        <f>Data!Z53</f>
        <v>4.6318740844726563</v>
      </c>
      <c r="C53" s="9">
        <f>Data!AC53</f>
        <v>6.6430439949035645</v>
      </c>
      <c r="D53" s="9">
        <f>Data!AF53</f>
        <v>1.4983969926834106</v>
      </c>
      <c r="E53" s="14"/>
      <c r="F53" s="9">
        <f t="shared" si="4"/>
        <v>0.56284594535827637</v>
      </c>
      <c r="G53" s="14"/>
      <c r="H53" s="9">
        <f t="shared" si="7"/>
        <v>3.3477734492683209E-2</v>
      </c>
      <c r="I53" s="9">
        <f t="shared" si="8"/>
        <v>4.5104154623121499E-2</v>
      </c>
      <c r="J53" s="9">
        <f t="shared" si="9"/>
        <v>7.5994512140683361E-3</v>
      </c>
      <c r="K53" s="9">
        <f t="shared" si="5"/>
        <v>9.482950115212007E-3</v>
      </c>
      <c r="L53" s="15"/>
      <c r="M53" s="9">
        <f t="shared" si="6"/>
        <v>0.47756705242105835</v>
      </c>
      <c r="N53" s="9">
        <f t="shared" si="3"/>
        <v>1.6121473569733598</v>
      </c>
    </row>
    <row r="54" spans="1:14" x14ac:dyDescent="0.3">
      <c r="A54" s="8">
        <v>1999</v>
      </c>
      <c r="B54" s="9">
        <f>Data!Z54</f>
        <v>4.8693370819091797</v>
      </c>
      <c r="C54" s="9">
        <f>Data!AC54</f>
        <v>6.9041862487792969</v>
      </c>
      <c r="D54" s="9">
        <f>Data!AF54</f>
        <v>1.5101708173751831</v>
      </c>
      <c r="E54" s="14"/>
      <c r="F54" s="9">
        <f t="shared" si="4"/>
        <v>0.56284594535827637</v>
      </c>
      <c r="G54" s="14"/>
      <c r="H54" s="9">
        <f t="shared" si="7"/>
        <v>4.9996248952266294E-2</v>
      </c>
      <c r="I54" s="9">
        <f t="shared" si="8"/>
        <v>3.8557638947703032E-2</v>
      </c>
      <c r="J54" s="9">
        <f t="shared" si="9"/>
        <v>7.8269033911293178E-3</v>
      </c>
      <c r="K54" s="9">
        <f t="shared" si="5"/>
        <v>2.873527991045819E-2</v>
      </c>
      <c r="L54" s="15"/>
      <c r="M54" s="9">
        <f t="shared" si="6"/>
        <v>0.50630233233151656</v>
      </c>
      <c r="N54" s="9">
        <f t="shared" si="3"/>
        <v>1.6591448720685078</v>
      </c>
    </row>
    <row r="55" spans="1:14" x14ac:dyDescent="0.3">
      <c r="A55" s="8">
        <v>2000</v>
      </c>
      <c r="B55" s="9">
        <f>Data!Z55</f>
        <v>5.1124029159545898</v>
      </c>
      <c r="C55" s="9">
        <f>Data!AC55</f>
        <v>7.0885787010192871</v>
      </c>
      <c r="D55" s="9">
        <f>Data!AF55</f>
        <v>1.5151858329772949</v>
      </c>
      <c r="E55" s="14"/>
      <c r="F55" s="9">
        <f t="shared" si="4"/>
        <v>0.56284594535827637</v>
      </c>
      <c r="G55" s="14"/>
      <c r="H55" s="9">
        <f t="shared" si="7"/>
        <v>4.8711726626591005E-2</v>
      </c>
      <c r="I55" s="9">
        <f t="shared" si="8"/>
        <v>2.6356924792497495E-2</v>
      </c>
      <c r="J55" s="9">
        <f t="shared" si="9"/>
        <v>3.3153249518675151E-3</v>
      </c>
      <c r="K55" s="9">
        <f t="shared" si="5"/>
        <v>3.5323672878959995E-2</v>
      </c>
      <c r="L55" s="15"/>
      <c r="M55" s="9">
        <f t="shared" si="6"/>
        <v>0.54162600521047655</v>
      </c>
      <c r="N55" s="9">
        <f t="shared" si="3"/>
        <v>1.7187993679832165</v>
      </c>
    </row>
    <row r="56" spans="1:14" x14ac:dyDescent="0.3">
      <c r="A56" s="8">
        <v>2001</v>
      </c>
      <c r="B56" s="9">
        <f>Data!Z56</f>
        <v>4.9205679893493652</v>
      </c>
      <c r="C56" s="9">
        <f>Data!AC56</f>
        <v>7.229860782623291</v>
      </c>
      <c r="D56" s="9">
        <f>Data!AF56</f>
        <v>1.4681128263473511</v>
      </c>
      <c r="E56" s="14"/>
      <c r="F56" s="9">
        <f t="shared" si="4"/>
        <v>0.56284594535827637</v>
      </c>
      <c r="G56" s="14"/>
      <c r="H56" s="9">
        <f t="shared" si="7"/>
        <v>-3.8245562813616817E-2</v>
      </c>
      <c r="I56" s="9">
        <f t="shared" si="8"/>
        <v>1.973492532217435E-2</v>
      </c>
      <c r="J56" s="9">
        <f t="shared" si="9"/>
        <v>-3.1560309046372644E-2</v>
      </c>
      <c r="K56" s="9">
        <f t="shared" si="5"/>
        <v>-2.9109173455251984E-2</v>
      </c>
      <c r="L56" s="15"/>
      <c r="M56" s="9">
        <f t="shared" si="6"/>
        <v>0.51251683175522456</v>
      </c>
      <c r="N56" s="9">
        <f t="shared" si="3"/>
        <v>1.6694877314800012</v>
      </c>
    </row>
    <row r="57" spans="1:14" x14ac:dyDescent="0.3">
      <c r="A57" s="8">
        <v>2002</v>
      </c>
      <c r="B57" s="9">
        <f>Data!Z57</f>
        <v>4.9539484977722168</v>
      </c>
      <c r="C57" s="9">
        <f>Data!AC57</f>
        <v>7.331575870513916</v>
      </c>
      <c r="D57" s="9">
        <f>Data!AF57</f>
        <v>1.4039397239685059</v>
      </c>
      <c r="E57" s="14"/>
      <c r="F57" s="9">
        <f t="shared" si="4"/>
        <v>0.56284594535827637</v>
      </c>
      <c r="G57" s="14"/>
      <c r="H57" s="9">
        <f t="shared" si="7"/>
        <v>6.7609660928821379E-3</v>
      </c>
      <c r="I57" s="9">
        <f t="shared" si="8"/>
        <v>1.3970701477929918E-2</v>
      </c>
      <c r="J57" s="9">
        <f t="shared" si="9"/>
        <v>-4.469541138813931E-2</v>
      </c>
      <c r="K57" s="9">
        <f t="shared" si="5"/>
        <v>2.5810248371550295E-2</v>
      </c>
      <c r="L57" s="15"/>
      <c r="M57" s="9">
        <f t="shared" si="6"/>
        <v>0.53832708012677488</v>
      </c>
      <c r="N57" s="9">
        <f t="shared" si="3"/>
        <v>1.7131385201246963</v>
      </c>
    </row>
    <row r="58" spans="1:14" x14ac:dyDescent="0.3">
      <c r="A58" s="8">
        <v>2003</v>
      </c>
      <c r="B58" s="9">
        <f>Data!Z58</f>
        <v>5.1064586639404297</v>
      </c>
      <c r="C58" s="9">
        <f>Data!AC58</f>
        <v>7.382317066192627</v>
      </c>
      <c r="D58" s="9">
        <f>Data!AF58</f>
        <v>1.3568639755249023</v>
      </c>
      <c r="E58" s="14"/>
      <c r="F58" s="9">
        <f t="shared" si="4"/>
        <v>0.56284594535827637</v>
      </c>
      <c r="G58" s="14"/>
      <c r="H58" s="9">
        <f t="shared" si="7"/>
        <v>3.0321208286879328E-2</v>
      </c>
      <c r="I58" s="9">
        <f t="shared" si="8"/>
        <v>6.8970729964876343E-3</v>
      </c>
      <c r="J58" s="9">
        <f t="shared" si="9"/>
        <v>-3.4106236319293742E-2</v>
      </c>
      <c r="K58" s="9">
        <f t="shared" si="5"/>
        <v>4.6502681685050479E-2</v>
      </c>
      <c r="L58" s="15"/>
      <c r="M58" s="9">
        <f t="shared" si="6"/>
        <v>0.58482976181182533</v>
      </c>
      <c r="N58" s="9">
        <f t="shared" si="3"/>
        <v>1.7946854356355924</v>
      </c>
    </row>
    <row r="59" spans="1:14" x14ac:dyDescent="0.3">
      <c r="A59" s="8">
        <v>2004</v>
      </c>
      <c r="B59" s="9">
        <f>Data!Z59</f>
        <v>5.3833255767822266</v>
      </c>
      <c r="C59" s="9">
        <f>Data!AC59</f>
        <v>7.4532208442687988</v>
      </c>
      <c r="D59" s="9">
        <f>Data!AF59</f>
        <v>1.3787628412246704</v>
      </c>
      <c r="E59" s="14"/>
      <c r="F59" s="9">
        <f t="shared" si="4"/>
        <v>0.56284594535827637</v>
      </c>
      <c r="G59" s="14"/>
      <c r="H59" s="9">
        <f t="shared" si="7"/>
        <v>5.2800176943684343E-2</v>
      </c>
      <c r="I59" s="9">
        <f t="shared" si="8"/>
        <v>9.5587121101273452E-3</v>
      </c>
      <c r="J59" s="9">
        <f t="shared" si="9"/>
        <v>1.6010468497395482E-2</v>
      </c>
      <c r="K59" s="9">
        <f t="shared" si="5"/>
        <v>3.9610119910543765E-2</v>
      </c>
      <c r="L59" s="15"/>
      <c r="M59" s="9">
        <f t="shared" si="6"/>
        <v>0.62443988172236908</v>
      </c>
      <c r="N59" s="9">
        <f t="shared" si="3"/>
        <v>1.8671998117343687</v>
      </c>
    </row>
    <row r="60" spans="1:14" x14ac:dyDescent="0.3">
      <c r="A60" s="8">
        <v>2005</v>
      </c>
      <c r="B60" s="9">
        <f>Data!Z60</f>
        <v>5.4303011894226074</v>
      </c>
      <c r="C60" s="9">
        <f>Data!AC60</f>
        <v>7.5717296600341797</v>
      </c>
      <c r="D60" s="9">
        <f>Data!AF60</f>
        <v>1.4021952152252197</v>
      </c>
      <c r="E60" s="14"/>
      <c r="F60" s="9">
        <f t="shared" si="4"/>
        <v>0.56284594535827637</v>
      </c>
      <c r="G60" s="14"/>
      <c r="H60" s="9">
        <f t="shared" si="7"/>
        <v>8.6882799187641725E-3</v>
      </c>
      <c r="I60" s="9">
        <f t="shared" si="8"/>
        <v>1.5775263071376472E-2</v>
      </c>
      <c r="J60" s="9">
        <f t="shared" si="9"/>
        <v>1.6852414237107337E-2</v>
      </c>
      <c r="K60" s="9">
        <f t="shared" si="5"/>
        <v>-7.6932533187818583E-3</v>
      </c>
      <c r="L60" s="15"/>
      <c r="M60" s="9">
        <f t="shared" si="6"/>
        <v>0.61674662840358718</v>
      </c>
      <c r="N60" s="9">
        <f t="shared" si="3"/>
        <v>1.852890085339016</v>
      </c>
    </row>
    <row r="61" spans="1:14" x14ac:dyDescent="0.3">
      <c r="A61" s="8">
        <v>2006</v>
      </c>
      <c r="B61" s="9">
        <f>Data!Z61</f>
        <v>5.6408205032348633</v>
      </c>
      <c r="C61" s="9">
        <f>Data!AC61</f>
        <v>7.7608857154846191</v>
      </c>
      <c r="D61" s="9">
        <f>Data!AF61</f>
        <v>1.4398348331451416</v>
      </c>
      <c r="E61" s="14"/>
      <c r="F61" s="9">
        <f t="shared" si="4"/>
        <v>0.56284594535827637</v>
      </c>
      <c r="G61" s="14"/>
      <c r="H61" s="9">
        <f t="shared" si="7"/>
        <v>3.8034934152967187E-2</v>
      </c>
      <c r="I61" s="9">
        <f t="shared" si="8"/>
        <v>2.4674936149438404E-2</v>
      </c>
      <c r="J61" s="9">
        <f t="shared" si="9"/>
        <v>2.6489388353813845E-2</v>
      </c>
      <c r="K61" s="9">
        <f t="shared" si="5"/>
        <v>1.233874093724968E-2</v>
      </c>
      <c r="L61" s="15"/>
      <c r="M61" s="9">
        <f t="shared" si="6"/>
        <v>0.62908536934083681</v>
      </c>
      <c r="N61" s="9">
        <f t="shared" si="3"/>
        <v>1.8758940441800505</v>
      </c>
    </row>
    <row r="62" spans="1:14" x14ac:dyDescent="0.3">
      <c r="A62" s="8">
        <v>2007</v>
      </c>
      <c r="B62" s="9">
        <f>Data!Z62</f>
        <v>5.7021651268005371</v>
      </c>
      <c r="C62" s="9">
        <f>Data!AC62</f>
        <v>7.9950990676879883</v>
      </c>
      <c r="D62" s="9">
        <f>Data!AF62</f>
        <v>1.4242894649505615</v>
      </c>
      <c r="E62" s="14"/>
      <c r="F62" s="9">
        <f t="shared" si="4"/>
        <v>0.56284594535827637</v>
      </c>
      <c r="G62" s="14"/>
      <c r="H62" s="9">
        <f t="shared" si="7"/>
        <v>1.0816415298238668E-2</v>
      </c>
      <c r="I62" s="9">
        <f t="shared" si="8"/>
        <v>2.9732271139456749E-2</v>
      </c>
      <c r="J62" s="9">
        <f t="shared" si="9"/>
        <v>-1.0855339524233775E-2</v>
      </c>
      <c r="K62" s="9">
        <f t="shared" si="5"/>
        <v>3.9287162526204702E-3</v>
      </c>
      <c r="L62" s="15"/>
      <c r="M62" s="9">
        <f t="shared" si="6"/>
        <v>0.63301408559345729</v>
      </c>
      <c r="N62" s="9">
        <f t="shared" si="3"/>
        <v>1.8832783956123547</v>
      </c>
    </row>
    <row r="63" spans="1:14" x14ac:dyDescent="0.3">
      <c r="A63" s="8">
        <v>2008</v>
      </c>
      <c r="B63" s="9">
        <f>Data!Z63</f>
        <v>5.5270705223083496</v>
      </c>
      <c r="C63" s="9">
        <f>Data!AC63</f>
        <v>8.2383127212524414</v>
      </c>
      <c r="D63" s="9">
        <f>Data!AF63</f>
        <v>1.3953673839569092</v>
      </c>
      <c r="E63" s="14"/>
      <c r="F63" s="9">
        <f t="shared" si="4"/>
        <v>0.56284594535827637</v>
      </c>
      <c r="G63" s="14"/>
      <c r="H63" s="9">
        <f t="shared" si="7"/>
        <v>-3.1188017154512089E-2</v>
      </c>
      <c r="I63" s="9">
        <f t="shared" si="8"/>
        <v>2.9966818700843795E-2</v>
      </c>
      <c r="J63" s="9">
        <f t="shared" si="9"/>
        <v>-2.0515330004468431E-2</v>
      </c>
      <c r="K63" s="9">
        <f t="shared" si="5"/>
        <v>-3.2741163143597339E-2</v>
      </c>
      <c r="L63" s="15"/>
      <c r="M63" s="9">
        <f t="shared" si="6"/>
        <v>0.60027292244985997</v>
      </c>
      <c r="N63" s="9">
        <f t="shared" si="3"/>
        <v>1.8226161653853967</v>
      </c>
    </row>
    <row r="64" spans="1:14" x14ac:dyDescent="0.3">
      <c r="A64" s="8">
        <v>2009</v>
      </c>
      <c r="B64" s="9">
        <f>Data!Z64</f>
        <v>5.2170701026916504</v>
      </c>
      <c r="C64" s="9">
        <f>Data!AC64</f>
        <v>8.3436031341552734</v>
      </c>
      <c r="D64" s="9">
        <f>Data!AF64</f>
        <v>1.237369179725647</v>
      </c>
      <c r="E64" s="14"/>
      <c r="F64" s="9">
        <f t="shared" si="4"/>
        <v>0.56284594535827637</v>
      </c>
      <c r="G64" s="14"/>
      <c r="H64" s="9">
        <f t="shared" si="7"/>
        <v>-5.7721971062559128E-2</v>
      </c>
      <c r="I64" s="9">
        <f t="shared" si="8"/>
        <v>1.2699597431121291E-2</v>
      </c>
      <c r="J64" s="9">
        <f t="shared" si="9"/>
        <v>-0.12017024175634207</v>
      </c>
      <c r="K64" s="9">
        <f t="shared" si="5"/>
        <v>4.3636817533895395E-3</v>
      </c>
      <c r="L64" s="15"/>
      <c r="M64" s="9">
        <f t="shared" si="6"/>
        <v>0.60463660420324949</v>
      </c>
      <c r="N64" s="9">
        <f t="shared" si="3"/>
        <v>1.8305868604300122</v>
      </c>
    </row>
    <row r="65" spans="1:14" x14ac:dyDescent="0.3">
      <c r="A65" s="8">
        <v>2010</v>
      </c>
      <c r="B65" s="9">
        <f>Data!Z65</f>
        <v>5.348121166229248</v>
      </c>
      <c r="C65" s="9">
        <f>Data!AC65</f>
        <v>8.3235874176025391</v>
      </c>
      <c r="D65" s="9">
        <f>Data!AF65</f>
        <v>1.2237251996994019</v>
      </c>
      <c r="E65" s="14"/>
      <c r="F65" s="9">
        <f t="shared" si="4"/>
        <v>0.56284594535827637</v>
      </c>
      <c r="G65" s="14"/>
      <c r="H65" s="9">
        <f t="shared" si="7"/>
        <v>2.480935403902099E-2</v>
      </c>
      <c r="I65" s="9">
        <f t="shared" si="8"/>
        <v>-2.4018116445757324E-3</v>
      </c>
      <c r="J65" s="9">
        <f t="shared" si="9"/>
        <v>-1.1087847685173305E-2</v>
      </c>
      <c r="K65" s="9">
        <f t="shared" si="5"/>
        <v>3.2100065850282924E-2</v>
      </c>
      <c r="L65" s="15"/>
      <c r="M65" s="9">
        <f t="shared" si="6"/>
        <v>0.63673667005353241</v>
      </c>
      <c r="N65" s="9">
        <f t="shared" si="3"/>
        <v>1.8903021236011681</v>
      </c>
    </row>
    <row r="66" spans="1:14" x14ac:dyDescent="0.3">
      <c r="A66" s="8">
        <v>2011</v>
      </c>
      <c r="B66" s="9">
        <f>Data!Z66</f>
        <v>5.3872261047363281</v>
      </c>
      <c r="C66" s="9">
        <f>Data!AC66</f>
        <v>8.4123077392578125</v>
      </c>
      <c r="D66" s="9">
        <f>Data!AF66</f>
        <v>1.2480484247207642</v>
      </c>
      <c r="E66" s="14"/>
      <c r="F66" s="9">
        <f t="shared" si="4"/>
        <v>0.56284594535827637</v>
      </c>
      <c r="G66" s="14"/>
      <c r="H66" s="9">
        <f t="shared" si="7"/>
        <v>7.2852997634282341E-3</v>
      </c>
      <c r="I66" s="9">
        <f t="shared" si="8"/>
        <v>1.0602498633241461E-2</v>
      </c>
      <c r="J66" s="9">
        <f t="shared" si="9"/>
        <v>1.9681422219577836E-2</v>
      </c>
      <c r="K66" s="9">
        <f t="shared" si="5"/>
        <v>-8.4272341986002773E-3</v>
      </c>
      <c r="L66" s="15"/>
      <c r="M66" s="9">
        <f t="shared" si="6"/>
        <v>0.62830943585493215</v>
      </c>
      <c r="N66" s="9">
        <f t="shared" si="3"/>
        <v>1.8744390397414965</v>
      </c>
    </row>
    <row r="67" spans="1:14" x14ac:dyDescent="0.3">
      <c r="A67" s="8">
        <v>2012</v>
      </c>
      <c r="B67" s="9">
        <f>Data!Z67</f>
        <v>5.4642338752746582</v>
      </c>
      <c r="C67" s="9">
        <f>Data!AC67</f>
        <v>8.5398530960083008</v>
      </c>
      <c r="D67" s="9">
        <f>Data!AF67</f>
        <v>1.2823357582092285</v>
      </c>
      <c r="E67" s="14"/>
      <c r="F67" s="9">
        <f t="shared" si="4"/>
        <v>0.56284594535827637</v>
      </c>
      <c r="G67" s="14"/>
      <c r="H67" s="9">
        <f t="shared" ref="H67:H72" si="10">LN(B67/B66)</f>
        <v>1.4193309184931302E-2</v>
      </c>
      <c r="I67" s="9">
        <f t="shared" ref="I67:I72" si="11">LN(C67/C66)</f>
        <v>1.5047965244680276E-2</v>
      </c>
      <c r="J67" s="9">
        <f t="shared" ref="J67:J72" si="12">LN(D67/D66)</f>
        <v>2.7102155033391546E-2</v>
      </c>
      <c r="K67" s="9">
        <f t="shared" si="5"/>
        <v>-7.6393079069042502E-3</v>
      </c>
      <c r="L67" s="15"/>
      <c r="M67" s="9">
        <f t="shared" si="6"/>
        <v>0.62067012794802789</v>
      </c>
      <c r="N67" s="9">
        <f t="shared" ref="N67:N71" si="13">EXP(M67)</f>
        <v>1.8601741789695789</v>
      </c>
    </row>
    <row r="68" spans="1:14" x14ac:dyDescent="0.3">
      <c r="A68" s="8">
        <v>2013</v>
      </c>
      <c r="B68" s="9">
        <f>Data!Z68</f>
        <v>5.6457748413085938</v>
      </c>
      <c r="C68" s="9">
        <f>Data!AC68</f>
        <v>8.7107734680175781</v>
      </c>
      <c r="D68" s="9">
        <f>Data!AF68</f>
        <v>1.3157345056533813</v>
      </c>
      <c r="E68" s="14"/>
      <c r="F68" s="9">
        <f t="shared" ref="F68:F78" si="14">F67</f>
        <v>0.56284594535827637</v>
      </c>
      <c r="G68" s="14"/>
      <c r="H68" s="9">
        <f t="shared" si="10"/>
        <v>3.2683525412728058E-2</v>
      </c>
      <c r="I68" s="9">
        <f t="shared" si="11"/>
        <v>1.9816783439989886E-2</v>
      </c>
      <c r="J68" s="9">
        <f t="shared" si="12"/>
        <v>2.5711843038259651E-2</v>
      </c>
      <c r="K68" s="9">
        <f t="shared" ref="K68:K72" si="15">H68-(1-F68)*I68-F68*J68</f>
        <v>9.5487315802066462E-3</v>
      </c>
      <c r="L68" s="15"/>
      <c r="M68" s="9">
        <f t="shared" ref="M68:M72" si="16">M67+K68</f>
        <v>0.63021885952823453</v>
      </c>
      <c r="N68" s="9">
        <f t="shared" si="13"/>
        <v>1.8780215572015073</v>
      </c>
    </row>
    <row r="69" spans="1:14" x14ac:dyDescent="0.3">
      <c r="A69" s="8">
        <v>2014</v>
      </c>
      <c r="B69" s="9">
        <f>Data!Z69</f>
        <v>5.7472414970397949</v>
      </c>
      <c r="C69" s="9">
        <f>Data!AC69</f>
        <v>8.90216064453125</v>
      </c>
      <c r="D69" s="9">
        <f>Data!AF69</f>
        <v>1.345181941986084</v>
      </c>
      <c r="E69" s="14"/>
      <c r="F69" s="9">
        <f t="shared" si="14"/>
        <v>0.56284594535827637</v>
      </c>
      <c r="G69" s="14"/>
      <c r="H69" s="9">
        <f t="shared" si="10"/>
        <v>1.7812550345006572E-2</v>
      </c>
      <c r="I69" s="9">
        <f t="shared" si="11"/>
        <v>2.1733427102962007E-2</v>
      </c>
      <c r="J69" s="9">
        <f t="shared" si="12"/>
        <v>2.2134207631661226E-2</v>
      </c>
      <c r="K69" s="9">
        <f t="shared" si="15"/>
        <v>-4.1464544535123361E-3</v>
      </c>
      <c r="L69" s="15"/>
      <c r="M69" s="9">
        <f t="shared" si="16"/>
        <v>0.62607240507472217</v>
      </c>
      <c r="N69" s="9">
        <f t="shared" si="13"/>
        <v>1.8702505485525316</v>
      </c>
    </row>
    <row r="70" spans="1:14" x14ac:dyDescent="0.3">
      <c r="A70" s="8">
        <v>2015</v>
      </c>
      <c r="B70" s="9">
        <f>Data!Z70</f>
        <v>5.942415714263916</v>
      </c>
      <c r="C70" s="9">
        <f>Data!AC70</f>
        <v>9.0904836654663086</v>
      </c>
      <c r="D70" s="9">
        <f>Data!AF70</f>
        <v>1.3658593893051147</v>
      </c>
      <c r="E70" s="14"/>
      <c r="F70" s="9">
        <f t="shared" si="14"/>
        <v>0.56284594535827637</v>
      </c>
      <c r="G70" s="14"/>
      <c r="H70" s="9">
        <f t="shared" si="10"/>
        <v>3.3395736551146922E-2</v>
      </c>
      <c r="I70" s="9">
        <f t="shared" si="11"/>
        <v>2.0934098973098222E-2</v>
      </c>
      <c r="J70" s="9">
        <f t="shared" si="12"/>
        <v>1.5254543005921911E-2</v>
      </c>
      <c r="K70" s="9">
        <f t="shared" si="15"/>
        <v>1.5658352625609287E-2</v>
      </c>
      <c r="L70" s="15"/>
      <c r="M70" s="9">
        <f t="shared" si="16"/>
        <v>0.6417307577003315</v>
      </c>
      <c r="N70" s="9">
        <f t="shared" si="13"/>
        <v>1.8997660703050783</v>
      </c>
    </row>
    <row r="71" spans="1:14" x14ac:dyDescent="0.3">
      <c r="A71" s="8">
        <v>2016</v>
      </c>
      <c r="B71" s="9">
        <f>Data!Z71</f>
        <v>6.0005249977111816</v>
      </c>
      <c r="C71" s="9">
        <f>Data!AC71</f>
        <v>9.2883148193359375</v>
      </c>
      <c r="D71" s="9">
        <f>Data!AF71</f>
        <v>1.3710312843322754</v>
      </c>
      <c r="E71" s="14"/>
      <c r="F71" s="9">
        <f t="shared" si="14"/>
        <v>0.56284594535827637</v>
      </c>
      <c r="G71" s="14"/>
      <c r="H71" s="9">
        <f t="shared" si="10"/>
        <v>9.731228415444805E-3</v>
      </c>
      <c r="I71" s="9">
        <f t="shared" si="11"/>
        <v>2.1529023802488449E-2</v>
      </c>
      <c r="J71" s="9">
        <f t="shared" si="12"/>
        <v>3.779399179656388E-3</v>
      </c>
      <c r="K71" s="9">
        <f t="shared" si="15"/>
        <v>-1.8074911364511928E-3</v>
      </c>
      <c r="L71" s="15"/>
      <c r="M71" s="9">
        <f t="shared" si="16"/>
        <v>0.63992326656388032</v>
      </c>
      <c r="N71" s="9">
        <f t="shared" si="13"/>
        <v>1.8963353613936631</v>
      </c>
    </row>
    <row r="72" spans="1:14" x14ac:dyDescent="0.3">
      <c r="A72" s="8">
        <v>2017</v>
      </c>
      <c r="B72" s="9">
        <f>Data!Z72</f>
        <v>6.1587367057800293</v>
      </c>
      <c r="C72" s="9">
        <f>Data!AC72</f>
        <v>9.4324169158935547</v>
      </c>
      <c r="D72" s="9">
        <f>Data!AF72</f>
        <v>1.3876616954803467</v>
      </c>
      <c r="E72" s="14"/>
      <c r="F72" s="9">
        <f t="shared" si="14"/>
        <v>0.56284594535827637</v>
      </c>
      <c r="G72" s="14"/>
      <c r="H72" s="9">
        <f t="shared" si="10"/>
        <v>2.6024711264370847E-2</v>
      </c>
      <c r="I72" s="9">
        <f t="shared" si="11"/>
        <v>1.5395225438469865E-2</v>
      </c>
      <c r="J72" s="9">
        <f t="shared" si="12"/>
        <v>1.2056878188703215E-2</v>
      </c>
      <c r="K72" s="9">
        <f t="shared" si="15"/>
        <v>1.2508461039630093E-2</v>
      </c>
      <c r="L72" s="15"/>
      <c r="M72" s="9">
        <f t="shared" si="16"/>
        <v>0.65243172760351043</v>
      </c>
      <c r="N72" s="9">
        <f>EXP(M72)</f>
        <v>1.9202045706999824</v>
      </c>
    </row>
    <row r="73" spans="1:14" x14ac:dyDescent="0.3">
      <c r="A73" s="8">
        <v>2018</v>
      </c>
      <c r="B73" s="9">
        <f>Data!Z73</f>
        <v>6.3775105476379395</v>
      </c>
      <c r="C73" s="9">
        <f>Data!AC73</f>
        <v>9.6057834625244141</v>
      </c>
      <c r="D73" s="9">
        <f>Data!AF73</f>
        <v>1.4272518157958984</v>
      </c>
      <c r="E73" s="14"/>
      <c r="F73" s="9">
        <f t="shared" si="14"/>
        <v>0.56284594535827637</v>
      </c>
      <c r="G73" s="14"/>
      <c r="H73" s="9">
        <f t="shared" ref="H73:H78" si="17">LN(B73/B72)</f>
        <v>3.4906148632233999E-2</v>
      </c>
      <c r="I73" s="9">
        <f t="shared" ref="I73:I78" si="18">LN(C73/C72)</f>
        <v>1.8212996553237895E-2</v>
      </c>
      <c r="J73" s="9">
        <f t="shared" ref="J73:J78" si="19">LN(D73/D72)</f>
        <v>2.8130690963723937E-2</v>
      </c>
      <c r="K73" s="9">
        <f t="shared" ref="K73:K78" si="20">H73-(1-F73)*I73-F73*J73</f>
        <v>1.1111017992751594E-2</v>
      </c>
      <c r="L73" s="15"/>
      <c r="M73" s="9">
        <f t="shared" ref="M73:M78" si="21">M72+K73</f>
        <v>0.66354274559626203</v>
      </c>
      <c r="N73" s="9">
        <f t="shared" ref="N73:N78" si="22">EXP(M73)</f>
        <v>1.9416589676097435</v>
      </c>
    </row>
    <row r="74" spans="1:14" x14ac:dyDescent="0.3">
      <c r="A74" s="8">
        <v>2019</v>
      </c>
      <c r="B74" s="9">
        <f>Data!Z74</f>
        <v>6.4924335479736328</v>
      </c>
      <c r="C74" s="9">
        <f>Data!AC74</f>
        <v>9.7868528366088867</v>
      </c>
      <c r="D74" s="9">
        <f>Data!AF74</f>
        <v>1.465760350227356</v>
      </c>
      <c r="E74" s="14"/>
      <c r="F74" s="9">
        <f t="shared" si="14"/>
        <v>0.56284594535827637</v>
      </c>
      <c r="G74" s="14"/>
      <c r="H74" s="9">
        <f t="shared" si="17"/>
        <v>1.7859604388548382E-2</v>
      </c>
      <c r="I74" s="9">
        <f t="shared" si="18"/>
        <v>1.8674576621326846E-2</v>
      </c>
      <c r="J74" s="9">
        <f t="shared" si="19"/>
        <v>2.6623330128452229E-2</v>
      </c>
      <c r="K74" s="9">
        <f t="shared" si="20"/>
        <v>-5.2888959149163632E-3</v>
      </c>
      <c r="L74" s="15"/>
      <c r="M74" s="9">
        <f t="shared" si="21"/>
        <v>0.6582538496813457</v>
      </c>
      <c r="N74" s="9">
        <f t="shared" si="22"/>
        <v>1.9314168440652164</v>
      </c>
    </row>
    <row r="75" spans="1:14" x14ac:dyDescent="0.3">
      <c r="A75" s="8">
        <v>2020</v>
      </c>
      <c r="B75" s="9">
        <f>Data!Z75</f>
        <v>6.3396410942077637</v>
      </c>
      <c r="C75" s="9">
        <f>Data!AC75</f>
        <v>10.000422477722168</v>
      </c>
      <c r="D75" s="9">
        <f>Data!AF75</f>
        <v>1.3871017694473267</v>
      </c>
      <c r="E75" s="14"/>
      <c r="F75" s="9">
        <f t="shared" si="14"/>
        <v>0.56284594535827637</v>
      </c>
      <c r="G75" s="14"/>
      <c r="H75" s="9">
        <f t="shared" si="17"/>
        <v>-2.3815272203537245E-2</v>
      </c>
      <c r="I75" s="9">
        <f t="shared" si="18"/>
        <v>2.1587402162317162E-2</v>
      </c>
      <c r="J75" s="9">
        <f t="shared" si="19"/>
        <v>-5.5157605792419913E-2</v>
      </c>
      <c r="K75" s="9">
        <f t="shared" si="20"/>
        <v>-2.2070578120419806E-3</v>
      </c>
      <c r="L75" s="15"/>
      <c r="M75" s="9">
        <f t="shared" si="21"/>
        <v>0.6560467918693037</v>
      </c>
      <c r="N75" s="9">
        <f t="shared" si="22"/>
        <v>1.9271587960387428</v>
      </c>
    </row>
    <row r="76" spans="1:14" x14ac:dyDescent="0.3">
      <c r="A76" s="8">
        <v>2021</v>
      </c>
      <c r="B76" s="9">
        <f>Data!Z76</f>
        <v>6.6014237403869629</v>
      </c>
      <c r="C76" s="9">
        <f>Data!AC76</f>
        <v>10.151399612426758</v>
      </c>
      <c r="D76" s="9">
        <f>Data!AF76</f>
        <v>1.4234329462051392</v>
      </c>
      <c r="E76" s="14"/>
      <c r="F76" s="9">
        <f t="shared" si="14"/>
        <v>0.56284594535827637</v>
      </c>
      <c r="G76" s="14"/>
      <c r="H76" s="9">
        <f t="shared" si="17"/>
        <v>4.0463186908661825E-2</v>
      </c>
      <c r="I76" s="9">
        <f t="shared" si="18"/>
        <v>1.4984248957527542E-2</v>
      </c>
      <c r="J76" s="9">
        <f t="shared" si="19"/>
        <v>2.585500931636368E-2</v>
      </c>
      <c r="K76" s="9">
        <f t="shared" si="20"/>
        <v>1.9360374560201878E-2</v>
      </c>
      <c r="L76" s="15"/>
      <c r="M76" s="9">
        <f t="shared" si="21"/>
        <v>0.6754071664295056</v>
      </c>
      <c r="N76" s="9">
        <f t="shared" si="22"/>
        <v>1.9648328270893161</v>
      </c>
    </row>
    <row r="77" spans="1:14" x14ac:dyDescent="0.3">
      <c r="A77" s="8">
        <v>2022</v>
      </c>
      <c r="B77" s="9">
        <f>Data!Z77</f>
        <v>6.4847893714904785</v>
      </c>
      <c r="C77" s="9">
        <f>Data!AC77</f>
        <v>10.321933746337891</v>
      </c>
      <c r="D77" s="9">
        <f>Data!AF77</f>
        <v>1.4749537706375122</v>
      </c>
      <c r="E77" s="14"/>
      <c r="F77" s="9">
        <f t="shared" si="14"/>
        <v>0.56284594535827637</v>
      </c>
      <c r="G77" s="14"/>
      <c r="H77" s="9">
        <f t="shared" si="17"/>
        <v>-1.7826006106452297E-2</v>
      </c>
      <c r="I77" s="9">
        <f t="shared" si="18"/>
        <v>1.6659532189989688E-2</v>
      </c>
      <c r="J77" s="9">
        <f t="shared" si="19"/>
        <v>3.5555125612181028E-2</v>
      </c>
      <c r="K77" s="9">
        <f t="shared" si="20"/>
        <v>-4.5120846439260898E-2</v>
      </c>
      <c r="L77" s="15"/>
      <c r="M77" s="9">
        <f t="shared" si="21"/>
        <v>0.63028631999024465</v>
      </c>
      <c r="N77" s="9">
        <f t="shared" si="22"/>
        <v>1.8781482536768745</v>
      </c>
    </row>
    <row r="78" spans="1:14" x14ac:dyDescent="0.3">
      <c r="A78" s="8">
        <v>2023</v>
      </c>
      <c r="B78" s="9">
        <f>Data!Z78</f>
        <v>6.7004246711730957</v>
      </c>
      <c r="C78" s="9">
        <f>Data!AC78</f>
        <v>10.51102352142334</v>
      </c>
      <c r="D78" s="9">
        <f>Data!AF78</f>
        <v>1.4760050773620605</v>
      </c>
      <c r="E78" s="14"/>
      <c r="F78" s="9">
        <f t="shared" si="14"/>
        <v>0.56284594535827637</v>
      </c>
      <c r="G78" s="14"/>
      <c r="H78" s="9">
        <f t="shared" si="17"/>
        <v>3.2711570242890932E-2</v>
      </c>
      <c r="I78" s="9">
        <f t="shared" si="18"/>
        <v>1.8153444608549188E-2</v>
      </c>
      <c r="J78" s="9">
        <f t="shared" si="19"/>
        <v>7.1251875961515169E-4</v>
      </c>
      <c r="K78" s="9">
        <f t="shared" si="20"/>
        <v>2.4374680031708621E-2</v>
      </c>
      <c r="L78" s="15"/>
      <c r="M78" s="9">
        <f t="shared" si="21"/>
        <v>0.65466100002195327</v>
      </c>
      <c r="N78" s="9">
        <f t="shared" si="22"/>
        <v>1.9244900047123736</v>
      </c>
    </row>
    <row r="79" spans="1:14" x14ac:dyDescent="0.3">
      <c r="B79" s="9"/>
    </row>
    <row r="80" spans="1:14" x14ac:dyDescent="0.3">
      <c r="B80" s="9">
        <f>B78/B35</f>
        <v>2.4515311810323022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59616-A536-44F0-A33E-DDB8C3C24D8A}">
  <sheetPr>
    <tabColor rgb="FFFFC000"/>
  </sheetPr>
  <dimension ref="A1:Q80"/>
  <sheetViews>
    <sheetView workbookViewId="0">
      <pane xSplit="7" ySplit="14" topLeftCell="H69" activePane="bottomRight" state="frozen"/>
      <selection activeCell="F77" sqref="F77"/>
      <selection pane="topRight" activeCell="F77" sqref="F77"/>
      <selection pane="bottomLeft" activeCell="F77" sqref="F77"/>
      <selection pane="bottomRight" activeCell="B81" sqref="B81"/>
    </sheetView>
  </sheetViews>
  <sheetFormatPr defaultColWidth="8.77734375" defaultRowHeight="14.4" x14ac:dyDescent="0.3"/>
  <cols>
    <col min="1" max="1" width="8.77734375" style="13"/>
    <col min="2" max="2" width="12.109375" style="6" bestFit="1" customWidth="1"/>
    <col min="3" max="4" width="13.33203125" style="6" bestFit="1" customWidth="1"/>
    <col min="5" max="5" width="2.77734375" style="6" customWidth="1"/>
    <col min="6" max="6" width="14.44140625" style="6" bestFit="1" customWidth="1"/>
    <col min="7" max="7" width="2.77734375" style="6" customWidth="1"/>
    <col min="8" max="11" width="11.33203125" style="8" customWidth="1"/>
    <col min="12" max="12" width="8.77734375" style="6"/>
    <col min="13" max="13" width="12.44140625" style="6" bestFit="1" customWidth="1"/>
    <col min="14" max="15" width="10.44140625" style="6" bestFit="1" customWidth="1"/>
    <col min="16" max="16384" width="8.77734375" style="6"/>
  </cols>
  <sheetData>
    <row r="1" spans="1:17" x14ac:dyDescent="0.3">
      <c r="A1" s="13" t="s">
        <v>0</v>
      </c>
      <c r="B1" s="6" t="s">
        <v>26</v>
      </c>
      <c r="C1" s="6" t="s">
        <v>29</v>
      </c>
      <c r="D1" s="6" t="s">
        <v>32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7" x14ac:dyDescent="0.3">
      <c r="A2" s="13">
        <v>1947</v>
      </c>
      <c r="B2" s="9">
        <f>Data!AA2</f>
        <v>1</v>
      </c>
      <c r="C2" s="9">
        <f>Data!AD2</f>
        <v>1</v>
      </c>
      <c r="D2" s="9">
        <f>Data!AG2</f>
        <v>1</v>
      </c>
      <c r="E2" s="12"/>
      <c r="F2" s="9">
        <f>AVERAGE(Data!X3:X78)</f>
        <v>0.56284594535827637</v>
      </c>
      <c r="G2" s="12"/>
      <c r="H2" s="9"/>
      <c r="I2" s="9"/>
      <c r="J2" s="9"/>
      <c r="K2" s="9"/>
      <c r="L2" s="15"/>
      <c r="M2" s="9">
        <v>0</v>
      </c>
      <c r="N2" s="9">
        <f>EXP(M2)</f>
        <v>1</v>
      </c>
      <c r="O2" s="9"/>
      <c r="Q2" s="15"/>
    </row>
    <row r="3" spans="1:17" x14ac:dyDescent="0.3">
      <c r="A3" s="13">
        <v>1948</v>
      </c>
      <c r="B3" s="9">
        <f>Data!AA3</f>
        <v>1.0060052871704102</v>
      </c>
      <c r="C3" s="9">
        <f>Data!AD3</f>
        <v>1.0218958854675293</v>
      </c>
      <c r="D3" s="9">
        <f>Data!AG3</f>
        <v>1.0287214517593384</v>
      </c>
      <c r="E3" s="12"/>
      <c r="F3" s="9">
        <f>F2</f>
        <v>0.56284594535827637</v>
      </c>
      <c r="G3" s="12"/>
      <c r="H3" s="9">
        <f t="shared" ref="H3:H34" si="0">LN(B3/B2)</f>
        <v>5.9873273003272671E-3</v>
      </c>
      <c r="I3" s="9">
        <f t="shared" ref="I3:I34" si="1">LN(C3/C2)</f>
        <v>2.165961327263068E-2</v>
      </c>
      <c r="J3" s="9">
        <f t="shared" ref="J3:J34" si="2">LN(D3/D2)</f>
        <v>2.8316722207896605E-2</v>
      </c>
      <c r="K3" s="9">
        <f>H3-(1-F3)*I3-F3*J3</f>
        <v>-1.9419212744326193E-2</v>
      </c>
      <c r="L3" s="15"/>
      <c r="M3" s="9">
        <f>M2+K3</f>
        <v>-1.9419212744326193E-2</v>
      </c>
      <c r="N3" s="9">
        <f t="shared" ref="N3:N66" si="3">EXP(M3)</f>
        <v>0.9807681255535371</v>
      </c>
      <c r="O3" s="9"/>
      <c r="Q3" s="15"/>
    </row>
    <row r="4" spans="1:17" x14ac:dyDescent="0.3">
      <c r="A4" s="13">
        <v>1949</v>
      </c>
      <c r="B4" s="9">
        <f>Data!AA4</f>
        <v>1.0156807899475098</v>
      </c>
      <c r="C4" s="9">
        <f>Data!AD4</f>
        <v>1.0503050088882446</v>
      </c>
      <c r="D4" s="9">
        <f>Data!AG4</f>
        <v>1.0251477956771851</v>
      </c>
      <c r="E4" s="12"/>
      <c r="F4" s="9">
        <f t="shared" ref="F4:F67" si="4">F3</f>
        <v>0.56284594535827637</v>
      </c>
      <c r="G4" s="12"/>
      <c r="H4" s="9">
        <f t="shared" si="0"/>
        <v>9.5717893675756147E-3</v>
      </c>
      <c r="I4" s="9">
        <f t="shared" si="1"/>
        <v>2.7420993369773609E-2</v>
      </c>
      <c r="J4" s="9">
        <f t="shared" si="2"/>
        <v>-3.4799291074636006E-3</v>
      </c>
      <c r="K4" s="9">
        <f t="shared" ref="K4:K67" si="5">H4-(1-F4)*I4-F4*J4</f>
        <v>-4.5674507805460634E-4</v>
      </c>
      <c r="L4" s="15"/>
      <c r="M4" s="9">
        <f>M3+K4</f>
        <v>-1.9875957822380799E-2</v>
      </c>
      <c r="N4" s="9">
        <f t="shared" si="3"/>
        <v>0.98032026682589823</v>
      </c>
      <c r="O4" s="9"/>
      <c r="Q4" s="15"/>
    </row>
    <row r="5" spans="1:17" x14ac:dyDescent="0.3">
      <c r="A5" s="13">
        <v>1950</v>
      </c>
      <c r="B5" s="9">
        <f>Data!AA5</f>
        <v>1.0775227546691895</v>
      </c>
      <c r="C5" s="9">
        <f>Data!AD5</f>
        <v>1.0881060361862183</v>
      </c>
      <c r="D5" s="9">
        <f>Data!AG5</f>
        <v>1.0472925901412964</v>
      </c>
      <c r="E5" s="12"/>
      <c r="F5" s="9">
        <f t="shared" si="4"/>
        <v>0.56284594535827637</v>
      </c>
      <c r="G5" s="12"/>
      <c r="H5" s="9">
        <f t="shared" si="0"/>
        <v>5.9105544127330246E-2</v>
      </c>
      <c r="I5" s="9">
        <f t="shared" si="1"/>
        <v>3.5357996772435604E-2</v>
      </c>
      <c r="J5" s="9">
        <f t="shared" si="2"/>
        <v>2.137155546983583E-2</v>
      </c>
      <c r="K5" s="9">
        <f t="shared" si="5"/>
        <v>3.1619759132054455E-2</v>
      </c>
      <c r="L5" s="15"/>
      <c r="M5" s="9">
        <f>M4+K5</f>
        <v>1.1743801309673656E-2</v>
      </c>
      <c r="N5" s="9">
        <f t="shared" si="3"/>
        <v>1.0118130304834019</v>
      </c>
      <c r="O5" s="9"/>
      <c r="Q5" s="15"/>
    </row>
    <row r="6" spans="1:17" x14ac:dyDescent="0.3">
      <c r="A6" s="13">
        <v>1951</v>
      </c>
      <c r="B6" s="9">
        <f>Data!AA6</f>
        <v>1.1529229879379272</v>
      </c>
      <c r="C6" s="9">
        <f>Data!AD6</f>
        <v>1.1305755376815796</v>
      </c>
      <c r="D6" s="9">
        <f>Data!AG6</f>
        <v>1.1203416585922241</v>
      </c>
      <c r="E6" s="12"/>
      <c r="F6" s="9">
        <f t="shared" si="4"/>
        <v>0.56284594535827637</v>
      </c>
      <c r="G6" s="12"/>
      <c r="H6" s="9">
        <f t="shared" si="0"/>
        <v>6.7635785492459258E-2</v>
      </c>
      <c r="I6" s="9">
        <f t="shared" si="1"/>
        <v>3.8288225029190742E-2</v>
      </c>
      <c r="J6" s="9">
        <f t="shared" si="2"/>
        <v>6.7425342532223112E-2</v>
      </c>
      <c r="K6" s="9">
        <f t="shared" si="5"/>
        <v>1.2947852017259079E-2</v>
      </c>
      <c r="L6" s="15"/>
      <c r="M6" s="9">
        <f t="shared" ref="M6:M67" si="6">M5+K6</f>
        <v>2.4691653326932735E-2</v>
      </c>
      <c r="N6" s="9">
        <f t="shared" si="3"/>
        <v>1.0249990167554468</v>
      </c>
      <c r="O6" s="9"/>
      <c r="Q6" s="15"/>
    </row>
    <row r="7" spans="1:17" x14ac:dyDescent="0.3">
      <c r="A7" s="13">
        <v>1952</v>
      </c>
      <c r="B7" s="9">
        <f>Data!AA7</f>
        <v>1.1908500194549561</v>
      </c>
      <c r="C7" s="9">
        <f>Data!AD7</f>
        <v>1.1770006418228149</v>
      </c>
      <c r="D7" s="9">
        <f>Data!AG7</f>
        <v>1.1484733819961548</v>
      </c>
      <c r="E7" s="12"/>
      <c r="F7" s="9">
        <f t="shared" si="4"/>
        <v>0.56284594535827637</v>
      </c>
      <c r="G7" s="12"/>
      <c r="H7" s="9">
        <f t="shared" si="0"/>
        <v>3.2366907906435725E-2</v>
      </c>
      <c r="I7" s="9">
        <f t="shared" si="1"/>
        <v>4.0242545137966261E-2</v>
      </c>
      <c r="J7" s="9">
        <f t="shared" si="2"/>
        <v>2.4799875455665615E-2</v>
      </c>
      <c r="K7" s="9">
        <f t="shared" si="5"/>
        <v>8.1620678465956463E-4</v>
      </c>
      <c r="L7" s="15"/>
      <c r="M7" s="9">
        <f>M6+K7</f>
        <v>2.5507860111592298E-2</v>
      </c>
      <c r="N7" s="9">
        <f t="shared" si="3"/>
        <v>1.0258359694239509</v>
      </c>
      <c r="O7" s="9"/>
      <c r="Q7" s="15"/>
    </row>
    <row r="8" spans="1:17" x14ac:dyDescent="0.3">
      <c r="A8" s="13">
        <v>1953</v>
      </c>
      <c r="B8" s="9">
        <f>Data!AA8</f>
        <v>1.2333548069000244</v>
      </c>
      <c r="C8" s="9">
        <f>Data!AD8</f>
        <v>1.2272723913192749</v>
      </c>
      <c r="D8" s="9">
        <f>Data!AG8</f>
        <v>1.1696478128433228</v>
      </c>
      <c r="E8" s="12"/>
      <c r="F8" s="9">
        <f t="shared" si="4"/>
        <v>0.56284594535827637</v>
      </c>
      <c r="G8" s="12"/>
      <c r="H8" s="9">
        <f t="shared" si="0"/>
        <v>3.5070587636391086E-2</v>
      </c>
      <c r="I8" s="9">
        <f t="shared" si="1"/>
        <v>4.182476532412871E-2</v>
      </c>
      <c r="J8" s="9">
        <f t="shared" si="2"/>
        <v>1.826912227367285E-2</v>
      </c>
      <c r="K8" s="9">
        <f t="shared" si="5"/>
        <v>6.5040204935183175E-3</v>
      </c>
      <c r="L8" s="15"/>
      <c r="M8" s="9">
        <f t="shared" si="6"/>
        <v>3.2011880605110614E-2</v>
      </c>
      <c r="N8" s="9">
        <f t="shared" si="3"/>
        <v>1.0325297723107383</v>
      </c>
      <c r="O8" s="9"/>
      <c r="Q8" s="15"/>
    </row>
    <row r="9" spans="1:17" x14ac:dyDescent="0.3">
      <c r="A9" s="13">
        <v>1954</v>
      </c>
      <c r="B9" s="9">
        <f>Data!AA9</f>
        <v>1.2526968717575073</v>
      </c>
      <c r="C9" s="9">
        <f>Data!AD9</f>
        <v>1.2842284440994263</v>
      </c>
      <c r="D9" s="9">
        <f>Data!AG9</f>
        <v>1.1657497882843018</v>
      </c>
      <c r="E9" s="12"/>
      <c r="F9" s="9">
        <f t="shared" si="4"/>
        <v>0.56284594535827637</v>
      </c>
      <c r="G9" s="12"/>
      <c r="H9" s="9">
        <f t="shared" si="0"/>
        <v>1.5560782834329993E-2</v>
      </c>
      <c r="I9" s="9">
        <f t="shared" si="1"/>
        <v>4.5363966501760708E-2</v>
      </c>
      <c r="J9" s="9">
        <f t="shared" si="2"/>
        <v>-3.3382137388484226E-3</v>
      </c>
      <c r="K9" s="9">
        <f t="shared" si="5"/>
        <v>-2.3913589888958997E-3</v>
      </c>
      <c r="L9" s="15"/>
      <c r="M9" s="9">
        <f t="shared" si="6"/>
        <v>2.9620521616214715E-2</v>
      </c>
      <c r="N9" s="9">
        <f t="shared" si="3"/>
        <v>1.0300635729177305</v>
      </c>
      <c r="O9" s="9"/>
      <c r="Q9" s="15"/>
    </row>
    <row r="10" spans="1:17" x14ac:dyDescent="0.3">
      <c r="A10" s="13">
        <v>1955</v>
      </c>
      <c r="B10" s="9">
        <f>Data!AA10</f>
        <v>1.3262104988098145</v>
      </c>
      <c r="C10" s="9">
        <f>Data!AD10</f>
        <v>1.3420835733413696</v>
      </c>
      <c r="D10" s="9">
        <f>Data!AG10</f>
        <v>1.192705512046814</v>
      </c>
      <c r="E10" s="12"/>
      <c r="F10" s="9">
        <f t="shared" si="4"/>
        <v>0.56284594535827637</v>
      </c>
      <c r="G10" s="12"/>
      <c r="H10" s="9">
        <f t="shared" si="0"/>
        <v>5.7026901716870172E-2</v>
      </c>
      <c r="I10" s="9">
        <f t="shared" si="1"/>
        <v>4.4065206419698875E-2</v>
      </c>
      <c r="J10" s="9">
        <f t="shared" si="2"/>
        <v>2.2859790985212319E-2</v>
      </c>
      <c r="K10" s="9">
        <f t="shared" si="5"/>
        <v>2.4897077394109866E-2</v>
      </c>
      <c r="L10" s="15"/>
      <c r="M10" s="9">
        <f t="shared" si="6"/>
        <v>5.4517599010324581E-2</v>
      </c>
      <c r="N10" s="9">
        <f t="shared" si="3"/>
        <v>1.0560310613517379</v>
      </c>
      <c r="O10" s="9"/>
      <c r="Q10" s="15"/>
    </row>
    <row r="11" spans="1:17" x14ac:dyDescent="0.3">
      <c r="A11" s="13">
        <v>1956</v>
      </c>
      <c r="B11" s="9">
        <f>Data!AA11</f>
        <v>1.3629989624023438</v>
      </c>
      <c r="C11" s="9">
        <f>Data!AD11</f>
        <v>1.4044022560119629</v>
      </c>
      <c r="D11" s="9">
        <f>Data!AG11</f>
        <v>1.2273250818252563</v>
      </c>
      <c r="E11" s="12"/>
      <c r="F11" s="9">
        <f t="shared" si="4"/>
        <v>0.56284594535827637</v>
      </c>
      <c r="G11" s="12"/>
      <c r="H11" s="9">
        <f t="shared" si="0"/>
        <v>2.7361765072183891E-2</v>
      </c>
      <c r="I11" s="9">
        <f t="shared" si="1"/>
        <v>4.5388459871731672E-2</v>
      </c>
      <c r="J11" s="9">
        <f t="shared" si="2"/>
        <v>2.8612804922961838E-2</v>
      </c>
      <c r="K11" s="9">
        <f t="shared" si="5"/>
        <v>-8.5845854309031765E-3</v>
      </c>
      <c r="L11" s="15"/>
      <c r="M11" s="9">
        <f t="shared" si="6"/>
        <v>4.5933013579421408E-2</v>
      </c>
      <c r="N11" s="9">
        <f t="shared" si="3"/>
        <v>1.0470042735392213</v>
      </c>
      <c r="O11" s="9"/>
      <c r="Q11" s="15"/>
    </row>
    <row r="12" spans="1:17" x14ac:dyDescent="0.3">
      <c r="A12" s="13">
        <v>1957</v>
      </c>
      <c r="B12" s="9">
        <f>Data!AA12</f>
        <v>1.4055469036102295</v>
      </c>
      <c r="C12" s="9">
        <f>Data!AD12</f>
        <v>1.4651618003845215</v>
      </c>
      <c r="D12" s="9">
        <f>Data!AG12</f>
        <v>1.2448054552078247</v>
      </c>
      <c r="E12" s="12"/>
      <c r="F12" s="9">
        <f t="shared" si="4"/>
        <v>0.56284594535827637</v>
      </c>
      <c r="G12" s="12"/>
      <c r="H12" s="9">
        <f t="shared" si="0"/>
        <v>3.0739090830237334E-2</v>
      </c>
      <c r="I12" s="9">
        <f t="shared" si="1"/>
        <v>4.2353908619708829E-2</v>
      </c>
      <c r="J12" s="9">
        <f t="shared" si="2"/>
        <v>1.4142185828262585E-2</v>
      </c>
      <c r="K12" s="9">
        <f t="shared" si="5"/>
        <v>4.2640359952656991E-3</v>
      </c>
      <c r="L12" s="15"/>
      <c r="M12" s="9">
        <f t="shared" si="6"/>
        <v>5.0197049574687111E-2</v>
      </c>
      <c r="N12" s="9">
        <f t="shared" si="3"/>
        <v>1.0514782693094447</v>
      </c>
      <c r="O12" s="9"/>
      <c r="Q12" s="15"/>
    </row>
    <row r="13" spans="1:17" x14ac:dyDescent="0.3">
      <c r="A13" s="13">
        <v>1958</v>
      </c>
      <c r="B13" s="9">
        <f>Data!AA13</f>
        <v>1.4282722473144531</v>
      </c>
      <c r="C13" s="9">
        <f>Data!AD13</f>
        <v>1.5260367393493652</v>
      </c>
      <c r="D13" s="9">
        <f>Data!AG13</f>
        <v>1.2395186424255371</v>
      </c>
      <c r="E13" s="12"/>
      <c r="F13" s="9">
        <f t="shared" si="4"/>
        <v>0.56284594535827637</v>
      </c>
      <c r="G13" s="12"/>
      <c r="H13" s="9">
        <f t="shared" si="0"/>
        <v>1.6039012841837837E-2</v>
      </c>
      <c r="I13" s="9">
        <f t="shared" si="1"/>
        <v>4.0708327842788633E-2</v>
      </c>
      <c r="J13" s="9">
        <f t="shared" si="2"/>
        <v>-4.2561441706431523E-3</v>
      </c>
      <c r="K13" s="9">
        <f t="shared" si="5"/>
        <v>6.3875575698497814E-4</v>
      </c>
      <c r="L13" s="15"/>
      <c r="M13" s="9">
        <f t="shared" si="6"/>
        <v>5.083580533167209E-2</v>
      </c>
      <c r="N13" s="9">
        <f t="shared" si="3"/>
        <v>1.0521501216592453</v>
      </c>
      <c r="O13" s="9"/>
      <c r="Q13" s="15"/>
    </row>
    <row r="14" spans="1:17" x14ac:dyDescent="0.3">
      <c r="A14" s="13">
        <v>1959</v>
      </c>
      <c r="B14" s="9">
        <f>Data!AA14</f>
        <v>1.512284517288208</v>
      </c>
      <c r="C14" s="9">
        <f>Data!AD14</f>
        <v>1.5946551561355591</v>
      </c>
      <c r="D14" s="9">
        <f>Data!AG14</f>
        <v>1.2617909908294678</v>
      </c>
      <c r="E14" s="12"/>
      <c r="F14" s="9">
        <f t="shared" si="4"/>
        <v>0.56284594535827637</v>
      </c>
      <c r="G14" s="12"/>
      <c r="H14" s="9">
        <f t="shared" si="0"/>
        <v>5.7155937738741933E-2</v>
      </c>
      <c r="I14" s="9">
        <f t="shared" si="1"/>
        <v>4.3983501649938937E-2</v>
      </c>
      <c r="J14" s="9">
        <f t="shared" si="2"/>
        <v>1.7809020334871771E-2</v>
      </c>
      <c r="K14" s="9">
        <f t="shared" si="5"/>
        <v>2.7904636768844519E-2</v>
      </c>
      <c r="L14" s="15"/>
      <c r="M14" s="9">
        <f t="shared" si="6"/>
        <v>7.8740442100516617E-2</v>
      </c>
      <c r="N14" s="9">
        <f t="shared" si="3"/>
        <v>1.0819234638407291</v>
      </c>
      <c r="O14" s="9"/>
      <c r="Q14" s="15"/>
    </row>
    <row r="15" spans="1:17" x14ac:dyDescent="0.3">
      <c r="A15" s="13">
        <v>1960</v>
      </c>
      <c r="B15" s="9">
        <f>Data!AA15</f>
        <v>1.5580041408538818</v>
      </c>
      <c r="C15" s="9">
        <f>Data!AD15</f>
        <v>1.6720356941223145</v>
      </c>
      <c r="D15" s="9">
        <f>Data!AG15</f>
        <v>1.2936792373657227</v>
      </c>
      <c r="E15" s="12"/>
      <c r="F15" s="9">
        <f t="shared" si="4"/>
        <v>0.56284594535827637</v>
      </c>
      <c r="G15" s="12"/>
      <c r="H15" s="9">
        <f t="shared" si="0"/>
        <v>2.9784172381255553E-2</v>
      </c>
      <c r="I15" s="9">
        <f t="shared" si="1"/>
        <v>4.7384352782167141E-2</v>
      </c>
      <c r="J15" s="9">
        <f t="shared" si="2"/>
        <v>2.4958147786064328E-2</v>
      </c>
      <c r="K15" s="9">
        <f t="shared" si="5"/>
        <v>-4.9776818490815979E-3</v>
      </c>
      <c r="L15" s="15"/>
      <c r="M15" s="9">
        <f t="shared" si="6"/>
        <v>7.3762760251435022E-2</v>
      </c>
      <c r="N15" s="9">
        <f t="shared" si="3"/>
        <v>1.076551374420831</v>
      </c>
      <c r="O15" s="9"/>
      <c r="Q15" s="15"/>
    </row>
    <row r="16" spans="1:17" x14ac:dyDescent="0.3">
      <c r="A16" s="13">
        <v>1961</v>
      </c>
      <c r="B16" s="9">
        <f>Data!AA16</f>
        <v>1.6108839511871338</v>
      </c>
      <c r="C16" s="9">
        <f>Data!AD16</f>
        <v>1.7489039897918701</v>
      </c>
      <c r="D16" s="9">
        <f>Data!AG16</f>
        <v>1.3095459938049316</v>
      </c>
      <c r="E16" s="12"/>
      <c r="F16" s="9">
        <f t="shared" si="4"/>
        <v>0.56284594535827637</v>
      </c>
      <c r="G16" s="12"/>
      <c r="H16" s="9">
        <f t="shared" si="0"/>
        <v>3.337746108860689E-2</v>
      </c>
      <c r="I16" s="9">
        <f t="shared" si="1"/>
        <v>4.4947437591524225E-2</v>
      </c>
      <c r="J16" s="9">
        <f t="shared" si="2"/>
        <v>1.2190226749664612E-2</v>
      </c>
      <c r="K16" s="9">
        <f t="shared" si="5"/>
        <v>6.8672868006695188E-3</v>
      </c>
      <c r="L16" s="15"/>
      <c r="M16" s="9">
        <f t="shared" si="6"/>
        <v>8.0630047052104539E-2</v>
      </c>
      <c r="N16" s="9">
        <f t="shared" si="3"/>
        <v>1.0839698045541242</v>
      </c>
      <c r="O16" s="9"/>
      <c r="Q16" s="15"/>
    </row>
    <row r="17" spans="1:17" x14ac:dyDescent="0.3">
      <c r="A17" s="13">
        <v>1962</v>
      </c>
      <c r="B17" s="9">
        <f>Data!AA17</f>
        <v>1.6984442472457886</v>
      </c>
      <c r="C17" s="9">
        <f>Data!AD17</f>
        <v>1.8361247777938843</v>
      </c>
      <c r="D17" s="9">
        <f>Data!AG17</f>
        <v>1.33678138256073</v>
      </c>
      <c r="E17" s="12"/>
      <c r="F17" s="9">
        <f t="shared" si="4"/>
        <v>0.56284594535827637</v>
      </c>
      <c r="G17" s="12"/>
      <c r="H17" s="9">
        <f t="shared" si="0"/>
        <v>5.2929617044434073E-2</v>
      </c>
      <c r="I17" s="9">
        <f t="shared" si="1"/>
        <v>4.8667951464933232E-2</v>
      </c>
      <c r="J17" s="9">
        <f t="shared" si="2"/>
        <v>2.0584263803099336E-2</v>
      </c>
      <c r="K17" s="9">
        <f t="shared" si="5"/>
        <v>2.0068455310672303E-2</v>
      </c>
      <c r="L17" s="15"/>
      <c r="M17" s="9">
        <f t="shared" si="6"/>
        <v>0.10069850236277685</v>
      </c>
      <c r="N17" s="9">
        <f t="shared" si="3"/>
        <v>1.1059431522454937</v>
      </c>
      <c r="O17" s="9"/>
      <c r="Q17" s="15"/>
    </row>
    <row r="18" spans="1:17" x14ac:dyDescent="0.3">
      <c r="A18" s="13">
        <v>1963</v>
      </c>
      <c r="B18" s="9">
        <f>Data!AA18</f>
        <v>1.7705991268157959</v>
      </c>
      <c r="C18" s="9">
        <f>Data!AD18</f>
        <v>1.9283158779144287</v>
      </c>
      <c r="D18" s="9">
        <f>Data!AG18</f>
        <v>1.3520439863204956</v>
      </c>
      <c r="E18" s="12"/>
      <c r="F18" s="9">
        <f t="shared" si="4"/>
        <v>0.56284594535827637</v>
      </c>
      <c r="G18" s="12"/>
      <c r="H18" s="9">
        <f t="shared" si="0"/>
        <v>4.1605295658436341E-2</v>
      </c>
      <c r="I18" s="9">
        <f t="shared" si="1"/>
        <v>4.8989768210691474E-2</v>
      </c>
      <c r="J18" s="9">
        <f t="shared" si="2"/>
        <v>1.1352740019790789E-2</v>
      </c>
      <c r="K18" s="9">
        <f t="shared" si="5"/>
        <v>1.3799376160328459E-2</v>
      </c>
      <c r="L18" s="15"/>
      <c r="M18" s="9">
        <f t="shared" si="6"/>
        <v>0.11449787852310531</v>
      </c>
      <c r="N18" s="9">
        <f t="shared" si="3"/>
        <v>1.1213102622276263</v>
      </c>
      <c r="O18" s="9"/>
      <c r="Q18" s="15"/>
    </row>
    <row r="19" spans="1:17" x14ac:dyDescent="0.3">
      <c r="A19" s="13">
        <v>1964</v>
      </c>
      <c r="B19" s="9">
        <f>Data!AA19</f>
        <v>1.8694639205932617</v>
      </c>
      <c r="C19" s="9">
        <f>Data!AD19</f>
        <v>2.0263125896453857</v>
      </c>
      <c r="D19" s="9">
        <f>Data!AG19</f>
        <v>1.3852690458297729</v>
      </c>
      <c r="E19" s="12"/>
      <c r="F19" s="9">
        <f t="shared" si="4"/>
        <v>0.56284594535827637</v>
      </c>
      <c r="G19" s="12"/>
      <c r="H19" s="9">
        <f t="shared" si="0"/>
        <v>5.4333737250806514E-2</v>
      </c>
      <c r="I19" s="9">
        <f t="shared" si="1"/>
        <v>4.9570663128938715E-2</v>
      </c>
      <c r="J19" s="9">
        <f t="shared" si="2"/>
        <v>2.4276866338407251E-2</v>
      </c>
      <c r="K19" s="9">
        <f t="shared" si="5"/>
        <v>1.8999585088134617E-2</v>
      </c>
      <c r="L19" s="15"/>
      <c r="M19" s="9">
        <f t="shared" si="6"/>
        <v>0.13349746361123993</v>
      </c>
      <c r="N19" s="9">
        <f t="shared" si="3"/>
        <v>1.1428183674997712</v>
      </c>
      <c r="O19" s="9"/>
      <c r="Q19" s="15"/>
    </row>
    <row r="20" spans="1:17" x14ac:dyDescent="0.3">
      <c r="A20" s="13">
        <v>1965</v>
      </c>
      <c r="B20" s="9">
        <f>Data!AA20</f>
        <v>1.96803879737854</v>
      </c>
      <c r="C20" s="9">
        <f>Data!AD20</f>
        <v>2.1412239074707031</v>
      </c>
      <c r="D20" s="9">
        <f>Data!AG20</f>
        <v>1.4238836765289307</v>
      </c>
      <c r="E20" s="12"/>
      <c r="F20" s="9">
        <f t="shared" si="4"/>
        <v>0.56284594535827637</v>
      </c>
      <c r="G20" s="12"/>
      <c r="H20" s="9">
        <f t="shared" si="0"/>
        <v>5.1385796262593472E-2</v>
      </c>
      <c r="I20" s="9">
        <f t="shared" si="1"/>
        <v>5.5159901939027596E-2</v>
      </c>
      <c r="J20" s="9">
        <f t="shared" si="2"/>
        <v>2.7493744131670588E-2</v>
      </c>
      <c r="K20" s="9">
        <f t="shared" si="5"/>
        <v>1.1797679069078991E-2</v>
      </c>
      <c r="L20" s="15"/>
      <c r="M20" s="9">
        <f t="shared" si="6"/>
        <v>0.14529514268031893</v>
      </c>
      <c r="N20" s="9">
        <f t="shared" si="3"/>
        <v>1.1563808172411412</v>
      </c>
      <c r="O20" s="9"/>
      <c r="Q20" s="15"/>
    </row>
    <row r="21" spans="1:17" x14ac:dyDescent="0.3">
      <c r="A21" s="13">
        <v>1966</v>
      </c>
      <c r="B21" s="9">
        <f>Data!AA21</f>
        <v>2.0876827239990234</v>
      </c>
      <c r="C21" s="9">
        <f>Data!AD21</f>
        <v>2.2600083351135254</v>
      </c>
      <c r="D21" s="9">
        <f>Data!AG21</f>
        <v>1.4795413017272949</v>
      </c>
      <c r="E21" s="12"/>
      <c r="F21" s="9">
        <f t="shared" si="4"/>
        <v>0.56284594535827637</v>
      </c>
      <c r="G21" s="12"/>
      <c r="H21" s="9">
        <f t="shared" si="0"/>
        <v>5.9017193815900856E-2</v>
      </c>
      <c r="I21" s="9">
        <f t="shared" si="1"/>
        <v>5.3990916451687986E-2</v>
      </c>
      <c r="J21" s="9">
        <f t="shared" si="2"/>
        <v>3.834398664971745E-2</v>
      </c>
      <c r="K21" s="9">
        <f t="shared" si="5"/>
        <v>1.3833088360557567E-2</v>
      </c>
      <c r="L21" s="15"/>
      <c r="M21" s="9">
        <f t="shared" si="6"/>
        <v>0.15912823104087651</v>
      </c>
      <c r="N21" s="9">
        <f t="shared" si="3"/>
        <v>1.1724882864347852</v>
      </c>
      <c r="O21" s="9"/>
      <c r="Q21" s="15"/>
    </row>
    <row r="22" spans="1:17" x14ac:dyDescent="0.3">
      <c r="A22" s="13">
        <v>1967</v>
      </c>
      <c r="B22" s="9">
        <f>Data!AA22</f>
        <v>2.1673145294189453</v>
      </c>
      <c r="C22" s="9">
        <f>Data!AD22</f>
        <v>2.3938956260681152</v>
      </c>
      <c r="D22" s="9">
        <f>Data!AG22</f>
        <v>1.5120961666107178</v>
      </c>
      <c r="E22" s="12"/>
      <c r="F22" s="9">
        <f t="shared" si="4"/>
        <v>0.56284594535827637</v>
      </c>
      <c r="G22" s="12"/>
      <c r="H22" s="9">
        <f t="shared" si="0"/>
        <v>3.7434150749052403E-2</v>
      </c>
      <c r="I22" s="9">
        <f t="shared" si="1"/>
        <v>5.7553506671012507E-2</v>
      </c>
      <c r="J22" s="9">
        <f t="shared" si="2"/>
        <v>2.1764769518507428E-2</v>
      </c>
      <c r="K22" s="9">
        <f t="shared" si="5"/>
        <v>2.4189673820484633E-5</v>
      </c>
      <c r="L22" s="15"/>
      <c r="M22" s="9">
        <f t="shared" si="6"/>
        <v>0.15915242071469698</v>
      </c>
      <c r="N22" s="9">
        <f t="shared" si="3"/>
        <v>1.1725166488870302</v>
      </c>
      <c r="O22" s="9"/>
      <c r="Q22" s="15"/>
    </row>
    <row r="23" spans="1:17" x14ac:dyDescent="0.3">
      <c r="A23" s="13">
        <v>1968</v>
      </c>
      <c r="B23" s="9">
        <f>Data!AA23</f>
        <v>2.2727017402648926</v>
      </c>
      <c r="C23" s="9">
        <f>Data!AD23</f>
        <v>2.5279653072357178</v>
      </c>
      <c r="D23" s="9">
        <f>Data!AG23</f>
        <v>1.5561950206756592</v>
      </c>
      <c r="E23" s="12"/>
      <c r="F23" s="9">
        <f t="shared" si="4"/>
        <v>0.56284594535827637</v>
      </c>
      <c r="G23" s="12"/>
      <c r="H23" s="9">
        <f t="shared" si="0"/>
        <v>4.7480460607471846E-2</v>
      </c>
      <c r="I23" s="9">
        <f t="shared" si="1"/>
        <v>5.4492744735115811E-2</v>
      </c>
      <c r="J23" s="9">
        <f t="shared" si="2"/>
        <v>2.8746874536362481E-2</v>
      </c>
      <c r="K23" s="9">
        <f t="shared" si="5"/>
        <v>7.4786745234448268E-3</v>
      </c>
      <c r="L23" s="15"/>
      <c r="M23" s="9">
        <f t="shared" si="6"/>
        <v>0.16663109523814182</v>
      </c>
      <c r="N23" s="9">
        <f t="shared" si="3"/>
        <v>1.181318390935552</v>
      </c>
      <c r="O23" s="9"/>
      <c r="Q23" s="15"/>
    </row>
    <row r="24" spans="1:17" x14ac:dyDescent="0.3">
      <c r="A24" s="13">
        <v>1969</v>
      </c>
      <c r="B24" s="9">
        <f>Data!AA24</f>
        <v>2.3497867584228516</v>
      </c>
      <c r="C24" s="9">
        <f>Data!AD24</f>
        <v>2.6680502891540527</v>
      </c>
      <c r="D24" s="9">
        <f>Data!AG24</f>
        <v>1.597847580909729</v>
      </c>
      <c r="E24" s="12"/>
      <c r="F24" s="9">
        <f t="shared" si="4"/>
        <v>0.56284594535827637</v>
      </c>
      <c r="G24" s="12"/>
      <c r="H24" s="9">
        <f t="shared" si="0"/>
        <v>3.33552652189084E-2</v>
      </c>
      <c r="I24" s="9">
        <f t="shared" si="1"/>
        <v>5.3933224097151088E-2</v>
      </c>
      <c r="J24" s="9">
        <f t="shared" si="2"/>
        <v>2.6413709110212617E-2</v>
      </c>
      <c r="K24" s="9">
        <f t="shared" si="5"/>
        <v>-5.0887114496180504E-3</v>
      </c>
      <c r="L24" s="15"/>
      <c r="M24" s="9">
        <f t="shared" si="6"/>
        <v>0.16154238378852376</v>
      </c>
      <c r="N24" s="9">
        <f t="shared" si="3"/>
        <v>1.1753222717133358</v>
      </c>
      <c r="O24" s="9"/>
      <c r="Q24" s="15"/>
    </row>
    <row r="25" spans="1:17" x14ac:dyDescent="0.3">
      <c r="A25" s="13">
        <v>1970</v>
      </c>
      <c r="B25" s="9">
        <f>Data!AA25</f>
        <v>2.3940672874450684</v>
      </c>
      <c r="C25" s="9">
        <f>Data!AD25</f>
        <v>2.7946202754974365</v>
      </c>
      <c r="D25" s="9">
        <f>Data!AG25</f>
        <v>1.5930484533309937</v>
      </c>
      <c r="E25" s="12"/>
      <c r="F25" s="9">
        <f t="shared" si="4"/>
        <v>0.56284594535827637</v>
      </c>
      <c r="G25" s="12"/>
      <c r="H25" s="9">
        <f t="shared" si="0"/>
        <v>1.8669130500809868E-2</v>
      </c>
      <c r="I25" s="9">
        <f t="shared" si="1"/>
        <v>4.6348261995224335E-2</v>
      </c>
      <c r="J25" s="9">
        <f t="shared" si="2"/>
        <v>-3.0080147681652908E-3</v>
      </c>
      <c r="K25" s="9">
        <f t="shared" si="5"/>
        <v>1.0084875984029524E-4</v>
      </c>
      <c r="L25" s="15"/>
      <c r="M25" s="9">
        <f t="shared" si="6"/>
        <v>0.16164323254836405</v>
      </c>
      <c r="N25" s="9">
        <f t="shared" si="3"/>
        <v>1.1754408074838429</v>
      </c>
      <c r="O25" s="9"/>
      <c r="Q25" s="15"/>
    </row>
    <row r="26" spans="1:17" x14ac:dyDescent="0.3">
      <c r="A26" s="13">
        <v>1971</v>
      </c>
      <c r="B26" s="9">
        <f>Data!AA26</f>
        <v>2.4738080501556396</v>
      </c>
      <c r="C26" s="9">
        <f>Data!AD26</f>
        <v>2.9310183525085449</v>
      </c>
      <c r="D26" s="9">
        <f>Data!AG26</f>
        <v>1.6077616214752197</v>
      </c>
      <c r="E26" s="12"/>
      <c r="F26" s="9">
        <f t="shared" si="4"/>
        <v>0.56284594535827637</v>
      </c>
      <c r="G26" s="12"/>
      <c r="H26" s="9">
        <f t="shared" si="0"/>
        <v>3.2764970676395999E-2</v>
      </c>
      <c r="I26" s="9">
        <f t="shared" si="1"/>
        <v>4.7653684347681892E-2</v>
      </c>
      <c r="J26" s="9">
        <f t="shared" si="2"/>
        <v>9.1934675471359445E-3</v>
      </c>
      <c r="K26" s="9">
        <f t="shared" si="5"/>
        <v>6.7584634125016554E-3</v>
      </c>
      <c r="L26" s="15"/>
      <c r="M26" s="9">
        <f t="shared" si="6"/>
        <v>0.16840169596086571</v>
      </c>
      <c r="N26" s="9">
        <f t="shared" si="3"/>
        <v>1.1834118869581645</v>
      </c>
      <c r="O26" s="9"/>
      <c r="Q26" s="15"/>
    </row>
    <row r="27" spans="1:17" x14ac:dyDescent="0.3">
      <c r="A27" s="13">
        <v>1972</v>
      </c>
      <c r="B27" s="9">
        <f>Data!AA27</f>
        <v>2.5881478786468506</v>
      </c>
      <c r="C27" s="9">
        <f>Data!AD27</f>
        <v>3.0582795143127441</v>
      </c>
      <c r="D27" s="9">
        <f>Data!AG27</f>
        <v>1.635891318321228</v>
      </c>
      <c r="E27" s="12"/>
      <c r="F27" s="9">
        <f t="shared" si="4"/>
        <v>0.56284594535827637</v>
      </c>
      <c r="G27" s="12"/>
      <c r="H27" s="9">
        <f t="shared" si="0"/>
        <v>4.5183831013121872E-2</v>
      </c>
      <c r="I27" s="9">
        <f t="shared" si="1"/>
        <v>4.2502584390857474E-2</v>
      </c>
      <c r="J27" s="9">
        <f t="shared" si="2"/>
        <v>1.7344890213788329E-2</v>
      </c>
      <c r="K27" s="9">
        <f t="shared" si="5"/>
        <v>1.6841152784391286E-2</v>
      </c>
      <c r="L27" s="15"/>
      <c r="M27" s="9">
        <f t="shared" si="6"/>
        <v>0.18524284874525698</v>
      </c>
      <c r="N27" s="9">
        <f t="shared" si="3"/>
        <v>1.2035106756992351</v>
      </c>
      <c r="O27" s="9"/>
      <c r="Q27" s="15"/>
    </row>
    <row r="28" spans="1:17" x14ac:dyDescent="0.3">
      <c r="A28" s="13">
        <v>1973</v>
      </c>
      <c r="B28" s="9">
        <f>Data!AA28</f>
        <v>2.7119474411010742</v>
      </c>
      <c r="C28" s="9">
        <f>Data!AD28</f>
        <v>3.1946957111358643</v>
      </c>
      <c r="D28" s="9">
        <f>Data!AG28</f>
        <v>1.6909971237182617</v>
      </c>
      <c r="E28" s="12"/>
      <c r="F28" s="9">
        <f t="shared" si="4"/>
        <v>0.56284594535827637</v>
      </c>
      <c r="G28" s="12"/>
      <c r="H28" s="9">
        <f t="shared" si="0"/>
        <v>4.6724474632865547E-2</v>
      </c>
      <c r="I28" s="9">
        <f t="shared" si="1"/>
        <v>4.3639336595095911E-2</v>
      </c>
      <c r="J28" s="9">
        <f t="shared" si="2"/>
        <v>3.3130564349707126E-2</v>
      </c>
      <c r="K28" s="9">
        <f t="shared" si="5"/>
        <v>8.9999578867803048E-3</v>
      </c>
      <c r="L28" s="15"/>
      <c r="M28" s="9">
        <f t="shared" si="6"/>
        <v>0.1942428066320373</v>
      </c>
      <c r="N28" s="9">
        <f t="shared" si="3"/>
        <v>1.2143911093771234</v>
      </c>
      <c r="O28" s="9"/>
      <c r="Q28" s="15"/>
    </row>
    <row r="29" spans="1:17" x14ac:dyDescent="0.3">
      <c r="A29" s="13">
        <v>1974</v>
      </c>
      <c r="B29" s="9">
        <f>Data!AA29</f>
        <v>2.767728328704834</v>
      </c>
      <c r="C29" s="9">
        <f>Data!AD29</f>
        <v>3.3333835601806641</v>
      </c>
      <c r="D29" s="9">
        <f>Data!AG29</f>
        <v>1.7033238410949707</v>
      </c>
      <c r="E29" s="12"/>
      <c r="F29" s="9">
        <f t="shared" si="4"/>
        <v>0.56284594535827637</v>
      </c>
      <c r="G29" s="12"/>
      <c r="H29" s="9">
        <f t="shared" si="0"/>
        <v>2.0359896029090163E-2</v>
      </c>
      <c r="I29" s="9">
        <f t="shared" si="1"/>
        <v>4.2496028053751092E-2</v>
      </c>
      <c r="J29" s="9">
        <f t="shared" si="2"/>
        <v>7.263173809686569E-3</v>
      </c>
      <c r="K29" s="9">
        <f t="shared" si="5"/>
        <v>-2.3054628699900733E-3</v>
      </c>
      <c r="L29" s="15"/>
      <c r="M29" s="9">
        <f t="shared" si="6"/>
        <v>0.19193734376204724</v>
      </c>
      <c r="N29" s="9">
        <f t="shared" si="3"/>
        <v>1.2115946006270102</v>
      </c>
      <c r="O29" s="9"/>
      <c r="Q29" s="15"/>
    </row>
    <row r="30" spans="1:17" x14ac:dyDescent="0.3">
      <c r="A30" s="13">
        <v>1975</v>
      </c>
      <c r="B30" s="9">
        <f>Data!AA30</f>
        <v>2.8210113048553467</v>
      </c>
      <c r="C30" s="9">
        <f>Data!AD30</f>
        <v>3.4348804950714111</v>
      </c>
      <c r="D30" s="9">
        <f>Data!AG30</f>
        <v>1.7119184732437134</v>
      </c>
      <c r="E30" s="12"/>
      <c r="F30" s="9">
        <f t="shared" si="4"/>
        <v>0.56284594535827637</v>
      </c>
      <c r="G30" s="12"/>
      <c r="H30" s="9">
        <f t="shared" si="0"/>
        <v>1.90685536102514E-2</v>
      </c>
      <c r="I30" s="9">
        <f t="shared" si="1"/>
        <v>2.9994262430276471E-2</v>
      </c>
      <c r="J30" s="9">
        <f t="shared" si="2"/>
        <v>5.0331130274896526E-3</v>
      </c>
      <c r="K30" s="9">
        <f t="shared" si="5"/>
        <v>3.1235729128156514E-3</v>
      </c>
      <c r="L30" s="15"/>
      <c r="M30" s="9">
        <f t="shared" si="6"/>
        <v>0.19506091667486289</v>
      </c>
      <c r="N30" s="9">
        <f t="shared" si="3"/>
        <v>1.215385021448911</v>
      </c>
      <c r="O30" s="9"/>
      <c r="Q30" s="15"/>
    </row>
    <row r="31" spans="1:17" x14ac:dyDescent="0.3">
      <c r="A31" s="13">
        <v>1976</v>
      </c>
      <c r="B31" s="9">
        <f>Data!AA31</f>
        <v>2.9364693164825439</v>
      </c>
      <c r="C31" s="9">
        <f>Data!AD31</f>
        <v>3.5218832492828369</v>
      </c>
      <c r="D31" s="9">
        <f>Data!AG31</f>
        <v>1.751971960067749</v>
      </c>
      <c r="E31" s="12"/>
      <c r="F31" s="9">
        <f t="shared" si="4"/>
        <v>0.56284594535827637</v>
      </c>
      <c r="G31" s="12"/>
      <c r="H31" s="9">
        <f t="shared" si="0"/>
        <v>4.0112507511264099E-2</v>
      </c>
      <c r="I31" s="9">
        <f t="shared" si="1"/>
        <v>2.5013725844958409E-2</v>
      </c>
      <c r="J31" s="9">
        <f t="shared" si="2"/>
        <v>2.3127332041798936E-2</v>
      </c>
      <c r="K31" s="9">
        <f t="shared" si="5"/>
        <v>1.6160530769762978E-2</v>
      </c>
      <c r="L31" s="15"/>
      <c r="M31" s="9">
        <f t="shared" si="6"/>
        <v>0.21122144744462587</v>
      </c>
      <c r="N31" s="9">
        <f t="shared" si="3"/>
        <v>1.2351858535284104</v>
      </c>
      <c r="O31" s="9"/>
      <c r="Q31" s="15"/>
    </row>
    <row r="32" spans="1:17" x14ac:dyDescent="0.3">
      <c r="A32" s="13">
        <v>1977</v>
      </c>
      <c r="B32" s="9">
        <f>Data!AA32</f>
        <v>3.0533459186553955</v>
      </c>
      <c r="C32" s="9">
        <f>Data!AD32</f>
        <v>3.6268877983093262</v>
      </c>
      <c r="D32" s="9">
        <f>Data!AG32</f>
        <v>1.8134630918502808</v>
      </c>
      <c r="E32" s="12"/>
      <c r="F32" s="9">
        <f t="shared" si="4"/>
        <v>0.56284594535827637</v>
      </c>
      <c r="G32" s="12"/>
      <c r="H32" s="9">
        <f t="shared" si="0"/>
        <v>3.9030064923819011E-2</v>
      </c>
      <c r="I32" s="9">
        <f t="shared" si="1"/>
        <v>2.9379064157539745E-2</v>
      </c>
      <c r="J32" s="9">
        <f t="shared" si="2"/>
        <v>3.4496339786673762E-2</v>
      </c>
      <c r="K32" s="9">
        <f t="shared" si="5"/>
        <v>6.7707629271404612E-3</v>
      </c>
      <c r="L32" s="15"/>
      <c r="M32" s="9">
        <f t="shared" si="6"/>
        <v>0.21799221037176633</v>
      </c>
      <c r="N32" s="9">
        <f t="shared" si="3"/>
        <v>1.2435773805758583</v>
      </c>
      <c r="O32" s="9"/>
      <c r="Q32" s="15"/>
    </row>
    <row r="33" spans="1:17" x14ac:dyDescent="0.3">
      <c r="A33" s="13">
        <v>1978</v>
      </c>
      <c r="B33" s="9">
        <f>Data!AA33</f>
        <v>3.2233760356903076</v>
      </c>
      <c r="C33" s="9">
        <f>Data!AD33</f>
        <v>3.8051121234893799</v>
      </c>
      <c r="D33" s="9">
        <f>Data!AG33</f>
        <v>1.8921774625778198</v>
      </c>
      <c r="E33" s="12"/>
      <c r="F33" s="9">
        <f t="shared" si="4"/>
        <v>0.56284594535827637</v>
      </c>
      <c r="G33" s="12"/>
      <c r="H33" s="9">
        <f t="shared" si="0"/>
        <v>5.4191256756912234E-2</v>
      </c>
      <c r="I33" s="9">
        <f t="shared" si="1"/>
        <v>4.7970533588615562E-2</v>
      </c>
      <c r="J33" s="9">
        <f t="shared" si="2"/>
        <v>4.2489934874318833E-2</v>
      </c>
      <c r="K33" s="9">
        <f t="shared" si="5"/>
        <v>9.3054559327743688E-3</v>
      </c>
      <c r="L33" s="15"/>
      <c r="M33" s="9">
        <f t="shared" si="6"/>
        <v>0.22729766630454071</v>
      </c>
      <c r="N33" s="9">
        <f t="shared" si="3"/>
        <v>1.2552034441076565</v>
      </c>
      <c r="O33" s="9"/>
      <c r="Q33" s="15"/>
    </row>
    <row r="34" spans="1:17" x14ac:dyDescent="0.3">
      <c r="A34" s="13">
        <v>1979</v>
      </c>
      <c r="B34" s="9">
        <f>Data!AA34</f>
        <v>3.3611650466918945</v>
      </c>
      <c r="C34" s="9">
        <f>Data!AD34</f>
        <v>3.9968090057373047</v>
      </c>
      <c r="D34" s="9">
        <f>Data!AG34</f>
        <v>1.9557384252548218</v>
      </c>
      <c r="E34" s="12"/>
      <c r="F34" s="9">
        <f t="shared" si="4"/>
        <v>0.56284594535827637</v>
      </c>
      <c r="G34" s="12"/>
      <c r="H34" s="9">
        <f t="shared" si="0"/>
        <v>4.1858385364818188E-2</v>
      </c>
      <c r="I34" s="9">
        <f t="shared" si="1"/>
        <v>4.9150835895495154E-2</v>
      </c>
      <c r="J34" s="9">
        <f t="shared" si="2"/>
        <v>3.3039570730646201E-2</v>
      </c>
      <c r="K34" s="9">
        <f t="shared" si="5"/>
        <v>1.7757097419503105E-3</v>
      </c>
      <c r="L34" s="15"/>
      <c r="M34" s="9">
        <f t="shared" si="6"/>
        <v>0.22907337604649103</v>
      </c>
      <c r="N34" s="9">
        <f t="shared" si="3"/>
        <v>1.2574343011826239</v>
      </c>
      <c r="O34" s="9"/>
      <c r="Q34" s="15"/>
    </row>
    <row r="35" spans="1:17" x14ac:dyDescent="0.3">
      <c r="A35" s="13">
        <v>1980</v>
      </c>
      <c r="B35" s="9">
        <f>Data!AA35</f>
        <v>3.4101638793945313</v>
      </c>
      <c r="C35" s="9">
        <f>Data!AD35</f>
        <v>4.1866898536682129</v>
      </c>
      <c r="D35" s="9">
        <f>Data!AG35</f>
        <v>1.9764987230300903</v>
      </c>
      <c r="E35" s="12"/>
      <c r="F35" s="9">
        <f t="shared" si="4"/>
        <v>0.56284594535827637</v>
      </c>
      <c r="G35" s="12"/>
      <c r="H35" s="9">
        <f t="shared" ref="H35:H70" si="7">LN(B35/B34)</f>
        <v>1.4472694652588838E-2</v>
      </c>
      <c r="I35" s="9">
        <f t="shared" ref="I35:I70" si="8">LN(C35/C34)</f>
        <v>4.6414116469655632E-2</v>
      </c>
      <c r="J35" s="9">
        <f t="shared" ref="J35:J70" si="9">LN(D35/D34)</f>
        <v>1.0559124427818334E-2</v>
      </c>
      <c r="K35" s="9">
        <f t="shared" si="5"/>
        <v>-1.1760584925465405E-2</v>
      </c>
      <c r="L35" s="15"/>
      <c r="M35" s="9">
        <f t="shared" si="6"/>
        <v>0.21731279112102561</v>
      </c>
      <c r="N35" s="9">
        <f t="shared" si="3"/>
        <v>1.2427327571229168</v>
      </c>
      <c r="O35" s="9"/>
      <c r="Q35" s="15"/>
    </row>
    <row r="36" spans="1:17" x14ac:dyDescent="0.3">
      <c r="A36" s="13">
        <v>1981</v>
      </c>
      <c r="B36" s="9">
        <f>Data!AA36</f>
        <v>3.507000207901001</v>
      </c>
      <c r="C36" s="9">
        <f>Data!AD36</f>
        <v>4.3535366058349609</v>
      </c>
      <c r="D36" s="9">
        <f>Data!AG36</f>
        <v>2.0159521102905273</v>
      </c>
      <c r="E36" s="12"/>
      <c r="F36" s="9">
        <f t="shared" si="4"/>
        <v>0.56284594535827637</v>
      </c>
      <c r="G36" s="12"/>
      <c r="H36" s="9">
        <f t="shared" si="7"/>
        <v>2.8000681825638373E-2</v>
      </c>
      <c r="I36" s="9">
        <f t="shared" si="8"/>
        <v>3.907811696714808E-2</v>
      </c>
      <c r="J36" s="9">
        <f t="shared" si="9"/>
        <v>1.9764637432723001E-2</v>
      </c>
      <c r="K36" s="9">
        <f t="shared" si="5"/>
        <v>-2.0692149479850132E-4</v>
      </c>
      <c r="L36" s="15"/>
      <c r="M36" s="9">
        <f t="shared" si="6"/>
        <v>0.2171058696262271</v>
      </c>
      <c r="N36" s="9">
        <f t="shared" si="3"/>
        <v>1.2424756356060795</v>
      </c>
      <c r="O36" s="9"/>
      <c r="Q36" s="15"/>
    </row>
    <row r="37" spans="1:17" x14ac:dyDescent="0.3">
      <c r="A37" s="13">
        <v>1982</v>
      </c>
      <c r="B37" s="9">
        <f>Data!AA37</f>
        <v>3.494511604309082</v>
      </c>
      <c r="C37" s="9">
        <f>Data!AD37</f>
        <v>4.5140995979309082</v>
      </c>
      <c r="D37" s="9">
        <f>Data!AG37</f>
        <v>2.0306253433227539</v>
      </c>
      <c r="E37" s="12"/>
      <c r="F37" s="9">
        <f t="shared" si="4"/>
        <v>0.56284594535827637</v>
      </c>
      <c r="G37" s="12"/>
      <c r="H37" s="9">
        <f t="shared" si="7"/>
        <v>-3.5674057750500958E-3</v>
      </c>
      <c r="I37" s="9">
        <f t="shared" si="8"/>
        <v>3.6217214760896295E-2</v>
      </c>
      <c r="J37" s="9">
        <f t="shared" si="9"/>
        <v>7.2522014029029079E-3</v>
      </c>
      <c r="K37" s="9">
        <f t="shared" si="5"/>
        <v>-2.3481780210151501E-2</v>
      </c>
      <c r="L37" s="15"/>
      <c r="M37" s="9">
        <f t="shared" si="6"/>
        <v>0.19362408941607562</v>
      </c>
      <c r="N37" s="9">
        <f t="shared" si="3"/>
        <v>1.2136399770840434</v>
      </c>
      <c r="O37" s="9"/>
      <c r="Q37" s="15"/>
    </row>
    <row r="38" spans="1:17" x14ac:dyDescent="0.3">
      <c r="A38" s="13">
        <v>1983</v>
      </c>
      <c r="B38" s="9">
        <f>Data!AA38</f>
        <v>3.6693527698516846</v>
      </c>
      <c r="C38" s="9">
        <f>Data!AD38</f>
        <v>4.677121639251709</v>
      </c>
      <c r="D38" s="9">
        <f>Data!AG38</f>
        <v>2.0667381286621094</v>
      </c>
      <c r="E38" s="12"/>
      <c r="F38" s="9">
        <f t="shared" si="4"/>
        <v>0.56284594535827637</v>
      </c>
      <c r="G38" s="12"/>
      <c r="H38" s="9">
        <f t="shared" si="7"/>
        <v>4.8821664860403007E-2</v>
      </c>
      <c r="I38" s="9">
        <f t="shared" si="8"/>
        <v>3.5477143989221742E-2</v>
      </c>
      <c r="J38" s="9">
        <f t="shared" si="9"/>
        <v>1.7627784656340923E-2</v>
      </c>
      <c r="K38" s="9">
        <f t="shared" si="5"/>
        <v>2.3390960398936136E-2</v>
      </c>
      <c r="L38" s="15"/>
      <c r="M38" s="9">
        <f t="shared" si="6"/>
        <v>0.21701504981501174</v>
      </c>
      <c r="N38" s="9">
        <f t="shared" si="3"/>
        <v>1.2423627993273765</v>
      </c>
      <c r="O38" s="9"/>
      <c r="Q38" s="15"/>
    </row>
    <row r="39" spans="1:17" x14ac:dyDescent="0.3">
      <c r="A39" s="13">
        <v>1984</v>
      </c>
      <c r="B39" s="9">
        <f>Data!AA39</f>
        <v>3.88210129737854</v>
      </c>
      <c r="C39" s="9">
        <f>Data!AD39</f>
        <v>4.9088864326477051</v>
      </c>
      <c r="D39" s="9">
        <f>Data!AG39</f>
        <v>2.1653163433074951</v>
      </c>
      <c r="E39" s="12"/>
      <c r="F39" s="9">
        <f t="shared" si="4"/>
        <v>0.56284594535827637</v>
      </c>
      <c r="G39" s="12"/>
      <c r="H39" s="9">
        <f t="shared" si="7"/>
        <v>5.6361289002468735E-2</v>
      </c>
      <c r="I39" s="9">
        <f t="shared" si="8"/>
        <v>4.8364233919188544E-2</v>
      </c>
      <c r="J39" s="9">
        <f t="shared" si="9"/>
        <v>4.6594886611547141E-2</v>
      </c>
      <c r="K39" s="9">
        <f t="shared" si="5"/>
        <v>8.9929250413167371E-3</v>
      </c>
      <c r="L39" s="15"/>
      <c r="M39" s="9">
        <f t="shared" si="6"/>
        <v>0.22600797485632848</v>
      </c>
      <c r="N39" s="9">
        <f t="shared" si="3"/>
        <v>1.2535856624038773</v>
      </c>
      <c r="O39" s="9"/>
      <c r="Q39" s="15"/>
    </row>
    <row r="40" spans="1:17" x14ac:dyDescent="0.3">
      <c r="A40" s="13">
        <v>1985</v>
      </c>
      <c r="B40" s="9">
        <f>Data!AA40</f>
        <v>4.0423216819763184</v>
      </c>
      <c r="C40" s="9">
        <f>Data!AD40</f>
        <v>5.1692371368408203</v>
      </c>
      <c r="D40" s="9">
        <f>Data!AG40</f>
        <v>2.2215232849121094</v>
      </c>
      <c r="E40" s="12"/>
      <c r="F40" s="9">
        <f t="shared" si="4"/>
        <v>0.56284594535827637</v>
      </c>
      <c r="G40" s="12"/>
      <c r="H40" s="9">
        <f t="shared" si="7"/>
        <v>4.0442622140261099E-2</v>
      </c>
      <c r="I40" s="9">
        <f t="shared" si="8"/>
        <v>5.16780016065247E-2</v>
      </c>
      <c r="J40" s="9">
        <f t="shared" si="9"/>
        <v>2.5626657174312655E-2</v>
      </c>
      <c r="K40" s="9">
        <f t="shared" si="5"/>
        <v>3.4275141185388571E-3</v>
      </c>
      <c r="L40" s="15"/>
      <c r="M40" s="9">
        <f t="shared" si="6"/>
        <v>0.22943548897486735</v>
      </c>
      <c r="N40" s="9">
        <f t="shared" si="3"/>
        <v>1.2578897168506402</v>
      </c>
      <c r="O40" s="9"/>
      <c r="Q40" s="15"/>
    </row>
    <row r="41" spans="1:17" x14ac:dyDescent="0.3">
      <c r="A41" s="13">
        <v>1986</v>
      </c>
      <c r="B41" s="9">
        <f>Data!AA41</f>
        <v>4.2105350494384766</v>
      </c>
      <c r="C41" s="9">
        <f>Data!AD41</f>
        <v>5.4448566436767578</v>
      </c>
      <c r="D41" s="9">
        <f>Data!AG41</f>
        <v>2.2674472332000732</v>
      </c>
      <c r="E41" s="12"/>
      <c r="F41" s="9">
        <f t="shared" si="4"/>
        <v>0.56284594535827637</v>
      </c>
      <c r="G41" s="12"/>
      <c r="H41" s="9">
        <f t="shared" si="7"/>
        <v>4.0770529079083483E-2</v>
      </c>
      <c r="I41" s="9">
        <f t="shared" si="8"/>
        <v>5.1946306075489189E-2</v>
      </c>
      <c r="J41" s="9">
        <f t="shared" si="9"/>
        <v>2.0461506865441046E-2</v>
      </c>
      <c r="K41" s="9">
        <f t="shared" si="5"/>
        <v>6.5453145793893542E-3</v>
      </c>
      <c r="L41" s="15"/>
      <c r="M41" s="9">
        <f t="shared" si="6"/>
        <v>0.23598080355425671</v>
      </c>
      <c r="N41" s="9">
        <f t="shared" si="3"/>
        <v>1.2661500043537266</v>
      </c>
      <c r="O41" s="9"/>
      <c r="Q41" s="15"/>
    </row>
    <row r="42" spans="1:17" x14ac:dyDescent="0.3">
      <c r="A42" s="13">
        <v>1987</v>
      </c>
      <c r="B42" s="9">
        <f>Data!AA42</f>
        <v>4.3061141967773438</v>
      </c>
      <c r="C42" s="9">
        <f>Data!AD42</f>
        <v>5.7438869476318359</v>
      </c>
      <c r="D42" s="9">
        <f>Data!AG42</f>
        <v>2.3659131526947021</v>
      </c>
      <c r="E42" s="12"/>
      <c r="F42" s="9">
        <f t="shared" si="4"/>
        <v>0.56284594535827637</v>
      </c>
      <c r="G42" s="12"/>
      <c r="H42" s="9">
        <f t="shared" si="7"/>
        <v>2.2446189228475726E-2</v>
      </c>
      <c r="I42" s="9">
        <f t="shared" si="8"/>
        <v>5.3464721761640528E-2</v>
      </c>
      <c r="J42" s="9">
        <f t="shared" si="9"/>
        <v>4.2509426676870465E-2</v>
      </c>
      <c r="K42" s="9">
        <f t="shared" si="5"/>
        <v>-2.4852389114498517E-2</v>
      </c>
      <c r="L42" s="15"/>
      <c r="M42" s="9">
        <f t="shared" si="6"/>
        <v>0.21112841443975819</v>
      </c>
      <c r="N42" s="9">
        <f t="shared" si="3"/>
        <v>1.2350709458220739</v>
      </c>
      <c r="O42" s="9"/>
      <c r="Q42" s="15"/>
    </row>
    <row r="43" spans="1:17" x14ac:dyDescent="0.3">
      <c r="A43" s="13">
        <v>1988</v>
      </c>
      <c r="B43" s="9">
        <f>Data!AA43</f>
        <v>4.483245849609375</v>
      </c>
      <c r="C43" s="9">
        <f>Data!AD43</f>
        <v>6.0273118019104004</v>
      </c>
      <c r="D43" s="9">
        <f>Data!AG43</f>
        <v>2.4168086051940918</v>
      </c>
      <c r="E43" s="12"/>
      <c r="F43" s="9">
        <f t="shared" si="4"/>
        <v>0.56284594535827637</v>
      </c>
      <c r="G43" s="12"/>
      <c r="H43" s="9">
        <f t="shared" si="7"/>
        <v>4.0311385115670957E-2</v>
      </c>
      <c r="I43" s="9">
        <f t="shared" si="8"/>
        <v>4.8164957610728004E-2</v>
      </c>
      <c r="J43" s="9">
        <f t="shared" si="9"/>
        <v>2.1283853159329333E-2</v>
      </c>
      <c r="K43" s="9">
        <f t="shared" si="5"/>
        <v>7.2763481521650099E-3</v>
      </c>
      <c r="L43" s="15"/>
      <c r="M43" s="9">
        <f t="shared" si="6"/>
        <v>0.21840476259192321</v>
      </c>
      <c r="N43" s="9">
        <f t="shared" si="3"/>
        <v>1.2440905270277276</v>
      </c>
      <c r="O43" s="9"/>
      <c r="Q43" s="15"/>
    </row>
    <row r="44" spans="1:17" x14ac:dyDescent="0.3">
      <c r="A44" s="13">
        <v>1989</v>
      </c>
      <c r="B44" s="9">
        <f>Data!AA44</f>
        <v>4.6776981353759766</v>
      </c>
      <c r="C44" s="9">
        <f>Data!AD44</f>
        <v>6.2785520553588867</v>
      </c>
      <c r="D44" s="9">
        <f>Data!AG44</f>
        <v>2.5043678283691406</v>
      </c>
      <c r="E44" s="12"/>
      <c r="F44" s="9">
        <f t="shared" si="4"/>
        <v>0.56284594535827637</v>
      </c>
      <c r="G44" s="12"/>
      <c r="H44" s="9">
        <f t="shared" si="7"/>
        <v>4.2458833424506327E-2</v>
      </c>
      <c r="I44" s="9">
        <f t="shared" si="8"/>
        <v>4.0838282118752116E-2</v>
      </c>
      <c r="J44" s="9">
        <f t="shared" si="9"/>
        <v>3.5588427105689685E-2</v>
      </c>
      <c r="K44" s="9">
        <f t="shared" si="5"/>
        <v>4.5754109135752244E-3</v>
      </c>
      <c r="L44" s="15"/>
      <c r="M44" s="9">
        <f t="shared" si="6"/>
        <v>0.22298017350549842</v>
      </c>
      <c r="N44" s="9">
        <f t="shared" si="3"/>
        <v>1.2497957944208951</v>
      </c>
      <c r="O44" s="9"/>
      <c r="Q44" s="15"/>
    </row>
    <row r="45" spans="1:17" x14ac:dyDescent="0.3">
      <c r="A45" s="13">
        <v>1990</v>
      </c>
      <c r="B45" s="9">
        <f>Data!AA45</f>
        <v>4.7953577041625977</v>
      </c>
      <c r="C45" s="9">
        <f>Data!AD45</f>
        <v>6.5381331443786621</v>
      </c>
      <c r="D45" s="9">
        <f>Data!AG45</f>
        <v>2.5562288761138916</v>
      </c>
      <c r="E45" s="12"/>
      <c r="F45" s="9">
        <f t="shared" si="4"/>
        <v>0.56284594535827637</v>
      </c>
      <c r="G45" s="12"/>
      <c r="H45" s="9">
        <f t="shared" si="7"/>
        <v>2.4842167445680966E-2</v>
      </c>
      <c r="I45" s="9">
        <f t="shared" si="8"/>
        <v>4.0512283327338562E-2</v>
      </c>
      <c r="J45" s="9">
        <f t="shared" si="9"/>
        <v>2.0496738388703653E-2</v>
      </c>
      <c r="K45" s="9">
        <f t="shared" si="5"/>
        <v>-4.4044475688105687E-3</v>
      </c>
      <c r="L45" s="15"/>
      <c r="M45" s="9">
        <f t="shared" si="6"/>
        <v>0.21857572593668786</v>
      </c>
      <c r="N45" s="9">
        <f t="shared" si="3"/>
        <v>1.2443032390878828</v>
      </c>
      <c r="O45" s="9"/>
      <c r="Q45" s="15"/>
    </row>
    <row r="46" spans="1:17" x14ac:dyDescent="0.3">
      <c r="A46" s="13">
        <v>1991</v>
      </c>
      <c r="B46" s="9">
        <f>Data!AA46</f>
        <v>4.8310394287109375</v>
      </c>
      <c r="C46" s="9">
        <f>Data!AD46</f>
        <v>6.752960205078125</v>
      </c>
      <c r="D46" s="9">
        <f>Data!AG46</f>
        <v>2.5460567474365234</v>
      </c>
      <c r="E46" s="12"/>
      <c r="F46" s="9">
        <f t="shared" si="4"/>
        <v>0.56284594535827637</v>
      </c>
      <c r="G46" s="12"/>
      <c r="H46" s="9">
        <f t="shared" si="7"/>
        <v>7.4133421821184174E-3</v>
      </c>
      <c r="I46" s="9">
        <f t="shared" si="8"/>
        <v>3.232928486035562E-2</v>
      </c>
      <c r="J46" s="9">
        <f t="shared" si="9"/>
        <v>-3.9872884054886542E-3</v>
      </c>
      <c r="K46" s="9">
        <f t="shared" si="5"/>
        <v>-4.4753066662499754E-3</v>
      </c>
      <c r="L46" s="15"/>
      <c r="M46" s="9">
        <f t="shared" si="6"/>
        <v>0.21410041927043788</v>
      </c>
      <c r="N46" s="9">
        <f t="shared" si="3"/>
        <v>1.2387470426221574</v>
      </c>
      <c r="O46" s="9"/>
      <c r="Q46" s="15"/>
    </row>
    <row r="47" spans="1:17" x14ac:dyDescent="0.3">
      <c r="A47" s="13">
        <v>1992</v>
      </c>
      <c r="B47" s="9">
        <f>Data!AA47</f>
        <v>4.9996461868286133</v>
      </c>
      <c r="C47" s="9">
        <f>Data!AD47</f>
        <v>6.9660825729370117</v>
      </c>
      <c r="D47" s="9">
        <f>Data!AG47</f>
        <v>2.5582327842712402</v>
      </c>
      <c r="E47" s="12"/>
      <c r="F47" s="9">
        <f t="shared" si="4"/>
        <v>0.56284594535827637</v>
      </c>
      <c r="G47" s="12"/>
      <c r="H47" s="9">
        <f t="shared" si="7"/>
        <v>3.4305500152648917E-2</v>
      </c>
      <c r="I47" s="9">
        <f t="shared" si="8"/>
        <v>3.1072067932133882E-2</v>
      </c>
      <c r="J47" s="9">
        <f t="shared" si="9"/>
        <v>4.7709127213827734E-3</v>
      </c>
      <c r="K47" s="9">
        <f t="shared" si="5"/>
        <v>1.8036930789125001E-2</v>
      </c>
      <c r="L47" s="15"/>
      <c r="M47" s="9">
        <f t="shared" si="6"/>
        <v>0.23213735005956287</v>
      </c>
      <c r="N47" s="9">
        <f t="shared" si="3"/>
        <v>1.2612929555942809</v>
      </c>
      <c r="O47" s="9"/>
      <c r="Q47" s="15"/>
    </row>
    <row r="48" spans="1:17" x14ac:dyDescent="0.3">
      <c r="A48" s="13">
        <v>1993</v>
      </c>
      <c r="B48" s="9">
        <f>Data!AA48</f>
        <v>5.1351704597473145</v>
      </c>
      <c r="C48" s="9">
        <f>Data!AD48</f>
        <v>7.2307853698730469</v>
      </c>
      <c r="D48" s="9">
        <f>Data!AG48</f>
        <v>2.621762752532959</v>
      </c>
      <c r="E48" s="12"/>
      <c r="F48" s="9">
        <f t="shared" si="4"/>
        <v>0.56284594535827637</v>
      </c>
      <c r="G48" s="12"/>
      <c r="H48" s="9">
        <f t="shared" si="7"/>
        <v>2.6745891199996066E-2</v>
      </c>
      <c r="I48" s="9">
        <f t="shared" si="8"/>
        <v>3.7294631227123703E-2</v>
      </c>
      <c r="J48" s="9">
        <f t="shared" si="9"/>
        <v>2.4530196382800136E-2</v>
      </c>
      <c r="K48" s="9">
        <f t="shared" si="5"/>
        <v>-3.3643296302102166E-3</v>
      </c>
      <c r="L48" s="15"/>
      <c r="M48" s="9">
        <f t="shared" si="6"/>
        <v>0.22877302042935266</v>
      </c>
      <c r="N48" s="9">
        <f t="shared" si="3"/>
        <v>1.2570566804401757</v>
      </c>
      <c r="O48" s="9"/>
      <c r="Q48" s="15"/>
    </row>
    <row r="49" spans="1:17" x14ac:dyDescent="0.3">
      <c r="A49" s="13">
        <v>1994</v>
      </c>
      <c r="B49" s="9">
        <f>Data!AA49</f>
        <v>5.2988419532775879</v>
      </c>
      <c r="C49" s="9">
        <f>Data!AD49</f>
        <v>7.5210251808166504</v>
      </c>
      <c r="D49" s="9">
        <f>Data!AG49</f>
        <v>2.6848328113555908</v>
      </c>
      <c r="E49" s="12"/>
      <c r="F49" s="9">
        <f t="shared" si="4"/>
        <v>0.56284594535827637</v>
      </c>
      <c r="G49" s="12"/>
      <c r="H49" s="9">
        <f t="shared" si="7"/>
        <v>3.1375258805995447E-2</v>
      </c>
      <c r="I49" s="9">
        <f t="shared" si="8"/>
        <v>3.9354799096596484E-2</v>
      </c>
      <c r="J49" s="9">
        <f t="shared" si="9"/>
        <v>2.3771560519970501E-2</v>
      </c>
      <c r="K49" s="9">
        <f t="shared" si="5"/>
        <v>7.9142235780357492E-4</v>
      </c>
      <c r="L49" s="15"/>
      <c r="M49" s="9">
        <f t="shared" si="6"/>
        <v>0.22956444278715624</v>
      </c>
      <c r="N49" s="9">
        <f t="shared" si="3"/>
        <v>1.2580519369842946</v>
      </c>
      <c r="O49" s="9"/>
      <c r="Q49" s="15"/>
    </row>
    <row r="50" spans="1:17" x14ac:dyDescent="0.3">
      <c r="A50" s="13">
        <v>1995</v>
      </c>
      <c r="B50" s="9">
        <f>Data!AA50</f>
        <v>5.4227166175842285</v>
      </c>
      <c r="C50" s="9">
        <f>Data!AD50</f>
        <v>7.8340291976928711</v>
      </c>
      <c r="D50" s="9">
        <f>Data!AG50</f>
        <v>2.7652108669281006</v>
      </c>
      <c r="E50" s="12"/>
      <c r="F50" s="9">
        <f t="shared" si="4"/>
        <v>0.56284594535827637</v>
      </c>
      <c r="G50" s="12"/>
      <c r="H50" s="9">
        <f t="shared" si="7"/>
        <v>2.3108613536766499E-2</v>
      </c>
      <c r="I50" s="9">
        <f t="shared" si="8"/>
        <v>4.0774506378254027E-2</v>
      </c>
      <c r="J50" s="9">
        <f t="shared" si="9"/>
        <v>2.9498436599334571E-2</v>
      </c>
      <c r="K50" s="9">
        <f t="shared" si="5"/>
        <v>-1.1319202686845716E-2</v>
      </c>
      <c r="L50" s="15"/>
      <c r="M50" s="9">
        <f t="shared" si="6"/>
        <v>0.21824524010031052</v>
      </c>
      <c r="N50" s="9">
        <f t="shared" si="3"/>
        <v>1.2438920824356732</v>
      </c>
      <c r="O50" s="9"/>
      <c r="Q50" s="15"/>
    </row>
    <row r="51" spans="1:17" x14ac:dyDescent="0.3">
      <c r="A51" s="13">
        <v>1996</v>
      </c>
      <c r="B51" s="9">
        <f>Data!AA51</f>
        <v>5.6475605964660645</v>
      </c>
      <c r="C51" s="9">
        <f>Data!AD51</f>
        <v>8.1678256988525391</v>
      </c>
      <c r="D51" s="9">
        <f>Data!AG51</f>
        <v>2.8087341785430908</v>
      </c>
      <c r="E51" s="12"/>
      <c r="F51" s="9">
        <f t="shared" si="4"/>
        <v>0.56284594535827637</v>
      </c>
      <c r="G51" s="12"/>
      <c r="H51" s="9">
        <f t="shared" si="7"/>
        <v>4.0626788249604112E-2</v>
      </c>
      <c r="I51" s="9">
        <f t="shared" si="8"/>
        <v>4.1725778836481806E-2</v>
      </c>
      <c r="J51" s="9">
        <f t="shared" si="9"/>
        <v>1.5617016614176462E-2</v>
      </c>
      <c r="K51" s="9">
        <f t="shared" si="5"/>
        <v>1.3596220368270209E-2</v>
      </c>
      <c r="L51" s="15"/>
      <c r="M51" s="9">
        <f t="shared" si="6"/>
        <v>0.23184146046858073</v>
      </c>
      <c r="N51" s="9">
        <f t="shared" si="3"/>
        <v>1.2609198073456052</v>
      </c>
      <c r="O51" s="9"/>
      <c r="Q51" s="15"/>
    </row>
    <row r="52" spans="1:17" x14ac:dyDescent="0.3">
      <c r="A52" s="13">
        <v>1997</v>
      </c>
      <c r="B52" s="9">
        <f>Data!AA52</f>
        <v>5.914280891418457</v>
      </c>
      <c r="C52" s="9">
        <f>Data!AD52</f>
        <v>8.5780401229858398</v>
      </c>
      <c r="D52" s="9">
        <f>Data!AG52</f>
        <v>2.8978822231292725</v>
      </c>
      <c r="E52" s="12"/>
      <c r="F52" s="9">
        <f t="shared" si="4"/>
        <v>0.56284594535827637</v>
      </c>
      <c r="G52" s="12"/>
      <c r="H52" s="9">
        <f t="shared" si="7"/>
        <v>4.6146217226583519E-2</v>
      </c>
      <c r="I52" s="9">
        <f t="shared" si="8"/>
        <v>4.900272239170772E-2</v>
      </c>
      <c r="J52" s="9">
        <f t="shared" si="9"/>
        <v>3.1246290746411935E-2</v>
      </c>
      <c r="K52" s="9">
        <f t="shared" si="5"/>
        <v>7.1376303904619187E-3</v>
      </c>
      <c r="L52" s="15"/>
      <c r="M52" s="9">
        <f t="shared" si="6"/>
        <v>0.23897909085904265</v>
      </c>
      <c r="N52" s="9">
        <f t="shared" si="3"/>
        <v>1.2699519827012127</v>
      </c>
      <c r="O52" s="9"/>
      <c r="Q52" s="15"/>
    </row>
    <row r="53" spans="1:17" x14ac:dyDescent="0.3">
      <c r="A53" s="13">
        <v>1998</v>
      </c>
      <c r="B53" s="9">
        <f>Data!AA53</f>
        <v>6.1789097785949707</v>
      </c>
      <c r="C53" s="9">
        <f>Data!AD53</f>
        <v>9.0732622146606445</v>
      </c>
      <c r="D53" s="9">
        <f>Data!AG53</f>
        <v>3.0030844211578369</v>
      </c>
      <c r="E53" s="12"/>
      <c r="F53" s="9">
        <f t="shared" si="4"/>
        <v>0.56284594535827637</v>
      </c>
      <c r="G53" s="12"/>
      <c r="H53" s="9">
        <f t="shared" si="7"/>
        <v>4.3771928361745177E-2</v>
      </c>
      <c r="I53" s="9">
        <f t="shared" si="8"/>
        <v>5.6126406803891866E-2</v>
      </c>
      <c r="J53" s="9">
        <f t="shared" si="9"/>
        <v>3.5659698549231414E-2</v>
      </c>
      <c r="K53" s="9">
        <f t="shared" si="5"/>
        <v>-8.3487468618028901E-4</v>
      </c>
      <c r="L53" s="15"/>
      <c r="M53" s="9">
        <f t="shared" si="6"/>
        <v>0.23814421617286236</v>
      </c>
      <c r="N53" s="9">
        <f t="shared" si="3"/>
        <v>1.2688921744033097</v>
      </c>
      <c r="O53" s="9"/>
      <c r="Q53" s="15"/>
    </row>
    <row r="54" spans="1:17" x14ac:dyDescent="0.3">
      <c r="A54" s="13">
        <v>1999</v>
      </c>
      <c r="B54" s="9">
        <f>Data!AA54</f>
        <v>6.4527912139892578</v>
      </c>
      <c r="C54" s="9">
        <f>Data!AD54</f>
        <v>9.6734066009521484</v>
      </c>
      <c r="D54" s="9">
        <f>Data!AG54</f>
        <v>3.0707335472106934</v>
      </c>
      <c r="E54" s="12"/>
      <c r="F54" s="9">
        <f t="shared" si="4"/>
        <v>0.56284594535827637</v>
      </c>
      <c r="G54" s="12"/>
      <c r="H54" s="9">
        <f t="shared" si="7"/>
        <v>4.3370938878184877E-2</v>
      </c>
      <c r="I54" s="9">
        <f t="shared" si="8"/>
        <v>6.404866262788779E-2</v>
      </c>
      <c r="J54" s="9">
        <f t="shared" si="9"/>
        <v>2.2276572637167133E-2</v>
      </c>
      <c r="K54" s="9">
        <f t="shared" si="5"/>
        <v>2.8335277307152493E-3</v>
      </c>
      <c r="L54" s="15"/>
      <c r="M54" s="9">
        <f t="shared" si="6"/>
        <v>0.2409777439035776</v>
      </c>
      <c r="N54" s="9">
        <f t="shared" si="3"/>
        <v>1.2724927142725269</v>
      </c>
      <c r="O54" s="9"/>
      <c r="Q54" s="15"/>
    </row>
    <row r="55" spans="1:17" x14ac:dyDescent="0.3">
      <c r="A55" s="13">
        <v>2000</v>
      </c>
      <c r="B55" s="9">
        <f>Data!AA55</f>
        <v>6.6897516250610352</v>
      </c>
      <c r="C55" s="9">
        <f>Data!AD55</f>
        <v>10.300636291503906</v>
      </c>
      <c r="D55" s="9">
        <f>Data!AG55</f>
        <v>3.1465556621551514</v>
      </c>
      <c r="E55" s="12"/>
      <c r="F55" s="9">
        <f t="shared" si="4"/>
        <v>0.56284594535827637</v>
      </c>
      <c r="G55" s="12"/>
      <c r="H55" s="9">
        <f t="shared" si="7"/>
        <v>3.6063963597234454E-2</v>
      </c>
      <c r="I55" s="9">
        <f t="shared" si="8"/>
        <v>6.2825136257190078E-2</v>
      </c>
      <c r="J55" s="9">
        <f t="shared" si="9"/>
        <v>2.4391940492693769E-2</v>
      </c>
      <c r="K55" s="9">
        <f t="shared" si="5"/>
        <v>-5.1292042567479962E-3</v>
      </c>
      <c r="L55" s="15"/>
      <c r="M55" s="9">
        <f t="shared" si="6"/>
        <v>0.23584853964682961</v>
      </c>
      <c r="N55" s="9">
        <f t="shared" si="3"/>
        <v>1.2659825494811239</v>
      </c>
      <c r="O55" s="9"/>
      <c r="Q55" s="15"/>
    </row>
    <row r="56" spans="1:17" x14ac:dyDescent="0.3">
      <c r="A56" s="13">
        <v>2001</v>
      </c>
      <c r="B56" s="9">
        <f>Data!AA56</f>
        <v>6.8407597541809082</v>
      </c>
      <c r="C56" s="9">
        <f>Data!AD56</f>
        <v>10.807653427124023</v>
      </c>
      <c r="D56" s="9">
        <f>Data!AG56</f>
        <v>3.160834789276123</v>
      </c>
      <c r="E56" s="12"/>
      <c r="F56" s="9">
        <f t="shared" si="4"/>
        <v>0.56284594535827637</v>
      </c>
      <c r="G56" s="12"/>
      <c r="H56" s="9">
        <f t="shared" si="7"/>
        <v>2.2322053486576218E-2</v>
      </c>
      <c r="I56" s="9">
        <f t="shared" si="8"/>
        <v>4.8048864613783784E-2</v>
      </c>
      <c r="J56" s="9">
        <f t="shared" si="9"/>
        <v>4.5277525230353584E-3</v>
      </c>
      <c r="K56" s="9">
        <f t="shared" si="5"/>
        <v>-1.2311296494467551E-3</v>
      </c>
      <c r="L56" s="15"/>
      <c r="M56" s="9">
        <f t="shared" si="6"/>
        <v>0.23461740999738287</v>
      </c>
      <c r="N56" s="9">
        <f t="shared" si="3"/>
        <v>1.264424919847527</v>
      </c>
      <c r="O56" s="9"/>
      <c r="Q56" s="15"/>
    </row>
    <row r="57" spans="1:17" x14ac:dyDescent="0.3">
      <c r="A57" s="13">
        <v>2002</v>
      </c>
      <c r="B57" s="9">
        <f>Data!AA57</f>
        <v>7.0051445960998535</v>
      </c>
      <c r="C57" s="9">
        <f>Data!AD57</f>
        <v>11.156585693359375</v>
      </c>
      <c r="D57" s="9">
        <f>Data!AG57</f>
        <v>3.1783039569854736</v>
      </c>
      <c r="E57" s="12"/>
      <c r="F57" s="9">
        <f t="shared" si="4"/>
        <v>0.56284594535827637</v>
      </c>
      <c r="G57" s="12"/>
      <c r="H57" s="9">
        <f t="shared" si="7"/>
        <v>2.374602077873493E-2</v>
      </c>
      <c r="I57" s="9">
        <f t="shared" si="8"/>
        <v>3.1775434872788291E-2</v>
      </c>
      <c r="J57" s="9">
        <f t="shared" si="9"/>
        <v>5.5115411195242846E-3</v>
      </c>
      <c r="K57" s="9">
        <f t="shared" si="5"/>
        <v>6.7531120142918476E-3</v>
      </c>
      <c r="L57" s="15"/>
      <c r="M57" s="9">
        <f t="shared" si="6"/>
        <v>0.24137052201167472</v>
      </c>
      <c r="N57" s="9">
        <f t="shared" si="3"/>
        <v>1.2729926197229378</v>
      </c>
      <c r="O57" s="9"/>
      <c r="Q57" s="15"/>
    </row>
    <row r="58" spans="1:17" x14ac:dyDescent="0.3">
      <c r="A58" s="13">
        <v>2003</v>
      </c>
      <c r="B58" s="9">
        <f>Data!AA58</f>
        <v>7.1905169486999512</v>
      </c>
      <c r="C58" s="9">
        <f>Data!AD58</f>
        <v>11.535887718200684</v>
      </c>
      <c r="D58" s="9">
        <f>Data!AG58</f>
        <v>3.2013266086578369</v>
      </c>
      <c r="E58" s="12"/>
      <c r="F58" s="9">
        <f t="shared" si="4"/>
        <v>0.56284594535827637</v>
      </c>
      <c r="G58" s="12"/>
      <c r="H58" s="9">
        <f t="shared" si="7"/>
        <v>2.6118246020229729E-2</v>
      </c>
      <c r="I58" s="9">
        <f t="shared" si="8"/>
        <v>3.3432878641265852E-2</v>
      </c>
      <c r="J58" s="9">
        <f t="shared" si="9"/>
        <v>7.217581450699239E-3</v>
      </c>
      <c r="K58" s="9">
        <f t="shared" si="5"/>
        <v>7.4405411090365092E-3</v>
      </c>
      <c r="L58" s="15"/>
      <c r="M58" s="9">
        <f t="shared" si="6"/>
        <v>0.24881106312071122</v>
      </c>
      <c r="N58" s="9">
        <f t="shared" si="3"/>
        <v>1.2824996986868225</v>
      </c>
      <c r="O58" s="9"/>
      <c r="Q58" s="15"/>
    </row>
    <row r="59" spans="1:17" x14ac:dyDescent="0.3">
      <c r="A59" s="13">
        <v>2004</v>
      </c>
      <c r="B59" s="9">
        <f>Data!AA59</f>
        <v>7.4134716987609863</v>
      </c>
      <c r="C59" s="9">
        <f>Data!AD59</f>
        <v>11.960007667541504</v>
      </c>
      <c r="D59" s="9">
        <f>Data!AG59</f>
        <v>3.2403068542480469</v>
      </c>
      <c r="E59" s="12"/>
      <c r="F59" s="9">
        <f t="shared" si="4"/>
        <v>0.56284594535827637</v>
      </c>
      <c r="G59" s="12"/>
      <c r="H59" s="9">
        <f t="shared" si="7"/>
        <v>3.0535777503625332E-2</v>
      </c>
      <c r="I59" s="9">
        <f t="shared" si="8"/>
        <v>3.6105542291525197E-2</v>
      </c>
      <c r="J59" s="9">
        <f t="shared" si="9"/>
        <v>1.2102744318115692E-2</v>
      </c>
      <c r="K59" s="9">
        <f t="shared" si="5"/>
        <v>7.9401127286875262E-3</v>
      </c>
      <c r="L59" s="15"/>
      <c r="M59" s="9">
        <f t="shared" si="6"/>
        <v>0.25675117584939877</v>
      </c>
      <c r="N59" s="9">
        <f t="shared" si="3"/>
        <v>1.2927234259291263</v>
      </c>
      <c r="O59" s="9"/>
      <c r="Q59" s="15"/>
    </row>
    <row r="60" spans="1:17" x14ac:dyDescent="0.3">
      <c r="A60" s="13">
        <v>2005</v>
      </c>
      <c r="B60" s="9">
        <f>Data!AA60</f>
        <v>7.7011833190917969</v>
      </c>
      <c r="C60" s="9">
        <f>Data!AD60</f>
        <v>12.411257743835449</v>
      </c>
      <c r="D60" s="9">
        <f>Data!AG60</f>
        <v>3.2888140678405762</v>
      </c>
      <c r="E60" s="12"/>
      <c r="F60" s="9">
        <f t="shared" si="4"/>
        <v>0.56284594535827637</v>
      </c>
      <c r="G60" s="12"/>
      <c r="H60" s="9">
        <f t="shared" si="7"/>
        <v>3.8075149915237215E-2</v>
      </c>
      <c r="I60" s="9">
        <f t="shared" si="8"/>
        <v>3.7035553681191054E-2</v>
      </c>
      <c r="J60" s="9">
        <f t="shared" si="9"/>
        <v>1.4859000670992243E-2</v>
      </c>
      <c r="K60" s="9">
        <f t="shared" si="5"/>
        <v>1.352157917785944E-2</v>
      </c>
      <c r="L60" s="15"/>
      <c r="M60" s="9">
        <f t="shared" si="6"/>
        <v>0.27027275502725823</v>
      </c>
      <c r="N60" s="9">
        <f t="shared" si="3"/>
        <v>1.3103217988547473</v>
      </c>
      <c r="O60" s="9"/>
      <c r="Q60" s="15"/>
    </row>
    <row r="61" spans="1:17" x14ac:dyDescent="0.3">
      <c r="A61" s="13">
        <v>2006</v>
      </c>
      <c r="B61" s="9">
        <f>Data!AA61</f>
        <v>7.8938612937927246</v>
      </c>
      <c r="C61" s="9">
        <f>Data!AD61</f>
        <v>12.859340667724609</v>
      </c>
      <c r="D61" s="9">
        <f>Data!AG61</f>
        <v>3.3863639831542969</v>
      </c>
      <c r="E61" s="12"/>
      <c r="F61" s="9">
        <f t="shared" si="4"/>
        <v>0.56284594535827637</v>
      </c>
      <c r="G61" s="12"/>
      <c r="H61" s="9">
        <f t="shared" si="7"/>
        <v>2.4711411136848056E-2</v>
      </c>
      <c r="I61" s="9">
        <f t="shared" si="8"/>
        <v>3.5466504186999911E-2</v>
      </c>
      <c r="J61" s="9">
        <f t="shared" si="9"/>
        <v>2.9229740343222885E-2</v>
      </c>
      <c r="K61" s="9">
        <f t="shared" si="5"/>
        <v>-7.2447558085248585E-3</v>
      </c>
      <c r="L61" s="15"/>
      <c r="M61" s="9">
        <f t="shared" si="6"/>
        <v>0.26302799921873338</v>
      </c>
      <c r="N61" s="9">
        <f t="shared" si="3"/>
        <v>1.3008631415934628</v>
      </c>
      <c r="O61" s="9"/>
      <c r="Q61" s="15"/>
    </row>
    <row r="62" spans="1:17" x14ac:dyDescent="0.3">
      <c r="A62" s="13">
        <v>2007</v>
      </c>
      <c r="B62" s="9">
        <f>Data!AA62</f>
        <v>8.0252933502197266</v>
      </c>
      <c r="C62" s="9">
        <f>Data!AD62</f>
        <v>13.150361061096191</v>
      </c>
      <c r="D62" s="9">
        <f>Data!AG62</f>
        <v>3.4733090400695801</v>
      </c>
      <c r="E62" s="12"/>
      <c r="F62" s="9">
        <f t="shared" si="4"/>
        <v>0.56284594535827637</v>
      </c>
      <c r="G62" s="12"/>
      <c r="H62" s="9">
        <f t="shared" si="7"/>
        <v>1.6512816899100925E-2</v>
      </c>
      <c r="I62" s="9">
        <f t="shared" si="8"/>
        <v>2.2378767875155754E-2</v>
      </c>
      <c r="J62" s="9">
        <f t="shared" si="9"/>
        <v>2.5350978975668605E-2</v>
      </c>
      <c r="K62" s="9">
        <f t="shared" si="5"/>
        <v>-7.5388479427273471E-3</v>
      </c>
      <c r="L62" s="15"/>
      <c r="M62" s="9">
        <f t="shared" si="6"/>
        <v>0.25548915127600602</v>
      </c>
      <c r="N62" s="9">
        <f t="shared" si="3"/>
        <v>1.2910930062302641</v>
      </c>
      <c r="O62" s="9"/>
      <c r="Q62" s="15"/>
    </row>
    <row r="63" spans="1:17" x14ac:dyDescent="0.3">
      <c r="A63" s="13">
        <v>2008</v>
      </c>
      <c r="B63" s="9">
        <f>Data!AA63</f>
        <v>8.0460367202758789</v>
      </c>
      <c r="C63" s="9">
        <f>Data!AD63</f>
        <v>13.501516342163086</v>
      </c>
      <c r="D63" s="9">
        <f>Data!AG63</f>
        <v>3.4771215915679932</v>
      </c>
      <c r="E63" s="12"/>
      <c r="F63" s="9">
        <f t="shared" si="4"/>
        <v>0.56284594535827637</v>
      </c>
      <c r="G63" s="12"/>
      <c r="H63" s="9">
        <f t="shared" si="7"/>
        <v>2.5814144173667741E-3</v>
      </c>
      <c r="I63" s="9">
        <f t="shared" si="8"/>
        <v>2.6352785414075628E-2</v>
      </c>
      <c r="J63" s="9">
        <f t="shared" si="9"/>
        <v>1.0970692559522997E-3</v>
      </c>
      <c r="K63" s="9">
        <f t="shared" si="5"/>
        <v>-9.556293559989635E-3</v>
      </c>
      <c r="L63" s="15"/>
      <c r="M63" s="9">
        <f t="shared" si="6"/>
        <v>0.24593285771601639</v>
      </c>
      <c r="N63" s="9">
        <f t="shared" si="3"/>
        <v>1.2788137081860154</v>
      </c>
      <c r="O63" s="9"/>
      <c r="Q63" s="15"/>
    </row>
    <row r="64" spans="1:17" x14ac:dyDescent="0.3">
      <c r="A64" s="13">
        <v>2009</v>
      </c>
      <c r="B64" s="9">
        <f>Data!AA64</f>
        <v>7.9010329246520996</v>
      </c>
      <c r="C64" s="9">
        <f>Data!AD64</f>
        <v>13.637883186340332</v>
      </c>
      <c r="D64" s="9">
        <f>Data!AG64</f>
        <v>3.388697624206543</v>
      </c>
      <c r="E64" s="12"/>
      <c r="F64" s="9">
        <f t="shared" si="4"/>
        <v>0.56284594535827637</v>
      </c>
      <c r="G64" s="12"/>
      <c r="H64" s="9">
        <f t="shared" si="7"/>
        <v>-1.8186136427952051E-2</v>
      </c>
      <c r="I64" s="9">
        <f t="shared" si="8"/>
        <v>1.00494479760827E-2</v>
      </c>
      <c r="J64" s="9">
        <f t="shared" si="9"/>
        <v>-2.5759156741099024E-2</v>
      </c>
      <c r="K64" s="9">
        <f t="shared" si="5"/>
        <v>-8.080856430031768E-3</v>
      </c>
      <c r="L64" s="15"/>
      <c r="M64" s="9">
        <f t="shared" si="6"/>
        <v>0.23785200128598463</v>
      </c>
      <c r="N64" s="9">
        <f t="shared" si="3"/>
        <v>1.2685214393898894</v>
      </c>
      <c r="O64" s="9"/>
      <c r="Q64" s="15"/>
    </row>
    <row r="65" spans="1:17" x14ac:dyDescent="0.3">
      <c r="A65" s="13">
        <v>2010</v>
      </c>
      <c r="B65" s="9">
        <f>Data!AA65</f>
        <v>8.0758533477783203</v>
      </c>
      <c r="C65" s="9">
        <f>Data!AD65</f>
        <v>13.696765899658203</v>
      </c>
      <c r="D65" s="9">
        <f>Data!AG65</f>
        <v>3.3982329368591309</v>
      </c>
      <c r="E65" s="12"/>
      <c r="F65" s="9">
        <f t="shared" si="4"/>
        <v>0.56284594535827637</v>
      </c>
      <c r="G65" s="12"/>
      <c r="H65" s="9">
        <f t="shared" si="7"/>
        <v>2.1885040386758713E-2</v>
      </c>
      <c r="I65" s="9">
        <f t="shared" si="8"/>
        <v>4.3082904932290091E-3</v>
      </c>
      <c r="J65" s="9">
        <f t="shared" si="9"/>
        <v>2.8099061396572996E-3</v>
      </c>
      <c r="K65" s="9">
        <f t="shared" si="5"/>
        <v>1.8420109451525824E-2</v>
      </c>
      <c r="L65" s="15"/>
      <c r="M65" s="9">
        <f t="shared" si="6"/>
        <v>0.25627211073751044</v>
      </c>
      <c r="N65" s="9">
        <f t="shared" si="3"/>
        <v>1.2921042755549561</v>
      </c>
      <c r="O65" s="9"/>
      <c r="Q65" s="15"/>
    </row>
    <row r="66" spans="1:17" x14ac:dyDescent="0.3">
      <c r="A66" s="13">
        <v>2011</v>
      </c>
      <c r="B66" s="9">
        <f>Data!AA66</f>
        <v>8.2237834930419922</v>
      </c>
      <c r="C66" s="9">
        <f>Data!AD66</f>
        <v>13.825942039489746</v>
      </c>
      <c r="D66" s="9">
        <f>Data!AG66</f>
        <v>3.4754660129547119</v>
      </c>
      <c r="E66" s="12"/>
      <c r="F66" s="9">
        <f t="shared" si="4"/>
        <v>0.56284594535827637</v>
      </c>
      <c r="G66" s="12"/>
      <c r="H66" s="9">
        <f t="shared" si="7"/>
        <v>1.8151840862435396E-2</v>
      </c>
      <c r="I66" s="9">
        <f t="shared" si="8"/>
        <v>9.3869461277412899E-3</v>
      </c>
      <c r="J66" s="9">
        <f t="shared" si="9"/>
        <v>2.247300240760482E-2</v>
      </c>
      <c r="K66" s="9">
        <f t="shared" si="5"/>
        <v>1.3994610168427072E-3</v>
      </c>
      <c r="L66" s="15"/>
      <c r="M66" s="9">
        <f t="shared" si="6"/>
        <v>0.25767157175435312</v>
      </c>
      <c r="N66" s="9">
        <f t="shared" si="3"/>
        <v>1.293913790996124</v>
      </c>
      <c r="O66" s="9"/>
      <c r="Q66" s="15"/>
    </row>
    <row r="67" spans="1:17" x14ac:dyDescent="0.3">
      <c r="A67" s="13">
        <v>2012</v>
      </c>
      <c r="B67" s="9">
        <f>Data!AA67</f>
        <v>8.4050893783569336</v>
      </c>
      <c r="C67" s="9">
        <f>Data!AD67</f>
        <v>13.971443176269531</v>
      </c>
      <c r="D67" s="9">
        <f>Data!AG67</f>
        <v>3.5433132648468018</v>
      </c>
      <c r="E67" s="12"/>
      <c r="F67" s="9">
        <f t="shared" si="4"/>
        <v>0.56284594535827637</v>
      </c>
      <c r="G67" s="12"/>
      <c r="H67" s="9">
        <f t="shared" si="7"/>
        <v>2.1807018623791995E-2</v>
      </c>
      <c r="I67" s="9">
        <f t="shared" si="8"/>
        <v>1.0468787945633176E-2</v>
      </c>
      <c r="J67" s="9">
        <f t="shared" si="9"/>
        <v>1.933366546583884E-2</v>
      </c>
      <c r="K67" s="9">
        <f t="shared" si="5"/>
        <v>6.3486703098133302E-3</v>
      </c>
      <c r="L67" s="15"/>
      <c r="M67" s="9">
        <f t="shared" si="6"/>
        <v>0.26402024206416647</v>
      </c>
      <c r="N67" s="9">
        <f t="shared" ref="N67:N70" si="10">EXP(M67)</f>
        <v>1.3021545543301662</v>
      </c>
      <c r="O67" s="9"/>
      <c r="Q67" s="15"/>
    </row>
    <row r="68" spans="1:17" x14ac:dyDescent="0.3">
      <c r="A68" s="13">
        <v>2013</v>
      </c>
      <c r="B68" s="9">
        <f>Data!AA68</f>
        <v>8.5184164047241211</v>
      </c>
      <c r="C68" s="9">
        <f>Data!AD68</f>
        <v>14.163325309753418</v>
      </c>
      <c r="D68" s="9">
        <f>Data!AG68</f>
        <v>3.6127400398254395</v>
      </c>
      <c r="E68" s="12"/>
      <c r="F68" s="9">
        <f t="shared" ref="F68:F78" si="11">F67</f>
        <v>0.56284594535827637</v>
      </c>
      <c r="G68" s="12"/>
      <c r="H68" s="9">
        <f t="shared" si="7"/>
        <v>1.3393054820608695E-2</v>
      </c>
      <c r="I68" s="9">
        <f t="shared" si="8"/>
        <v>1.364042563363105E-2</v>
      </c>
      <c r="J68" s="9">
        <f t="shared" si="9"/>
        <v>1.9404258302752102E-2</v>
      </c>
      <c r="K68" s="9">
        <f t="shared" ref="K68:K70" si="12">H68-(1-F68)*I68-F68*J68</f>
        <v>-3.49152066056071E-3</v>
      </c>
      <c r="L68" s="15"/>
      <c r="M68" s="9">
        <f t="shared" ref="M68:M70" si="13">M67+K68</f>
        <v>0.26052872140360578</v>
      </c>
      <c r="N68" s="9">
        <f t="shared" si="10"/>
        <v>1.2976159826695428</v>
      </c>
      <c r="O68" s="9"/>
      <c r="Q68" s="15"/>
    </row>
    <row r="69" spans="1:17" x14ac:dyDescent="0.3">
      <c r="A69" s="13">
        <v>2014</v>
      </c>
      <c r="B69" s="9">
        <f>Data!AA69</f>
        <v>8.7123737335205078</v>
      </c>
      <c r="C69" s="9">
        <f>Data!AD69</f>
        <v>14.359843254089355</v>
      </c>
      <c r="D69" s="9">
        <f>Data!AG69</f>
        <v>3.6696851253509521</v>
      </c>
      <c r="E69" s="12"/>
      <c r="F69" s="9">
        <f t="shared" si="11"/>
        <v>0.56284594535827637</v>
      </c>
      <c r="G69" s="12"/>
      <c r="H69" s="9">
        <f t="shared" si="7"/>
        <v>2.2513827840326538E-2</v>
      </c>
      <c r="I69" s="9">
        <f t="shared" si="8"/>
        <v>1.377974915230855E-2</v>
      </c>
      <c r="J69" s="9">
        <f t="shared" si="9"/>
        <v>1.5639363237068254E-2</v>
      </c>
      <c r="K69" s="9">
        <f t="shared" si="12"/>
        <v>7.6874024404798465E-3</v>
      </c>
      <c r="L69" s="15"/>
      <c r="M69" s="9">
        <f t="shared" si="13"/>
        <v>0.26821612384408561</v>
      </c>
      <c r="N69" s="9">
        <f t="shared" si="10"/>
        <v>1.3076297194393662</v>
      </c>
      <c r="O69" s="9"/>
      <c r="Q69" s="15"/>
    </row>
    <row r="70" spans="1:17" x14ac:dyDescent="0.3">
      <c r="A70" s="13">
        <v>2015</v>
      </c>
      <c r="B70" s="9">
        <f>Data!AA70</f>
        <v>8.9502849578857422</v>
      </c>
      <c r="C70" s="9">
        <f>Data!AD70</f>
        <v>14.691830635070801</v>
      </c>
      <c r="D70" s="9">
        <f>Data!AG70</f>
        <v>3.763556957244873</v>
      </c>
      <c r="E70" s="12"/>
      <c r="F70" s="9">
        <f t="shared" si="11"/>
        <v>0.56284594535827637</v>
      </c>
      <c r="G70" s="12"/>
      <c r="H70" s="9">
        <f t="shared" si="7"/>
        <v>2.6941087234004516E-2</v>
      </c>
      <c r="I70" s="9">
        <f t="shared" si="8"/>
        <v>2.2855952086528068E-2</v>
      </c>
      <c r="J70" s="9">
        <f t="shared" si="9"/>
        <v>2.5258648015129743E-2</v>
      </c>
      <c r="K70" s="9">
        <f t="shared" si="12"/>
        <v>2.7327874861341559E-3</v>
      </c>
      <c r="L70" s="15"/>
      <c r="M70" s="9">
        <f t="shared" si="13"/>
        <v>0.27094891133021975</v>
      </c>
      <c r="N70" s="9">
        <f t="shared" si="10"/>
        <v>1.311208080796745</v>
      </c>
      <c r="O70" s="9"/>
      <c r="Q70" s="15"/>
    </row>
    <row r="71" spans="1:17" x14ac:dyDescent="0.3">
      <c r="A71" s="13">
        <v>2016</v>
      </c>
      <c r="B71" s="9">
        <f>Data!AA71</f>
        <v>9.1084661483764648</v>
      </c>
      <c r="C71" s="9">
        <f>Data!AD71</f>
        <v>15.044181823730469</v>
      </c>
      <c r="D71" s="9">
        <f>Data!AG71</f>
        <v>3.8368697166442871</v>
      </c>
      <c r="E71" s="12"/>
      <c r="F71" s="9">
        <f t="shared" si="11"/>
        <v>0.56284594535827637</v>
      </c>
      <c r="G71" s="12"/>
      <c r="H71" s="9">
        <f t="shared" ref="H71:H78" si="14">LN(B71/B70)</f>
        <v>1.7518956344820882E-2</v>
      </c>
      <c r="I71" s="9">
        <f t="shared" ref="I71:I78" si="15">LN(C71/C70)</f>
        <v>2.3699726470793672E-2</v>
      </c>
      <c r="J71" s="9">
        <f t="shared" ref="J71:J78" si="16">LN(D71/D70)</f>
        <v>1.9292346710445239E-2</v>
      </c>
      <c r="K71" s="9">
        <f t="shared" ref="K71:K78" si="17">H71-(1-F71)*I71-F71*J71</f>
        <v>-3.7000942982065421E-3</v>
      </c>
      <c r="L71" s="15"/>
      <c r="M71" s="9">
        <f t="shared" ref="M71:M78" si="18">M70+K71</f>
        <v>0.2672488170320132</v>
      </c>
      <c r="N71" s="9">
        <f t="shared" ref="N71:N78" si="19">EXP(M71)</f>
        <v>1.3063654518699797</v>
      </c>
      <c r="O71" s="9"/>
      <c r="Q71" s="15"/>
    </row>
    <row r="72" spans="1:17" x14ac:dyDescent="0.3">
      <c r="A72" s="13">
        <v>2017</v>
      </c>
      <c r="B72" s="9">
        <f>Data!AA72</f>
        <v>9.3277721405029297</v>
      </c>
      <c r="C72" s="9">
        <f>Data!AD72</f>
        <v>15.410539627075195</v>
      </c>
      <c r="D72" s="9">
        <f>Data!AG72</f>
        <v>3.886127233505249</v>
      </c>
      <c r="E72" s="12"/>
      <c r="F72" s="9">
        <f t="shared" si="11"/>
        <v>0.56284594535827637</v>
      </c>
      <c r="G72" s="12"/>
      <c r="H72" s="9">
        <f t="shared" si="14"/>
        <v>2.3791874839025545E-2</v>
      </c>
      <c r="I72" s="9">
        <f t="shared" si="15"/>
        <v>2.406034003469118E-2</v>
      </c>
      <c r="J72" s="9">
        <f t="shared" si="16"/>
        <v>1.2756235724393845E-2</v>
      </c>
      <c r="K72" s="9">
        <f t="shared" si="17"/>
        <v>6.0940040812922352E-3</v>
      </c>
      <c r="L72" s="15"/>
      <c r="M72" s="9">
        <f t="shared" si="18"/>
        <v>0.27334282111330543</v>
      </c>
      <c r="N72" s="9">
        <f t="shared" si="19"/>
        <v>1.3143507547871935</v>
      </c>
      <c r="O72" s="9"/>
      <c r="Q72" s="15"/>
    </row>
    <row r="73" spans="1:17" x14ac:dyDescent="0.3">
      <c r="A73" s="13">
        <v>2018</v>
      </c>
      <c r="B73" s="9">
        <f>Data!AA73</f>
        <v>9.5698604583740234</v>
      </c>
      <c r="C73" s="9">
        <f>Data!AD73</f>
        <v>15.801541328430176</v>
      </c>
      <c r="D73" s="9">
        <f>Data!AG73</f>
        <v>3.9582009315490723</v>
      </c>
      <c r="E73" s="12"/>
      <c r="F73" s="9">
        <f t="shared" si="11"/>
        <v>0.56284594535827637</v>
      </c>
      <c r="G73" s="12"/>
      <c r="H73" s="9">
        <f t="shared" si="14"/>
        <v>2.562242237273726E-2</v>
      </c>
      <c r="I73" s="9">
        <f t="shared" si="15"/>
        <v>2.5055821008152006E-2</v>
      </c>
      <c r="J73" s="9">
        <f t="shared" si="16"/>
        <v>1.8376519892770924E-2</v>
      </c>
      <c r="K73" s="9">
        <f t="shared" si="17"/>
        <v>4.3260189152045103E-3</v>
      </c>
      <c r="L73" s="15"/>
      <c r="M73" s="9">
        <f t="shared" si="18"/>
        <v>0.27766884002850994</v>
      </c>
      <c r="N73" s="9">
        <f t="shared" si="19"/>
        <v>1.3200489774365141</v>
      </c>
    </row>
    <row r="74" spans="1:17" x14ac:dyDescent="0.3">
      <c r="A74" s="13">
        <v>2019</v>
      </c>
      <c r="B74" s="9">
        <f>Data!AA74</f>
        <v>9.8420429229736328</v>
      </c>
      <c r="C74" s="9">
        <f>Data!AD74</f>
        <v>16.184921264648438</v>
      </c>
      <c r="D74" s="9">
        <f>Data!AG74</f>
        <v>4.0117850303649902</v>
      </c>
      <c r="E74" s="12"/>
      <c r="F74" s="9">
        <f t="shared" si="11"/>
        <v>0.56284594535827637</v>
      </c>
      <c r="G74" s="12"/>
      <c r="H74" s="9">
        <f t="shared" si="14"/>
        <v>2.8044679432251952E-2</v>
      </c>
      <c r="I74" s="9">
        <f t="shared" si="15"/>
        <v>2.3972534947844546E-2</v>
      </c>
      <c r="J74" s="9">
        <f t="shared" si="16"/>
        <v>1.3446675179023497E-2</v>
      </c>
      <c r="K74" s="9">
        <f t="shared" si="17"/>
        <v>9.9965819766981365E-3</v>
      </c>
      <c r="L74" s="15"/>
      <c r="M74" s="9">
        <f t="shared" si="18"/>
        <v>0.28766542200520806</v>
      </c>
      <c r="N74" s="9">
        <f t="shared" si="19"/>
        <v>1.3333111329227267</v>
      </c>
      <c r="O74" s="9"/>
      <c r="Q74" s="9"/>
    </row>
    <row r="75" spans="1:17" x14ac:dyDescent="0.3">
      <c r="A75" s="13">
        <v>2020</v>
      </c>
      <c r="B75" s="9">
        <f>Data!AA75</f>
        <v>9.6583995819091797</v>
      </c>
      <c r="C75" s="9">
        <f>Data!AD75</f>
        <v>16.592729568481445</v>
      </c>
      <c r="D75" s="9">
        <f>Data!AG75</f>
        <v>3.8551535606384277</v>
      </c>
      <c r="E75" s="12"/>
      <c r="F75" s="9">
        <f t="shared" si="11"/>
        <v>0.56284594535827637</v>
      </c>
      <c r="G75" s="12"/>
      <c r="H75" s="9">
        <f t="shared" si="14"/>
        <v>-1.8835343890422466E-2</v>
      </c>
      <c r="I75" s="9">
        <f t="shared" si="15"/>
        <v>2.488459896475716E-2</v>
      </c>
      <c r="J75" s="9">
        <f t="shared" si="16"/>
        <v>-3.9825446630993057E-2</v>
      </c>
      <c r="K75" s="9">
        <f t="shared" si="17"/>
        <v>-7.2981560676624244E-3</v>
      </c>
      <c r="L75" s="15"/>
      <c r="M75" s="9">
        <f t="shared" si="18"/>
        <v>0.28036726593754563</v>
      </c>
      <c r="N75" s="9">
        <f t="shared" si="19"/>
        <v>1.3236158420940836</v>
      </c>
      <c r="O75" s="10"/>
      <c r="Q75" s="9"/>
    </row>
    <row r="76" spans="1:17" x14ac:dyDescent="0.3">
      <c r="A76" s="13">
        <v>2021</v>
      </c>
      <c r="B76" s="9">
        <f>Data!AA76</f>
        <v>10.295631408691406</v>
      </c>
      <c r="C76" s="9">
        <f>Data!AD76</f>
        <v>16.927215576171875</v>
      </c>
      <c r="D76" s="9">
        <f>Data!AG76</f>
        <v>3.9975881576538086</v>
      </c>
      <c r="E76" s="12"/>
      <c r="F76" s="9">
        <f t="shared" si="11"/>
        <v>0.56284594535827637</v>
      </c>
      <c r="G76" s="12"/>
      <c r="H76" s="9">
        <f t="shared" si="14"/>
        <v>6.3891710438116159E-2</v>
      </c>
      <c r="I76" s="9">
        <f t="shared" si="15"/>
        <v>1.9958094145600964E-2</v>
      </c>
      <c r="J76" s="9">
        <f t="shared" si="16"/>
        <v>3.6280378310117871E-2</v>
      </c>
      <c r="K76" s="9">
        <f t="shared" si="17"/>
        <v>3.4746684831531253E-2</v>
      </c>
      <c r="L76" s="15"/>
      <c r="M76" s="9">
        <f t="shared" si="18"/>
        <v>0.31511395076907689</v>
      </c>
      <c r="N76" s="9">
        <f t="shared" si="19"/>
        <v>1.3704154619559092</v>
      </c>
    </row>
    <row r="77" spans="1:17" x14ac:dyDescent="0.3">
      <c r="A77" s="13">
        <v>2022</v>
      </c>
      <c r="B77" s="9">
        <f>Data!AA77</f>
        <v>10.577735900878906</v>
      </c>
      <c r="C77" s="9">
        <f>Data!AD77</f>
        <v>17.324220657348633</v>
      </c>
      <c r="D77" s="9">
        <f>Data!AG77</f>
        <v>4.1490201950073242</v>
      </c>
      <c r="E77" s="12"/>
      <c r="F77" s="9">
        <f t="shared" si="11"/>
        <v>0.56284594535827637</v>
      </c>
      <c r="G77" s="12"/>
      <c r="H77" s="9">
        <f t="shared" si="14"/>
        <v>2.7031735316377252E-2</v>
      </c>
      <c r="I77" s="9">
        <f t="shared" si="15"/>
        <v>2.3182844595865077E-2</v>
      </c>
      <c r="J77" s="9">
        <f t="shared" si="16"/>
        <v>3.7180990099082947E-2</v>
      </c>
      <c r="K77" s="9">
        <f t="shared" si="17"/>
        <v>-4.0299087185091918E-3</v>
      </c>
      <c r="L77" s="15"/>
      <c r="M77" s="9">
        <f t="shared" si="18"/>
        <v>0.31108404205056772</v>
      </c>
      <c r="N77" s="9">
        <f t="shared" si="19"/>
        <v>1.364903925690836</v>
      </c>
    </row>
    <row r="78" spans="1:17" x14ac:dyDescent="0.3">
      <c r="A78" s="13">
        <v>2023</v>
      </c>
      <c r="B78" s="9">
        <f>Data!AA78</f>
        <v>10.853689193725586</v>
      </c>
      <c r="C78" s="9">
        <f>Data!AD78</f>
        <v>17.698392868041992</v>
      </c>
      <c r="D78" s="9">
        <f>Data!AG78</f>
        <v>4.2074594497680664</v>
      </c>
      <c r="E78" s="12"/>
      <c r="F78" s="9">
        <f t="shared" si="11"/>
        <v>0.56284594535827637</v>
      </c>
      <c r="G78" s="12"/>
      <c r="H78" s="9">
        <f t="shared" si="14"/>
        <v>2.5753634545650543E-2</v>
      </c>
      <c r="I78" s="9">
        <f t="shared" si="15"/>
        <v>2.136827668030189E-2</v>
      </c>
      <c r="J78" s="9">
        <f t="shared" si="16"/>
        <v>1.3986800650680597E-2</v>
      </c>
      <c r="K78" s="9">
        <f t="shared" si="17"/>
        <v>8.5399917193803073E-3</v>
      </c>
      <c r="L78" s="15"/>
      <c r="M78" s="9">
        <f t="shared" si="18"/>
        <v>0.31962403376994802</v>
      </c>
      <c r="N78" s="9">
        <f t="shared" si="19"/>
        <v>1.3766101081188256</v>
      </c>
    </row>
    <row r="80" spans="1:17" x14ac:dyDescent="0.3">
      <c r="B80" s="9">
        <f>B78/B35</f>
        <v>3.1827470988440121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Variables</vt:lpstr>
      <vt:lpstr>Data</vt:lpstr>
      <vt:lpstr>Sheet1</vt:lpstr>
      <vt:lpstr>Sheet2</vt:lpstr>
      <vt:lpstr>TFP_Tot</vt:lpstr>
      <vt:lpstr>calA_X_TD</vt:lpstr>
      <vt:lpstr>TFP_Goods</vt:lpstr>
      <vt:lpstr>TFP_Serv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Vizcaino (staff)</cp:lastModifiedBy>
  <dcterms:modified xsi:type="dcterms:W3CDTF">2025-08-17T13:24:52Z</dcterms:modified>
</cp:coreProperties>
</file>