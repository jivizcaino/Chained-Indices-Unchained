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cho\Documents\GitHub\Chained-Indices-Unchained\Data\"/>
    </mc:Choice>
  </mc:AlternateContent>
  <xr:revisionPtr revIDLastSave="0" documentId="13_ncr:1_{B0DCF3F5-2ED0-4F71-A84B-346CEEA8DA22}" xr6:coauthVersionLast="47" xr6:coauthVersionMax="47" xr10:uidLastSave="{00000000-0000-0000-0000-000000000000}"/>
  <bookViews>
    <workbookView xWindow="-23148" yWindow="-108" windowWidth="23256" windowHeight="12456" activeTab="1" xr2:uid="{00000000-000D-0000-FFFF-FFFF00000000}"/>
  </bookViews>
  <sheets>
    <sheet name="Variables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73" i="1" l="1"/>
  <c r="AJ74" i="1"/>
  <c r="AJ75" i="1"/>
  <c r="AJ76" i="1"/>
  <c r="AJ77" i="1"/>
  <c r="AJ78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2" i="1"/>
  <c r="AX73" i="1"/>
  <c r="AX74" i="1"/>
  <c r="AX75" i="1"/>
  <c r="AX76" i="1"/>
  <c r="AX77" i="1"/>
  <c r="AX78" i="1"/>
  <c r="AZ73" i="1"/>
  <c r="AZ74" i="1"/>
  <c r="AZ75" i="1"/>
  <c r="AZ76" i="1"/>
  <c r="AZ77" i="1"/>
  <c r="AZ78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2" i="1"/>
  <c r="AY73" i="1"/>
  <c r="AY74" i="1"/>
  <c r="AY75" i="1"/>
  <c r="AY76" i="1"/>
  <c r="AY77" i="1"/>
  <c r="AY78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2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2" i="1"/>
  <c r="AW73" i="1"/>
  <c r="AW74" i="1"/>
  <c r="AW75" i="1"/>
  <c r="AW76" i="1"/>
  <c r="AW77" i="1"/>
  <c r="AW78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2" i="1"/>
  <c r="K72" i="1" l="1"/>
  <c r="K48" i="1"/>
  <c r="K8" i="1"/>
  <c r="K64" i="1"/>
  <c r="K40" i="1"/>
  <c r="K16" i="1"/>
  <c r="K67" i="1"/>
  <c r="K32" i="1"/>
  <c r="K56" i="1"/>
  <c r="K24" i="1"/>
  <c r="K59" i="1"/>
  <c r="K51" i="1"/>
  <c r="K35" i="1"/>
  <c r="K78" i="1"/>
  <c r="K70" i="1"/>
  <c r="K62" i="1"/>
  <c r="K54" i="1"/>
  <c r="K46" i="1"/>
  <c r="K38" i="1"/>
  <c r="K30" i="1"/>
  <c r="K22" i="1"/>
  <c r="K14" i="1"/>
  <c r="K6" i="1"/>
  <c r="K27" i="1"/>
  <c r="K19" i="1"/>
  <c r="K3" i="1"/>
  <c r="K77" i="1"/>
  <c r="K69" i="1"/>
  <c r="K61" i="1"/>
  <c r="K53" i="1"/>
  <c r="K45" i="1"/>
  <c r="K37" i="1"/>
  <c r="K29" i="1"/>
  <c r="K21" i="1"/>
  <c r="K13" i="1"/>
  <c r="K5" i="1"/>
  <c r="K43" i="1"/>
  <c r="K11" i="1"/>
  <c r="K76" i="1"/>
  <c r="K68" i="1"/>
  <c r="K60" i="1"/>
  <c r="K52" i="1"/>
  <c r="K44" i="1"/>
  <c r="K36" i="1"/>
  <c r="K28" i="1"/>
  <c r="K20" i="1"/>
  <c r="K12" i="1"/>
  <c r="K4" i="1"/>
  <c r="K65" i="1"/>
  <c r="K57" i="1"/>
  <c r="K49" i="1"/>
  <c r="K41" i="1"/>
  <c r="K33" i="1"/>
  <c r="K25" i="1"/>
  <c r="K17" i="1"/>
  <c r="K9" i="1"/>
  <c r="K74" i="1"/>
  <c r="K66" i="1"/>
  <c r="K58" i="1"/>
  <c r="K50" i="1"/>
  <c r="K42" i="1"/>
  <c r="K34" i="1"/>
  <c r="K26" i="1"/>
  <c r="K18" i="1"/>
  <c r="K10" i="1"/>
  <c r="K2" i="1"/>
  <c r="K75" i="1"/>
  <c r="K73" i="1"/>
  <c r="K71" i="1"/>
  <c r="K63" i="1"/>
  <c r="K55" i="1"/>
  <c r="K47" i="1"/>
  <c r="K39" i="1"/>
  <c r="K31" i="1"/>
  <c r="K23" i="1"/>
  <c r="K15" i="1"/>
  <c r="K7" i="1"/>
</calcChain>
</file>

<file path=xl/sharedStrings.xml><?xml version="1.0" encoding="utf-8"?>
<sst xmlns="http://schemas.openxmlformats.org/spreadsheetml/2006/main" count="253" uniqueCount="179">
  <si>
    <t>year</t>
  </si>
  <si>
    <t>POP</t>
  </si>
  <si>
    <t>GDP</t>
  </si>
  <si>
    <t>GDP_QI</t>
  </si>
  <si>
    <t>GDP_P</t>
  </si>
  <si>
    <t>PCE</t>
  </si>
  <si>
    <t>PIE</t>
  </si>
  <si>
    <t>GCE</t>
  </si>
  <si>
    <t>GIE</t>
  </si>
  <si>
    <t>NX</t>
  </si>
  <si>
    <t>VA_TOT</t>
  </si>
  <si>
    <t>VA_GOOD</t>
  </si>
  <si>
    <t>VA_SERV</t>
  </si>
  <si>
    <t>VA_TOT_P</t>
  </si>
  <si>
    <t>VA_GOOD_P</t>
  </si>
  <si>
    <t>VA_SERV_P</t>
  </si>
  <si>
    <t>VAX_GOOD</t>
  </si>
  <si>
    <t>VAC_GOOD</t>
  </si>
  <si>
    <t>VAX_SERV</t>
  </si>
  <si>
    <t>VAC_SERV</t>
  </si>
  <si>
    <t>LAB_TOT</t>
  </si>
  <si>
    <t>LAB_GOOD</t>
  </si>
  <si>
    <t>LAB_SERV</t>
  </si>
  <si>
    <t>LAB_S_TOT</t>
  </si>
  <si>
    <t>VA_TOT_QI</t>
  </si>
  <si>
    <t>VA_GOOD_QI</t>
  </si>
  <si>
    <t>VA_SERV_QI</t>
  </si>
  <si>
    <t>CAP_TOT_QI</t>
  </si>
  <si>
    <t>CAP_GOOD_QI</t>
  </si>
  <si>
    <t>CAP_SERV_QI</t>
  </si>
  <si>
    <t>LAB_TOT_QI</t>
  </si>
  <si>
    <t>LAB_GOOD_QI</t>
  </si>
  <si>
    <t>LAB_SERV_QI</t>
  </si>
  <si>
    <t>LAB_S_GOOD</t>
  </si>
  <si>
    <t>LAB_S_SERV</t>
  </si>
  <si>
    <t>C_TOT</t>
  </si>
  <si>
    <t>C_GOOD</t>
  </si>
  <si>
    <t>C_SERV</t>
  </si>
  <si>
    <t>C_TOT_QI</t>
  </si>
  <si>
    <t>C_TOT_P</t>
  </si>
  <si>
    <t>C_GOOD_QI</t>
  </si>
  <si>
    <t>C_GOOD_P</t>
  </si>
  <si>
    <t>C_SERV_QI</t>
  </si>
  <si>
    <t>C_SERV_P</t>
  </si>
  <si>
    <t>X_TOT</t>
  </si>
  <si>
    <t>X_TOT_QI</t>
  </si>
  <si>
    <t>X_TOT_P</t>
  </si>
  <si>
    <t>Population, midperiod, thousands</t>
  </si>
  <si>
    <t>GDP, millions of dollars</t>
  </si>
  <si>
    <t>GDP, chain-type quantity indexes for GDP, 2009=1</t>
  </si>
  <si>
    <t>GDP, chain-type price indexes for GDP, 2009=1</t>
  </si>
  <si>
    <t>Personal consumption expenditures, millions of current dollars</t>
  </si>
  <si>
    <t>Private investment expenditures, millions of current dollars</t>
  </si>
  <si>
    <t>Government consumption expenditures, millions of current dollars</t>
  </si>
  <si>
    <t>Government investment expenditures, millions of current dollars</t>
  </si>
  <si>
    <t>Net exports, millions of dollars</t>
  </si>
  <si>
    <t>GDP, current prices, millions of dollars</t>
  </si>
  <si>
    <t>Value added, current prices, goods, millions of dollars</t>
  </si>
  <si>
    <t>Value added, current prices, services, millions of dollars</t>
  </si>
  <si>
    <t>Value added, price index, aggregate, 1947 = 1</t>
  </si>
  <si>
    <t>Value added, price index, goods, 1947 = 1</t>
  </si>
  <si>
    <t>Value added, price index, services, 1947 = 1</t>
  </si>
  <si>
    <t>Investment value added requirement, services, millions of dollars</t>
  </si>
  <si>
    <t>Consumption value added requirement, services, millions of dollars</t>
  </si>
  <si>
    <t>Labour income, current prices, millions of dollars</t>
  </si>
  <si>
    <t>Labour income, current prices, goods, millions of dollars</t>
  </si>
  <si>
    <t>Labour income, current prices, services, millions of dollars</t>
  </si>
  <si>
    <t>Labour income share in value added, aggregate, t and t-1 average</t>
  </si>
  <si>
    <t>Value added, volume index, aggregate, 1947 = 1</t>
  </si>
  <si>
    <t>Value added, volume index, goods, 1947 = 1</t>
  </si>
  <si>
    <t>Value added, volume index, services, 1947 = 1</t>
  </si>
  <si>
    <t>Capital services, volume index, aggregate, 1947 = 1</t>
  </si>
  <si>
    <t>Capital services, volume index, goods, 1947 = 1</t>
  </si>
  <si>
    <t>Capital services, volume index, services, 1947 = 1</t>
  </si>
  <si>
    <t>Efficiency hours worked by persons engaged, volume index, aggregate, 1947 = 1</t>
  </si>
  <si>
    <t>Efficiency hours worked by persons engaged, volume index, goods, 1947 = 1</t>
  </si>
  <si>
    <t>Efficiency hours worked by persons engaged, volume index, services, 1947 = 1</t>
  </si>
  <si>
    <t>Labour income share in value added, goods, t and t-1 average</t>
  </si>
  <si>
    <t>Labour income share in value added, services, t and t-1 average</t>
  </si>
  <si>
    <t>Consumption defined as GDP-X, current prices, millions of dollars</t>
  </si>
  <si>
    <t>Goods consumption expenditures, millions of current dollars</t>
  </si>
  <si>
    <t>Service consumption expenditures, millions of current dollars</t>
  </si>
  <si>
    <t>Chain-type quantity indexes for consumption, 1947=1</t>
  </si>
  <si>
    <t>Chain-type price indexes for consumption, 1947=1</t>
  </si>
  <si>
    <t>Chain-type quantity indexes for goods consumption, 1947=1</t>
  </si>
  <si>
    <t>Chain-type price indexes for goods consumption, 1947=1</t>
  </si>
  <si>
    <t>Chain-type quantity indexes for service consumption, 1947=1</t>
  </si>
  <si>
    <t>Chain-type price indexes for service consumption, 1947=1</t>
  </si>
  <si>
    <t>Fixed investment expenditures, millions of current dollars</t>
  </si>
  <si>
    <t>Chain-type quantity indexes for fixed investment, 1947=1</t>
  </si>
  <si>
    <t>Chain-type price indexes for fixed investment, 1947=1</t>
  </si>
  <si>
    <t>Variable Name</t>
  </si>
  <si>
    <t>Definition</t>
  </si>
  <si>
    <t>TFPVA_SERV_I</t>
  </si>
  <si>
    <t>mLAB_S_GOOD</t>
  </si>
  <si>
    <t>TFPVA_TOT_I</t>
  </si>
  <si>
    <t>VAX_GOOD_S</t>
  </si>
  <si>
    <t>VAX_SERV_S</t>
  </si>
  <si>
    <t>VAC_GOOD_S</t>
  </si>
  <si>
    <t>VAC_SERV_S</t>
  </si>
  <si>
    <t>C_PC</t>
  </si>
  <si>
    <t>VAX_GOOD_S_hat</t>
  </si>
  <si>
    <t>VAX_SERV_S_hat</t>
  </si>
  <si>
    <t>omega_x</t>
  </si>
  <si>
    <t>epsilon_x</t>
  </si>
  <si>
    <t>VAX_GOOD_QI_hat</t>
  </si>
  <si>
    <t>VAX_SERV_QI_hat</t>
  </si>
  <si>
    <t>VAX_SERV_GOOD_hat</t>
  </si>
  <si>
    <t>dVAX_SERV_S_hat_2017</t>
  </si>
  <si>
    <t>VAC_GOOD_S_CES_hat</t>
  </si>
  <si>
    <t>VAC_SERV_S_CES_hat</t>
  </si>
  <si>
    <t>omega_c</t>
  </si>
  <si>
    <t>epsilon_c</t>
  </si>
  <si>
    <t>VAC_GOOD_CES_QI_hat</t>
  </si>
  <si>
    <t>VAC_SERV_CES_QI_hat</t>
  </si>
  <si>
    <t>VAC_SERV_GOOD_CES_hat</t>
  </si>
  <si>
    <t>dVAC_SERV_S_CES_hat_2017</t>
  </si>
  <si>
    <t>VAC_GOOD_S_PIGL_hat</t>
  </si>
  <si>
    <t>VAC_SERV_S_PIGL_hat</t>
  </si>
  <si>
    <t>chi</t>
  </si>
  <si>
    <t>gamma</t>
  </si>
  <si>
    <t>nu</t>
  </si>
  <si>
    <t>VAC_GOOD_PIGL_QI_hat</t>
  </si>
  <si>
    <t>VAC_SERV_PIGL_QI_hat</t>
  </si>
  <si>
    <t>VAC_SERV_GOOD_PIGL_hat</t>
  </si>
  <si>
    <t>dVAC_SERV_S_PIGL_hat_2017</t>
  </si>
  <si>
    <t>VAX_S_GOOD</t>
  </si>
  <si>
    <t>VAX_S_SERV</t>
  </si>
  <si>
    <t>VAC_S_GOOD</t>
  </si>
  <si>
    <t>VAC_S_SERV</t>
  </si>
  <si>
    <t>VAX_GOOD_QI</t>
  </si>
  <si>
    <t>VAX_SERV_QI</t>
  </si>
  <si>
    <t>VAC_GOOD_QI</t>
  </si>
  <si>
    <t>VAC_SERV_QI</t>
  </si>
  <si>
    <t>VA_SERV_GOOD_P</t>
  </si>
  <si>
    <t>VA_SERV_X_P</t>
  </si>
  <si>
    <t>VA_GOOD_X_P</t>
  </si>
  <si>
    <t>C_X_P</t>
  </si>
  <si>
    <t>mLAB_S_TOT</t>
  </si>
  <si>
    <t>mLAB_S_SERV</t>
  </si>
  <si>
    <t>dlTFPVA_TOT_I</t>
  </si>
  <si>
    <t>dlTFPVA_GOOD_I</t>
  </si>
  <si>
    <t>dlTFPVA_SERV_I</t>
  </si>
  <si>
    <t>TFPVA_GOOD_I</t>
  </si>
  <si>
    <t>.</t>
  </si>
  <si>
    <t xml:space="preserve">From here onwards </t>
  </si>
  <si>
    <t xml:space="preserve">VAX_S_SERV </t>
  </si>
  <si>
    <t xml:space="preserve">VAC_S_GOOD </t>
  </si>
  <si>
    <t>Goods value added share in investment expenditure avergared over t and t-1</t>
  </si>
  <si>
    <t>Services value added share in investment expenditure avergared over t and t-1</t>
  </si>
  <si>
    <t>Goods value added share in consumption expenditure avergared over t and t-1</t>
  </si>
  <si>
    <t>Services value added share in consumption expenditure avergared over t and t-1</t>
  </si>
  <si>
    <t>Goods quantity in investment expenditure, 1947 = 1</t>
  </si>
  <si>
    <t>Services quantity in investment expenditure, 1947 = 1</t>
  </si>
  <si>
    <t>Goods quantity in consumption expenditure, 1947 = 1</t>
  </si>
  <si>
    <t>Services quantity iin consumption expenditure, 1947 = 1</t>
  </si>
  <si>
    <t>Value added, services relative to goods price index, 1947 = 1</t>
  </si>
  <si>
    <t>Value added, goods relative to investment price index, 1947 = 1</t>
  </si>
  <si>
    <t>Value added, services relative to investment price index, 1947 = 1</t>
  </si>
  <si>
    <t>Consumption relative to investment price index, 1947 = 1</t>
  </si>
  <si>
    <t>TFP index, aggregate, 1947 = 1</t>
  </si>
  <si>
    <t>TFP index, goods, 1947 = 1</t>
  </si>
  <si>
    <t>TFP index, services, 1947 = 1</t>
  </si>
  <si>
    <t>A_X_I</t>
  </si>
  <si>
    <t>Exogenous investment specific TFP index, 1947 = 1</t>
  </si>
  <si>
    <t>calA_X_I_BU</t>
  </si>
  <si>
    <t>Effective investment specific TFP index, buttom up approach, 1947 = 1</t>
  </si>
  <si>
    <t>calA_X_I_TD</t>
  </si>
  <si>
    <t>Effective investment specific TFP index, top down approach, 1947 = 1</t>
  </si>
  <si>
    <t>calA_C_I</t>
  </si>
  <si>
    <t>Effective consumption specific TFP index, log-CES, 1947 = 1</t>
  </si>
  <si>
    <t>Average labour share, total economy</t>
  </si>
  <si>
    <t>Average labour share, goods sector</t>
  </si>
  <si>
    <t>Average labour share, services sector</t>
  </si>
  <si>
    <t>these data are calculated</t>
  </si>
  <si>
    <t>by HRV</t>
  </si>
  <si>
    <t>Except for VA shares</t>
  </si>
  <si>
    <t>Raw Data</t>
  </si>
  <si>
    <t>Calculated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</si>
</sst>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00"/>
    <numFmt numFmtId="165" formatCode="_-* #,##0.0_-;\-* #,##0.0_-;_-* &quot;-&quot;??_-;_-@_-"/>
    <numFmt numFmtId="166" formatCode="0.0000"/>
    <numFmt numFmtId="167" formatCode="0.000"/>
    <numFmt numFmtId="168" formatCode="_-* #,##0.0_-;\-* #,##0.0_-;_-* &quot;-&quot;?_-;_-@_-"/>
  </numFmts>
  <fonts count="6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4" fillId="0" borderId="1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" borderId="0" xfId="0" applyFill="1"/>
    <xf numFmtId="167" fontId="0" fillId="0" borderId="0" xfId="0" applyNumberFormat="1"/>
    <xf numFmtId="1" fontId="0" fillId="0" borderId="0" xfId="0" applyNumberFormat="1" applyAlignment="1">
      <alignment horizontal="left"/>
    </xf>
    <xf numFmtId="43" fontId="0" fillId="0" borderId="0" xfId="1" applyFont="1"/>
    <xf numFmtId="166" fontId="0" fillId="0" borderId="1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166" fontId="0" fillId="0" borderId="1" xfId="0" applyNumberFormat="1" applyBorder="1" applyAlignment="1">
      <alignment horizontal="right" vertical="center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5" fontId="0" fillId="0" borderId="1" xfId="1" applyNumberFormat="1" applyFont="1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/>
    </xf>
    <xf numFmtId="165" fontId="0" fillId="3" borderId="1" xfId="1" applyNumberFormat="1" applyFont="1" applyFill="1" applyBorder="1" applyAlignment="1">
      <alignment horizontal="center" vertical="center"/>
    </xf>
    <xf numFmtId="43" fontId="0" fillId="3" borderId="0" xfId="0" applyNumberFormat="1" applyFill="1"/>
    <xf numFmtId="164" fontId="0" fillId="3" borderId="0" xfId="0" applyNumberFormat="1" applyFill="1"/>
    <xf numFmtId="167" fontId="0" fillId="3" borderId="0" xfId="0" applyNumberFormat="1" applyFill="1"/>
    <xf numFmtId="0" fontId="0" fillId="0" borderId="1" xfId="0" applyBorder="1" applyAlignment="1">
      <alignment horizontal="left"/>
    </xf>
    <xf numFmtId="0" fontId="0" fillId="0" borderId="1" xfId="0" applyBorder="1"/>
    <xf numFmtId="16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8" fontId="0" fillId="0" borderId="1" xfId="0" applyNumberFormat="1" applyBorder="1"/>
    <xf numFmtId="43" fontId="0" fillId="0" borderId="1" xfId="0" applyNumberFormat="1" applyBorder="1"/>
    <xf numFmtId="0" fontId="3" fillId="0" borderId="1" xfId="2" applyFont="1" applyAlignment="1">
      <alignment horizontal="center"/>
    </xf>
    <xf numFmtId="0" fontId="1" fillId="0" borderId="1" xfId="2" applyFont="1" applyAlignment="1">
      <alignment horizontal="center"/>
    </xf>
    <xf numFmtId="0" fontId="2" fillId="0" borderId="1" xfId="2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3">
    <cellStyle name="Comma" xfId="1" builtinId="3"/>
    <cellStyle name="Normal" xfId="0" builtinId="0"/>
    <cellStyle name="Normal 2" xfId="2" xr:uid="{E1307BB6-9699-4A35-BDE8-E197C36440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9F7D-CC7B-4EC9-B0EF-65F21D289A65}">
  <dimension ref="A1:B76"/>
  <sheetViews>
    <sheetView workbookViewId="0">
      <selection activeCell="C54" sqref="C54"/>
    </sheetView>
  </sheetViews>
  <sheetFormatPr defaultRowHeight="14.4" x14ac:dyDescent="0.3"/>
  <cols>
    <col min="1" max="1" width="13.33203125" bestFit="1" customWidth="1"/>
    <col min="2" max="2" width="66.6640625" bestFit="1" customWidth="1"/>
  </cols>
  <sheetData>
    <row r="1" spans="1:2" x14ac:dyDescent="0.3">
      <c r="A1" s="16" t="s">
        <v>177</v>
      </c>
      <c r="B1" s="16"/>
    </row>
    <row r="2" spans="1:2" x14ac:dyDescent="0.3">
      <c r="A2" t="s">
        <v>91</v>
      </c>
      <c r="B2" t="s">
        <v>92</v>
      </c>
    </row>
    <row r="3" spans="1:2" x14ac:dyDescent="0.3">
      <c r="A3" t="s">
        <v>1</v>
      </c>
      <c r="B3" t="s">
        <v>47</v>
      </c>
    </row>
    <row r="4" spans="1:2" x14ac:dyDescent="0.3">
      <c r="A4" t="s">
        <v>2</v>
      </c>
      <c r="B4" t="s">
        <v>48</v>
      </c>
    </row>
    <row r="5" spans="1:2" x14ac:dyDescent="0.3">
      <c r="A5" t="s">
        <v>3</v>
      </c>
      <c r="B5" t="s">
        <v>49</v>
      </c>
    </row>
    <row r="6" spans="1:2" x14ac:dyDescent="0.3">
      <c r="A6" t="s">
        <v>4</v>
      </c>
      <c r="B6" t="s">
        <v>50</v>
      </c>
    </row>
    <row r="7" spans="1:2" x14ac:dyDescent="0.3">
      <c r="A7" t="s">
        <v>5</v>
      </c>
      <c r="B7" t="s">
        <v>51</v>
      </c>
    </row>
    <row r="8" spans="1:2" x14ac:dyDescent="0.3">
      <c r="A8" t="s">
        <v>6</v>
      </c>
      <c r="B8" t="s">
        <v>52</v>
      </c>
    </row>
    <row r="9" spans="1:2" x14ac:dyDescent="0.3">
      <c r="A9" t="s">
        <v>7</v>
      </c>
      <c r="B9" t="s">
        <v>53</v>
      </c>
    </row>
    <row r="10" spans="1:2" x14ac:dyDescent="0.3">
      <c r="A10" t="s">
        <v>8</v>
      </c>
      <c r="B10" t="s">
        <v>54</v>
      </c>
    </row>
    <row r="11" spans="1:2" x14ac:dyDescent="0.3">
      <c r="A11" t="s">
        <v>9</v>
      </c>
      <c r="B11" t="s">
        <v>55</v>
      </c>
    </row>
    <row r="12" spans="1:2" x14ac:dyDescent="0.3">
      <c r="A12" t="s">
        <v>10</v>
      </c>
      <c r="B12" t="s">
        <v>56</v>
      </c>
    </row>
    <row r="13" spans="1:2" x14ac:dyDescent="0.3">
      <c r="A13" t="s">
        <v>11</v>
      </c>
      <c r="B13" t="s">
        <v>57</v>
      </c>
    </row>
    <row r="14" spans="1:2" x14ac:dyDescent="0.3">
      <c r="A14" t="s">
        <v>12</v>
      </c>
      <c r="B14" t="s">
        <v>58</v>
      </c>
    </row>
    <row r="15" spans="1:2" x14ac:dyDescent="0.3">
      <c r="A15" t="s">
        <v>13</v>
      </c>
      <c r="B15" t="s">
        <v>59</v>
      </c>
    </row>
    <row r="16" spans="1:2" x14ac:dyDescent="0.3">
      <c r="A16" t="s">
        <v>14</v>
      </c>
      <c r="B16" t="s">
        <v>60</v>
      </c>
    </row>
    <row r="17" spans="1:2" x14ac:dyDescent="0.3">
      <c r="A17" t="s">
        <v>15</v>
      </c>
      <c r="B17" t="s">
        <v>61</v>
      </c>
    </row>
    <row r="18" spans="1:2" x14ac:dyDescent="0.3">
      <c r="A18" t="s">
        <v>16</v>
      </c>
      <c r="B18" t="s">
        <v>62</v>
      </c>
    </row>
    <row r="19" spans="1:2" x14ac:dyDescent="0.3">
      <c r="A19" t="s">
        <v>17</v>
      </c>
      <c r="B19" t="s">
        <v>63</v>
      </c>
    </row>
    <row r="20" spans="1:2" x14ac:dyDescent="0.3">
      <c r="A20" t="s">
        <v>18</v>
      </c>
      <c r="B20" t="s">
        <v>62</v>
      </c>
    </row>
    <row r="21" spans="1:2" x14ac:dyDescent="0.3">
      <c r="A21" t="s">
        <v>19</v>
      </c>
      <c r="B21" t="s">
        <v>63</v>
      </c>
    </row>
    <row r="22" spans="1:2" x14ac:dyDescent="0.3">
      <c r="A22" t="s">
        <v>20</v>
      </c>
      <c r="B22" t="s">
        <v>64</v>
      </c>
    </row>
    <row r="23" spans="1:2" x14ac:dyDescent="0.3">
      <c r="A23" t="s">
        <v>21</v>
      </c>
      <c r="B23" t="s">
        <v>65</v>
      </c>
    </row>
    <row r="24" spans="1:2" x14ac:dyDescent="0.3">
      <c r="A24" t="s">
        <v>22</v>
      </c>
      <c r="B24" t="s">
        <v>66</v>
      </c>
    </row>
    <row r="25" spans="1:2" x14ac:dyDescent="0.3">
      <c r="A25" t="s">
        <v>23</v>
      </c>
      <c r="B25" t="s">
        <v>67</v>
      </c>
    </row>
    <row r="26" spans="1:2" x14ac:dyDescent="0.3">
      <c r="A26" t="s">
        <v>24</v>
      </c>
      <c r="B26" t="s">
        <v>68</v>
      </c>
    </row>
    <row r="27" spans="1:2" x14ac:dyDescent="0.3">
      <c r="A27" t="s">
        <v>25</v>
      </c>
      <c r="B27" t="s">
        <v>69</v>
      </c>
    </row>
    <row r="28" spans="1:2" x14ac:dyDescent="0.3">
      <c r="A28" t="s">
        <v>26</v>
      </c>
      <c r="B28" t="s">
        <v>70</v>
      </c>
    </row>
    <row r="29" spans="1:2" x14ac:dyDescent="0.3">
      <c r="A29" t="s">
        <v>27</v>
      </c>
      <c r="B29" t="s">
        <v>71</v>
      </c>
    </row>
    <row r="30" spans="1:2" x14ac:dyDescent="0.3">
      <c r="A30" t="s">
        <v>28</v>
      </c>
      <c r="B30" t="s">
        <v>72</v>
      </c>
    </row>
    <row r="31" spans="1:2" x14ac:dyDescent="0.3">
      <c r="A31" t="s">
        <v>29</v>
      </c>
      <c r="B31" t="s">
        <v>73</v>
      </c>
    </row>
    <row r="32" spans="1:2" x14ac:dyDescent="0.3">
      <c r="A32" t="s">
        <v>30</v>
      </c>
      <c r="B32" t="s">
        <v>74</v>
      </c>
    </row>
    <row r="33" spans="1:2" x14ac:dyDescent="0.3">
      <c r="A33" t="s">
        <v>31</v>
      </c>
      <c r="B33" t="s">
        <v>75</v>
      </c>
    </row>
    <row r="34" spans="1:2" x14ac:dyDescent="0.3">
      <c r="A34" t="s">
        <v>32</v>
      </c>
      <c r="B34" t="s">
        <v>76</v>
      </c>
    </row>
    <row r="35" spans="1:2" x14ac:dyDescent="0.3">
      <c r="A35" t="s">
        <v>33</v>
      </c>
      <c r="B35" t="s">
        <v>77</v>
      </c>
    </row>
    <row r="36" spans="1:2" x14ac:dyDescent="0.3">
      <c r="A36" t="s">
        <v>34</v>
      </c>
      <c r="B36" t="s">
        <v>78</v>
      </c>
    </row>
    <row r="37" spans="1:2" x14ac:dyDescent="0.3">
      <c r="A37" t="s">
        <v>35</v>
      </c>
      <c r="B37" t="s">
        <v>79</v>
      </c>
    </row>
    <row r="38" spans="1:2" x14ac:dyDescent="0.3">
      <c r="A38" t="s">
        <v>36</v>
      </c>
      <c r="B38" t="s">
        <v>80</v>
      </c>
    </row>
    <row r="39" spans="1:2" x14ac:dyDescent="0.3">
      <c r="A39" t="s">
        <v>37</v>
      </c>
      <c r="B39" t="s">
        <v>81</v>
      </c>
    </row>
    <row r="40" spans="1:2" x14ac:dyDescent="0.3">
      <c r="A40" t="s">
        <v>38</v>
      </c>
      <c r="B40" t="s">
        <v>82</v>
      </c>
    </row>
    <row r="41" spans="1:2" x14ac:dyDescent="0.3">
      <c r="A41" t="s">
        <v>39</v>
      </c>
      <c r="B41" t="s">
        <v>83</v>
      </c>
    </row>
    <row r="42" spans="1:2" x14ac:dyDescent="0.3">
      <c r="A42" t="s">
        <v>40</v>
      </c>
      <c r="B42" t="s">
        <v>84</v>
      </c>
    </row>
    <row r="43" spans="1:2" x14ac:dyDescent="0.3">
      <c r="A43" t="s">
        <v>41</v>
      </c>
      <c r="B43" t="s">
        <v>85</v>
      </c>
    </row>
    <row r="44" spans="1:2" x14ac:dyDescent="0.3">
      <c r="A44" t="s">
        <v>42</v>
      </c>
      <c r="B44" t="s">
        <v>86</v>
      </c>
    </row>
    <row r="45" spans="1:2" x14ac:dyDescent="0.3">
      <c r="A45" t="s">
        <v>43</v>
      </c>
      <c r="B45" t="s">
        <v>87</v>
      </c>
    </row>
    <row r="46" spans="1:2" x14ac:dyDescent="0.3">
      <c r="A46" t="s">
        <v>44</v>
      </c>
      <c r="B46" t="s">
        <v>88</v>
      </c>
    </row>
    <row r="47" spans="1:2" x14ac:dyDescent="0.3">
      <c r="A47" t="s">
        <v>45</v>
      </c>
      <c r="B47" t="s">
        <v>89</v>
      </c>
    </row>
    <row r="48" spans="1:2" x14ac:dyDescent="0.3">
      <c r="A48" t="s">
        <v>46</v>
      </c>
      <c r="B48" t="s">
        <v>90</v>
      </c>
    </row>
    <row r="49" spans="1:2" x14ac:dyDescent="0.3">
      <c r="A49" s="16" t="s">
        <v>178</v>
      </c>
      <c r="B49" s="16"/>
    </row>
    <row r="50" spans="1:2" x14ac:dyDescent="0.3">
      <c r="A50" t="s">
        <v>126</v>
      </c>
      <c r="B50" t="s">
        <v>148</v>
      </c>
    </row>
    <row r="51" spans="1:2" x14ac:dyDescent="0.3">
      <c r="A51" t="s">
        <v>146</v>
      </c>
      <c r="B51" t="s">
        <v>149</v>
      </c>
    </row>
    <row r="52" spans="1:2" x14ac:dyDescent="0.3">
      <c r="A52" t="s">
        <v>147</v>
      </c>
      <c r="B52" t="s">
        <v>150</v>
      </c>
    </row>
    <row r="53" spans="1:2" x14ac:dyDescent="0.3">
      <c r="A53" t="s">
        <v>129</v>
      </c>
      <c r="B53" t="s">
        <v>151</v>
      </c>
    </row>
    <row r="54" spans="1:2" x14ac:dyDescent="0.3">
      <c r="A54" t="s">
        <v>130</v>
      </c>
      <c r="B54" t="s">
        <v>152</v>
      </c>
    </row>
    <row r="55" spans="1:2" x14ac:dyDescent="0.3">
      <c r="A55" t="s">
        <v>131</v>
      </c>
      <c r="B55" t="s">
        <v>153</v>
      </c>
    </row>
    <row r="56" spans="1:2" x14ac:dyDescent="0.3">
      <c r="A56" t="s">
        <v>132</v>
      </c>
      <c r="B56" t="s">
        <v>154</v>
      </c>
    </row>
    <row r="57" spans="1:2" x14ac:dyDescent="0.3">
      <c r="A57" t="s">
        <v>133</v>
      </c>
      <c r="B57" t="s">
        <v>155</v>
      </c>
    </row>
    <row r="59" spans="1:2" x14ac:dyDescent="0.3">
      <c r="A59" t="s">
        <v>134</v>
      </c>
      <c r="B59" t="s">
        <v>156</v>
      </c>
    </row>
    <row r="60" spans="1:2" x14ac:dyDescent="0.3">
      <c r="A60" t="s">
        <v>136</v>
      </c>
      <c r="B60" t="s">
        <v>157</v>
      </c>
    </row>
    <row r="61" spans="1:2" x14ac:dyDescent="0.3">
      <c r="A61" t="s">
        <v>135</v>
      </c>
      <c r="B61" t="s">
        <v>158</v>
      </c>
    </row>
    <row r="62" spans="1:2" x14ac:dyDescent="0.3">
      <c r="A62" t="s">
        <v>137</v>
      </c>
      <c r="B62" t="s">
        <v>159</v>
      </c>
    </row>
    <row r="64" spans="1:2" x14ac:dyDescent="0.3">
      <c r="A64" t="s">
        <v>95</v>
      </c>
      <c r="B64" t="s">
        <v>160</v>
      </c>
    </row>
    <row r="65" spans="1:2" x14ac:dyDescent="0.3">
      <c r="A65" t="s">
        <v>143</v>
      </c>
      <c r="B65" t="s">
        <v>161</v>
      </c>
    </row>
    <row r="66" spans="1:2" x14ac:dyDescent="0.3">
      <c r="A66" t="s">
        <v>93</v>
      </c>
      <c r="B66" t="s">
        <v>162</v>
      </c>
    </row>
    <row r="68" spans="1:2" x14ac:dyDescent="0.3">
      <c r="A68" t="s">
        <v>163</v>
      </c>
      <c r="B68" t="s">
        <v>164</v>
      </c>
    </row>
    <row r="69" spans="1:2" x14ac:dyDescent="0.3">
      <c r="A69" t="s">
        <v>165</v>
      </c>
      <c r="B69" t="s">
        <v>166</v>
      </c>
    </row>
    <row r="70" spans="1:2" x14ac:dyDescent="0.3">
      <c r="A70" t="s">
        <v>167</v>
      </c>
      <c r="B70" t="s">
        <v>168</v>
      </c>
    </row>
    <row r="72" spans="1:2" x14ac:dyDescent="0.3">
      <c r="A72" t="s">
        <v>169</v>
      </c>
      <c r="B72" t="s">
        <v>170</v>
      </c>
    </row>
    <row r="74" spans="1:2" x14ac:dyDescent="0.3">
      <c r="A74" t="s">
        <v>138</v>
      </c>
      <c r="B74" t="s">
        <v>171</v>
      </c>
    </row>
    <row r="75" spans="1:2" x14ac:dyDescent="0.3">
      <c r="A75" t="s">
        <v>94</v>
      </c>
      <c r="B75" t="s">
        <v>172</v>
      </c>
    </row>
    <row r="76" spans="1:2" x14ac:dyDescent="0.3">
      <c r="A76" t="s">
        <v>139</v>
      </c>
      <c r="B76" t="s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87"/>
  <sheetViews>
    <sheetView tabSelected="1" zoomScale="30" zoomScaleNormal="30" workbookViewId="0">
      <pane xSplit="10" ySplit="14" topLeftCell="K15" activePane="bottomRight" state="frozen"/>
      <selection pane="topRight" activeCell="K1" sqref="K1"/>
      <selection pane="bottomLeft" activeCell="A15" sqref="A15"/>
      <selection pane="bottomRight" activeCell="DA1" sqref="DA1:XFD1048576"/>
    </sheetView>
  </sheetViews>
  <sheetFormatPr defaultRowHeight="14.4" x14ac:dyDescent="0.3"/>
  <cols>
    <col min="1" max="1" width="8.88671875" style="22"/>
    <col min="2" max="2" width="13.88671875" style="23" bestFit="1" customWidth="1"/>
    <col min="3" max="3" width="14.77734375" style="23" bestFit="1" customWidth="1"/>
    <col min="4" max="4" width="10.109375" style="23" bestFit="1" customWidth="1"/>
    <col min="5" max="5" width="9.109375" style="23" bestFit="1" customWidth="1"/>
    <col min="6" max="6" width="13.5546875" style="23" bestFit="1" customWidth="1"/>
    <col min="7" max="8" width="12.5546875" style="23" bestFit="1" customWidth="1"/>
    <col min="9" max="10" width="10.88671875" style="23" bestFit="1" customWidth="1"/>
    <col min="11" max="11" width="13.5546875" style="23" bestFit="1" customWidth="1"/>
    <col min="12" max="12" width="12.5546875" style="23" bestFit="1" customWidth="1"/>
    <col min="13" max="13" width="13.5546875" style="23" bestFit="1" customWidth="1"/>
    <col min="14" max="14" width="9.5546875" style="23" bestFit="1" customWidth="1"/>
    <col min="15" max="15" width="11.33203125" style="23" bestFit="1" customWidth="1"/>
    <col min="16" max="16" width="10.33203125" style="23" bestFit="1" customWidth="1"/>
    <col min="17" max="19" width="13.5546875" style="23" bestFit="1" customWidth="1"/>
    <col min="20" max="20" width="14.77734375" style="23" bestFit="1" customWidth="1"/>
    <col min="21" max="21" width="13.5546875" style="23" bestFit="1" customWidth="1"/>
    <col min="22" max="23" width="12.5546875" style="23" bestFit="1" customWidth="1"/>
    <col min="24" max="24" width="13.6640625" style="23" bestFit="1" customWidth="1"/>
    <col min="25" max="25" width="10.44140625" style="23" bestFit="1" customWidth="1"/>
    <col min="26" max="26" width="12.21875" style="23" bestFit="1" customWidth="1"/>
    <col min="27" max="27" width="11.21875" style="23" bestFit="1" customWidth="1"/>
    <col min="28" max="28" width="11.44140625" style="23" bestFit="1" customWidth="1"/>
    <col min="29" max="29" width="13.33203125" style="23" bestFit="1" customWidth="1"/>
    <col min="30" max="30" width="12.21875" style="23" bestFit="1" customWidth="1"/>
    <col min="31" max="31" width="11.33203125" style="23" bestFit="1" customWidth="1"/>
    <col min="32" max="32" width="13.21875" style="23" bestFit="1" customWidth="1"/>
    <col min="33" max="34" width="12.109375" style="23" bestFit="1" customWidth="1"/>
    <col min="35" max="35" width="11.109375" style="23" bestFit="1" customWidth="1"/>
    <col min="36" max="36" width="13.5546875" style="23" bestFit="1" customWidth="1"/>
    <col min="37" max="37" width="12.5546875" style="23" bestFit="1" customWidth="1"/>
    <col min="38" max="38" width="13.5546875" style="23" bestFit="1" customWidth="1"/>
    <col min="39" max="40" width="12.88671875" style="23" bestFit="1" customWidth="1"/>
    <col min="41" max="41" width="11.109375" style="23" bestFit="1" customWidth="1"/>
    <col min="42" max="42" width="10.21875" style="23" customWidth="1"/>
    <col min="43" max="43" width="11.21875" style="23" bestFit="1" customWidth="1"/>
    <col min="44" max="44" width="9.21875" style="23" hidden="1" customWidth="1"/>
    <col min="45" max="45" width="12.5546875" style="23" hidden="1" customWidth="1"/>
    <col min="46" max="46" width="11.21875" style="23" bestFit="1" customWidth="1"/>
    <col min="47" max="47" width="8.33203125" style="23" bestFit="1" customWidth="1"/>
    <col min="48" max="48" width="21.77734375" style="23" bestFit="1" customWidth="1"/>
    <col min="49" max="88" width="8.88671875" style="23"/>
    <col min="89" max="89" width="13.44140625" style="23" bestFit="1" customWidth="1"/>
    <col min="90" max="90" width="6.109375" style="23" bestFit="1" customWidth="1"/>
    <col min="91" max="91" width="11.88671875" style="23" bestFit="1" customWidth="1"/>
    <col min="92" max="92" width="13.77734375" style="23" bestFit="1" customWidth="1"/>
    <col min="93" max="93" width="12.6640625" style="23" bestFit="1" customWidth="1"/>
    <col min="94" max="94" width="13.5546875" style="23" bestFit="1" customWidth="1"/>
    <col min="95" max="95" width="15.33203125" style="23" bestFit="1" customWidth="1"/>
    <col min="96" max="96" width="14.33203125" style="23" bestFit="1" customWidth="1"/>
    <col min="97" max="97" width="12" style="23" bestFit="1" customWidth="1"/>
    <col min="98" max="98" width="13.88671875" style="23" bestFit="1" customWidth="1"/>
    <col min="99" max="99" width="12.77734375" style="23" bestFit="1" customWidth="1"/>
    <col min="100" max="104" width="8.88671875" style="23"/>
    <col min="105" max="105" width="21.77734375" style="23" bestFit="1" customWidth="1"/>
    <col min="106" max="106" width="21.5546875" style="23" bestFit="1" customWidth="1"/>
    <col min="107" max="107" width="25.21875" style="23" bestFit="1" customWidth="1"/>
    <col min="108" max="108" width="25" style="23" bestFit="1" customWidth="1"/>
    <col min="109" max="110" width="25" style="23" customWidth="1"/>
    <col min="111" max="112" width="8.88671875" style="23"/>
    <col min="113" max="113" width="21.5546875" style="25" bestFit="1" customWidth="1"/>
    <col min="114" max="114" width="19.77734375" style="23" bestFit="1" customWidth="1"/>
    <col min="115" max="16384" width="8.88671875" style="23"/>
  </cols>
  <sheetData>
    <row r="1" spans="1:114" customFormat="1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6" t="s">
        <v>145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102</v>
      </c>
      <c r="BD1" t="s">
        <v>103</v>
      </c>
      <c r="BE1" t="s">
        <v>104</v>
      </c>
      <c r="BF1" t="s">
        <v>105</v>
      </c>
      <c r="BG1" t="s">
        <v>106</v>
      </c>
      <c r="BH1" t="s">
        <v>107</v>
      </c>
      <c r="BI1" t="s">
        <v>108</v>
      </c>
      <c r="BJ1" t="s">
        <v>109</v>
      </c>
      <c r="BK1" t="s">
        <v>110</v>
      </c>
      <c r="BL1" t="s">
        <v>111</v>
      </c>
      <c r="BM1" t="s">
        <v>112</v>
      </c>
      <c r="BN1" t="s">
        <v>113</v>
      </c>
      <c r="BO1" t="s">
        <v>114</v>
      </c>
      <c r="BP1" t="s">
        <v>115</v>
      </c>
      <c r="BQ1" t="s">
        <v>116</v>
      </c>
      <c r="BR1" t="s">
        <v>117</v>
      </c>
      <c r="BS1" t="s">
        <v>118</v>
      </c>
      <c r="BT1" t="s">
        <v>119</v>
      </c>
      <c r="BU1" t="s">
        <v>120</v>
      </c>
      <c r="BV1" t="s">
        <v>121</v>
      </c>
      <c r="BW1" t="s">
        <v>122</v>
      </c>
      <c r="BX1" t="s">
        <v>123</v>
      </c>
      <c r="BY1" t="s">
        <v>124</v>
      </c>
      <c r="BZ1" t="s">
        <v>125</v>
      </c>
      <c r="CA1" t="s">
        <v>126</v>
      </c>
      <c r="CB1" t="s">
        <v>127</v>
      </c>
      <c r="CC1" t="s">
        <v>128</v>
      </c>
      <c r="CD1" t="s">
        <v>129</v>
      </c>
      <c r="CE1" t="s">
        <v>130</v>
      </c>
      <c r="CF1" t="s">
        <v>131</v>
      </c>
      <c r="CG1" t="s">
        <v>132</v>
      </c>
      <c r="CH1" t="s">
        <v>133</v>
      </c>
      <c r="CI1" t="s">
        <v>134</v>
      </c>
      <c r="CJ1" t="s">
        <v>135</v>
      </c>
      <c r="CK1" t="s">
        <v>136</v>
      </c>
      <c r="CL1" t="s">
        <v>137</v>
      </c>
      <c r="CM1" t="s">
        <v>138</v>
      </c>
      <c r="CN1" t="s">
        <v>94</v>
      </c>
      <c r="CO1" t="s">
        <v>139</v>
      </c>
      <c r="CP1" t="s">
        <v>140</v>
      </c>
      <c r="CQ1" t="s">
        <v>141</v>
      </c>
      <c r="CR1" t="s">
        <v>142</v>
      </c>
      <c r="CS1" t="s">
        <v>95</v>
      </c>
      <c r="CT1" t="s">
        <v>143</v>
      </c>
      <c r="CU1" t="s">
        <v>93</v>
      </c>
      <c r="CV1" t="s">
        <v>163</v>
      </c>
      <c r="CW1" t="s">
        <v>165</v>
      </c>
      <c r="CX1" t="s">
        <v>169</v>
      </c>
      <c r="CY1" t="s">
        <v>167</v>
      </c>
      <c r="CZ1" s="6"/>
      <c r="DA1" s="29"/>
      <c r="DB1" s="29"/>
      <c r="DC1" s="30"/>
      <c r="DD1" s="30"/>
      <c r="DE1" s="30"/>
      <c r="DF1" s="30"/>
      <c r="DI1" s="31"/>
      <c r="DJ1" s="31"/>
    </row>
    <row r="2" spans="1:114" customFormat="1" x14ac:dyDescent="0.3">
      <c r="A2" s="5">
        <v>1947</v>
      </c>
      <c r="B2" s="3">
        <v>144126</v>
      </c>
      <c r="C2" s="3">
        <v>249616</v>
      </c>
      <c r="D2" s="12">
        <v>1</v>
      </c>
      <c r="E2" s="2">
        <v>1</v>
      </c>
      <c r="F2" s="3">
        <v>161852</v>
      </c>
      <c r="G2" s="3">
        <v>37131</v>
      </c>
      <c r="H2" s="3">
        <v>34141</v>
      </c>
      <c r="I2" s="3">
        <v>5686</v>
      </c>
      <c r="J2" s="3">
        <v>10807</v>
      </c>
      <c r="K2" s="3">
        <f>L2+M2</f>
        <v>249946.01</v>
      </c>
      <c r="L2" s="3">
        <f>+Q2+R2</f>
        <v>101635.01000000001</v>
      </c>
      <c r="M2" s="3">
        <f>+S2+T2</f>
        <v>148311</v>
      </c>
      <c r="N2" s="10">
        <v>1</v>
      </c>
      <c r="O2" s="10">
        <v>1</v>
      </c>
      <c r="P2" s="10">
        <v>1</v>
      </c>
      <c r="Q2" s="9">
        <v>27724.79</v>
      </c>
      <c r="R2" s="9">
        <v>73910.22</v>
      </c>
      <c r="S2" s="9">
        <v>15637.22</v>
      </c>
      <c r="T2" s="9">
        <v>132673.78</v>
      </c>
      <c r="U2" s="3">
        <v>128228.265625</v>
      </c>
      <c r="V2" s="3">
        <v>62056.6875</v>
      </c>
      <c r="W2" s="3">
        <v>66171.578125</v>
      </c>
      <c r="X2" s="2"/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1</v>
      </c>
      <c r="AG2" s="2">
        <v>1</v>
      </c>
      <c r="AH2" s="2"/>
      <c r="AI2" s="2"/>
      <c r="AJ2" s="3">
        <f>AK2+AL2</f>
        <v>206249</v>
      </c>
      <c r="AK2" s="3">
        <v>109002</v>
      </c>
      <c r="AL2" s="3">
        <v>97247</v>
      </c>
      <c r="AM2" s="2">
        <v>1</v>
      </c>
      <c r="AN2" s="2">
        <v>1</v>
      </c>
      <c r="AO2" s="2">
        <v>1</v>
      </c>
      <c r="AP2" s="2">
        <v>1</v>
      </c>
      <c r="AQ2" s="2">
        <v>1</v>
      </c>
      <c r="AR2" s="2">
        <v>1</v>
      </c>
      <c r="AS2" s="3">
        <v>43367</v>
      </c>
      <c r="AT2" s="10">
        <v>1</v>
      </c>
      <c r="AU2" s="10">
        <v>1</v>
      </c>
      <c r="AV2" s="6" t="s">
        <v>174</v>
      </c>
      <c r="AW2" s="7">
        <f t="shared" ref="AW2:AW33" si="0">Q2/(Q2+S2)</f>
        <v>0.63937972432550982</v>
      </c>
      <c r="AX2" s="7">
        <f t="shared" ref="AX2:AX33" si="1">S2/(S2+Q2)</f>
        <v>0.36062027567449018</v>
      </c>
      <c r="AY2" s="7">
        <f t="shared" ref="AY2:AY33" si="2">R2/(R2+T2)</f>
        <v>0.35777320605661622</v>
      </c>
      <c r="AZ2" s="7">
        <f t="shared" ref="AZ2:AZ33" si="3">T2/(T2+R2)</f>
        <v>0.64222679394338378</v>
      </c>
      <c r="BA2" s="7">
        <v>1.3930100000000001</v>
      </c>
      <c r="BB2" s="7">
        <v>0.64724230000000005</v>
      </c>
      <c r="BC2" s="7">
        <v>0.35275770000000001</v>
      </c>
      <c r="BD2" s="7">
        <v>0.64724230000000005</v>
      </c>
      <c r="BE2" s="7">
        <v>0</v>
      </c>
      <c r="BF2" s="7">
        <v>1</v>
      </c>
      <c r="BG2" s="7">
        <v>1</v>
      </c>
      <c r="BH2" s="7">
        <v>1</v>
      </c>
      <c r="BI2" s="7">
        <v>0.83056479999999999</v>
      </c>
      <c r="BJ2" s="7">
        <v>0.29117480000000001</v>
      </c>
      <c r="BK2" s="7">
        <v>0.70882520000000004</v>
      </c>
      <c r="BL2" s="7">
        <v>0.29117480000000001</v>
      </c>
      <c r="BM2" s="7">
        <v>3.9300000000000004E-15</v>
      </c>
      <c r="BN2" s="7">
        <v>1</v>
      </c>
      <c r="BO2" s="7">
        <v>1</v>
      </c>
      <c r="BP2" s="7">
        <v>1</v>
      </c>
      <c r="BQ2" s="7">
        <v>0.44890160000000001</v>
      </c>
      <c r="BR2" s="7">
        <v>0.36862200000000001</v>
      </c>
      <c r="BS2" s="7">
        <v>0.63137790000000005</v>
      </c>
      <c r="BT2" s="7">
        <v>0.55497370000000001</v>
      </c>
      <c r="BU2" s="7">
        <v>0.69686530000000002</v>
      </c>
      <c r="BV2" s="7">
        <v>0.44306980000000001</v>
      </c>
      <c r="BW2" s="7">
        <v>1</v>
      </c>
      <c r="BX2" s="7">
        <v>1</v>
      </c>
      <c r="BY2" s="7">
        <v>1</v>
      </c>
      <c r="BZ2" s="7">
        <v>0</v>
      </c>
      <c r="CA2" s="7" t="s">
        <v>144</v>
      </c>
      <c r="CB2" s="7" t="s">
        <v>144</v>
      </c>
      <c r="CC2" s="7" t="s">
        <v>144</v>
      </c>
      <c r="CD2" s="7" t="s">
        <v>144</v>
      </c>
      <c r="CE2" s="7">
        <v>1</v>
      </c>
      <c r="CF2" s="7">
        <v>1</v>
      </c>
      <c r="CG2" s="7">
        <v>1</v>
      </c>
      <c r="CH2" s="7">
        <v>1</v>
      </c>
      <c r="CI2" s="7">
        <v>1</v>
      </c>
      <c r="CJ2" s="7">
        <v>1</v>
      </c>
      <c r="CK2" s="7">
        <v>1</v>
      </c>
      <c r="CL2" s="7">
        <v>1</v>
      </c>
      <c r="CM2" s="7">
        <v>0.56350199999999995</v>
      </c>
      <c r="CN2" s="7">
        <v>0.60514999999999997</v>
      </c>
      <c r="CO2" s="7">
        <v>0.53786230000000002</v>
      </c>
      <c r="CP2" s="7" t="s">
        <v>144</v>
      </c>
      <c r="CQ2" s="7" t="s">
        <v>144</v>
      </c>
      <c r="CR2" s="7" t="s">
        <v>144</v>
      </c>
      <c r="CS2" s="7">
        <v>1</v>
      </c>
      <c r="CT2" s="7">
        <v>1</v>
      </c>
      <c r="CU2" s="7">
        <v>1</v>
      </c>
      <c r="CV2" s="7">
        <v>1</v>
      </c>
      <c r="CW2" s="7">
        <v>1</v>
      </c>
      <c r="CX2" s="7">
        <v>1</v>
      </c>
      <c r="CY2" s="7">
        <v>1</v>
      </c>
      <c r="CZ2" s="6"/>
      <c r="DI2" s="32"/>
      <c r="DJ2" s="11"/>
    </row>
    <row r="3" spans="1:114" customFormat="1" x14ac:dyDescent="0.3">
      <c r="A3" s="5">
        <v>1948</v>
      </c>
      <c r="B3" s="3">
        <v>146631</v>
      </c>
      <c r="C3" s="3">
        <v>274468</v>
      </c>
      <c r="D3" s="12">
        <v>1.0412065715055201</v>
      </c>
      <c r="E3" s="2">
        <v>1.05604493447616</v>
      </c>
      <c r="F3" s="3">
        <v>174878</v>
      </c>
      <c r="G3" s="3">
        <v>50347</v>
      </c>
      <c r="H3" s="3">
        <v>35274</v>
      </c>
      <c r="I3" s="3">
        <v>8482</v>
      </c>
      <c r="J3" s="3">
        <v>5487</v>
      </c>
      <c r="K3" s="3">
        <f t="shared" ref="K3:K66" si="4">L3+M3</f>
        <v>274818</v>
      </c>
      <c r="L3" s="3">
        <f t="shared" ref="L3:L66" si="5">+Q3+R3</f>
        <v>116934</v>
      </c>
      <c r="M3" s="3">
        <f t="shared" ref="M3:M66" si="6">+S3+T3</f>
        <v>157884</v>
      </c>
      <c r="N3" s="10">
        <v>1.0551725625991821</v>
      </c>
      <c r="O3" s="10">
        <v>1.0566997528076172</v>
      </c>
      <c r="P3" s="10">
        <v>1.0540508031845093</v>
      </c>
      <c r="Q3" s="9">
        <v>34949.839999999997</v>
      </c>
      <c r="R3" s="9">
        <v>81984.160000000003</v>
      </c>
      <c r="S3" s="9">
        <v>18225.16</v>
      </c>
      <c r="T3" s="9">
        <v>139658.84</v>
      </c>
      <c r="U3" s="3">
        <v>141262.28125</v>
      </c>
      <c r="V3" s="3">
        <v>70286.9140625</v>
      </c>
      <c r="W3" s="3">
        <v>70975.3671875</v>
      </c>
      <c r="X3" s="2">
        <v>0.52610206604003906</v>
      </c>
      <c r="Y3" s="2">
        <v>1.0406001806259155</v>
      </c>
      <c r="Z3" s="2">
        <v>1.0894179344177246</v>
      </c>
      <c r="AA3" s="2">
        <v>1.0060052871704102</v>
      </c>
      <c r="AB3" s="2">
        <v>1.0355644226074219</v>
      </c>
      <c r="AC3" s="2">
        <v>1.0613375902175903</v>
      </c>
      <c r="AD3" s="2">
        <v>1.0218958854675293</v>
      </c>
      <c r="AE3" s="2">
        <v>1.02442467212677</v>
      </c>
      <c r="AF3" s="2">
        <v>1.0199851989746094</v>
      </c>
      <c r="AG3" s="2">
        <v>1.0287214517593384</v>
      </c>
      <c r="AH3" s="2">
        <v>0.60841768980026245</v>
      </c>
      <c r="AI3" s="2">
        <v>0.46552881598472595</v>
      </c>
      <c r="AJ3" s="3">
        <f t="shared" ref="AJ3:AJ66" si="7">AK3+AL3</f>
        <v>221299</v>
      </c>
      <c r="AK3" s="3">
        <v>118787</v>
      </c>
      <c r="AL3" s="3">
        <v>102512</v>
      </c>
      <c r="AM3" s="2">
        <v>1.0218831196792899</v>
      </c>
      <c r="AN3" s="2">
        <v>1.04998818513829</v>
      </c>
      <c r="AO3" s="2">
        <v>0.97686170362012303</v>
      </c>
      <c r="AP3" s="2">
        <v>1.1155816540107599</v>
      </c>
      <c r="AQ3" s="2">
        <v>1.0094287840074101</v>
      </c>
      <c r="AR3" s="2">
        <v>1.04429406445037</v>
      </c>
      <c r="AS3" s="3">
        <v>53170</v>
      </c>
      <c r="AT3" s="10">
        <v>1.1316815144766099</v>
      </c>
      <c r="AU3" s="10">
        <v>1.0833855989999901</v>
      </c>
      <c r="AV3" s="6" t="s">
        <v>175</v>
      </c>
      <c r="AW3" s="7">
        <f t="shared" si="0"/>
        <v>0.65726074283027736</v>
      </c>
      <c r="AX3" s="7">
        <f t="shared" si="1"/>
        <v>0.34273925716972259</v>
      </c>
      <c r="AY3" s="7">
        <f t="shared" si="2"/>
        <v>0.36989284570232311</v>
      </c>
      <c r="AZ3" s="7">
        <f t="shared" si="3"/>
        <v>0.63010715429767683</v>
      </c>
      <c r="BA3" s="7">
        <v>1.465546</v>
      </c>
      <c r="BB3" s="7">
        <v>0.64781520000000004</v>
      </c>
      <c r="BC3" s="7">
        <v>0.35218480000000002</v>
      </c>
      <c r="BD3" s="7">
        <v>0.64724230000000005</v>
      </c>
      <c r="BE3" s="7">
        <v>0</v>
      </c>
      <c r="BF3" s="7">
        <v>1.0138210000000001</v>
      </c>
      <c r="BG3" s="7">
        <v>1.0138210000000001</v>
      </c>
      <c r="BH3" s="7">
        <v>1</v>
      </c>
      <c r="BI3" s="7">
        <v>0.83056479999999999</v>
      </c>
      <c r="BJ3" s="7">
        <v>0.29169309999999998</v>
      </c>
      <c r="BK3" s="7">
        <v>0.70830689999999996</v>
      </c>
      <c r="BL3" s="7">
        <v>0.29117480000000001</v>
      </c>
      <c r="BM3" s="7">
        <v>3.9300000000000004E-15</v>
      </c>
      <c r="BN3" s="7">
        <v>1.0147269999999999</v>
      </c>
      <c r="BO3" s="7">
        <v>1.0147269999999999</v>
      </c>
      <c r="BP3" s="7">
        <v>1</v>
      </c>
      <c r="BQ3" s="7">
        <v>0.44890160000000001</v>
      </c>
      <c r="BR3" s="7">
        <v>0.3696528</v>
      </c>
      <c r="BS3" s="7">
        <v>0.6303472</v>
      </c>
      <c r="BT3" s="7">
        <v>0.55497370000000001</v>
      </c>
      <c r="BU3" s="7">
        <v>0.69686530000000002</v>
      </c>
      <c r="BV3" s="7">
        <v>0.44306980000000001</v>
      </c>
      <c r="BW3" s="7">
        <v>1.015757</v>
      </c>
      <c r="BX3" s="7">
        <v>1.0138119999999999</v>
      </c>
      <c r="BY3" s="7">
        <v>0.99808549999999996</v>
      </c>
      <c r="BZ3" s="7">
        <v>0</v>
      </c>
      <c r="CA3" s="7">
        <v>0.64832469999999998</v>
      </c>
      <c r="CB3" s="7">
        <v>0.35167530000000002</v>
      </c>
      <c r="CC3" s="7">
        <v>0.36383379999999998</v>
      </c>
      <c r="CD3" s="7">
        <v>0.63616620000000002</v>
      </c>
      <c r="CE3" s="7">
        <v>1.192723</v>
      </c>
      <c r="CF3" s="7">
        <v>1.1054759999999999</v>
      </c>
      <c r="CG3" s="7">
        <v>1.0472349999999999</v>
      </c>
      <c r="CH3" s="7">
        <v>0.99630779999999997</v>
      </c>
      <c r="CI3" s="7">
        <v>0.99749319999999997</v>
      </c>
      <c r="CJ3" s="7">
        <v>0.97300050000000005</v>
      </c>
      <c r="CK3" s="7">
        <v>0.97544569999999997</v>
      </c>
      <c r="CL3" s="7">
        <v>0.96928539999999996</v>
      </c>
      <c r="CM3" s="7">
        <v>0.56350199999999995</v>
      </c>
      <c r="CN3" s="7">
        <v>0.60514999999999997</v>
      </c>
      <c r="CO3" s="7">
        <v>0.53786230000000002</v>
      </c>
      <c r="CP3" s="7">
        <v>1.09456E-2</v>
      </c>
      <c r="CQ3" s="7">
        <v>4.8508200000000001E-2</v>
      </c>
      <c r="CR3" s="7">
        <v>-1.9423599999999999E-2</v>
      </c>
      <c r="CS3" s="7">
        <v>1.0110060000000001</v>
      </c>
      <c r="CT3" s="7">
        <v>1.0496765938118493</v>
      </c>
      <c r="CU3" s="7">
        <v>0.9807681255535371</v>
      </c>
      <c r="CV3" s="7">
        <v>0.97458769999999995</v>
      </c>
      <c r="CW3" s="7">
        <v>0.99827520000000003</v>
      </c>
      <c r="CX3" s="7">
        <v>0.99988480000000002</v>
      </c>
      <c r="CY3" s="7">
        <v>0.98601273843223736</v>
      </c>
      <c r="CZ3" s="6"/>
      <c r="DI3" s="33"/>
      <c r="DJ3" s="11"/>
    </row>
    <row r="4" spans="1:114" customFormat="1" x14ac:dyDescent="0.3">
      <c r="A4" s="5">
        <v>1949</v>
      </c>
      <c r="B4" s="3">
        <v>149188</v>
      </c>
      <c r="C4" s="3">
        <v>272475</v>
      </c>
      <c r="D4" s="12">
        <v>1.0353712182422099</v>
      </c>
      <c r="E4" s="2">
        <v>1.0542853061008</v>
      </c>
      <c r="F4" s="3">
        <v>178333</v>
      </c>
      <c r="G4" s="3">
        <v>39099</v>
      </c>
      <c r="H4" s="3">
        <v>38493</v>
      </c>
      <c r="I4" s="3">
        <v>11315</v>
      </c>
      <c r="J4" s="3">
        <v>5235</v>
      </c>
      <c r="K4" s="3">
        <f t="shared" si="4"/>
        <v>272848</v>
      </c>
      <c r="L4" s="3">
        <f t="shared" si="5"/>
        <v>109987</v>
      </c>
      <c r="M4" s="3">
        <f t="shared" si="6"/>
        <v>162861</v>
      </c>
      <c r="N4" s="10">
        <v>1.0538395643234253</v>
      </c>
      <c r="O4" s="10">
        <v>1.019019603729248</v>
      </c>
      <c r="P4" s="10">
        <v>1.080051064491272</v>
      </c>
      <c r="Q4" s="9">
        <v>34242.620000000003</v>
      </c>
      <c r="R4" s="9">
        <v>75744.38</v>
      </c>
      <c r="S4" s="9">
        <v>18852.38</v>
      </c>
      <c r="T4" s="9">
        <v>144008.62</v>
      </c>
      <c r="U4" s="3">
        <v>144455.765625</v>
      </c>
      <c r="V4" s="3">
        <v>68189.234375</v>
      </c>
      <c r="W4" s="3">
        <v>76266.53125</v>
      </c>
      <c r="X4" s="2">
        <v>0.53499776124954224</v>
      </c>
      <c r="Y4" s="2">
        <v>1.0339734554290771</v>
      </c>
      <c r="Z4" s="2">
        <v>1.0591192245483398</v>
      </c>
      <c r="AA4" s="2">
        <v>1.0156807899475098</v>
      </c>
      <c r="AB4" s="2">
        <v>1.0618280172348022</v>
      </c>
      <c r="AC4" s="2">
        <v>1.0834800004959106</v>
      </c>
      <c r="AD4" s="2">
        <v>1.0503050088882446</v>
      </c>
      <c r="AE4" s="2">
        <v>0.98832833766937256</v>
      </c>
      <c r="AF4" s="2">
        <v>0.9507482647895813</v>
      </c>
      <c r="AG4" s="2">
        <v>1.0251477956771851</v>
      </c>
      <c r="AH4" s="2">
        <v>0.6139754056930542</v>
      </c>
      <c r="AI4" s="2">
        <v>0.47725245356559753</v>
      </c>
      <c r="AJ4" s="3">
        <f t="shared" si="7"/>
        <v>219369</v>
      </c>
      <c r="AK4" s="3">
        <v>110728</v>
      </c>
      <c r="AL4" s="3">
        <v>108641</v>
      </c>
      <c r="AM4" s="2">
        <v>1.01876325772315</v>
      </c>
      <c r="AN4" s="2">
        <v>1.0440231541261999</v>
      </c>
      <c r="AO4" s="2">
        <v>1.0068307077296199</v>
      </c>
      <c r="AP4" s="2">
        <v>1.00894277860614</v>
      </c>
      <c r="AQ4" s="2">
        <v>1.0441633635041401</v>
      </c>
      <c r="AR4" s="2">
        <v>1.0699145431998001</v>
      </c>
      <c r="AS4" s="3">
        <v>53106</v>
      </c>
      <c r="AT4" s="10">
        <v>1.11344654788418</v>
      </c>
      <c r="AU4" s="10">
        <v>1.0998028430312601</v>
      </c>
      <c r="AV4" s="6"/>
      <c r="AW4" s="7">
        <f t="shared" si="0"/>
        <v>0.64493116112628313</v>
      </c>
      <c r="AX4" s="7">
        <f t="shared" si="1"/>
        <v>0.35506883887371693</v>
      </c>
      <c r="AY4" s="7">
        <f t="shared" si="2"/>
        <v>0.34467961757063614</v>
      </c>
      <c r="AZ4" s="7">
        <f t="shared" si="3"/>
        <v>0.65532038242936386</v>
      </c>
      <c r="BA4" s="7">
        <v>1.4271579999999999</v>
      </c>
      <c r="BB4" s="7">
        <v>0.63385060000000004</v>
      </c>
      <c r="BC4" s="7">
        <v>0.36614940000000001</v>
      </c>
      <c r="BD4" s="7">
        <v>0.64724230000000005</v>
      </c>
      <c r="BE4" s="7">
        <v>0</v>
      </c>
      <c r="BF4" s="7">
        <v>1.0191699999999999</v>
      </c>
      <c r="BG4" s="7">
        <v>1.0191699999999999</v>
      </c>
      <c r="BH4" s="7">
        <v>1</v>
      </c>
      <c r="BI4" s="7">
        <v>0.83056479999999999</v>
      </c>
      <c r="BJ4" s="7">
        <v>0.27931689999999998</v>
      </c>
      <c r="BK4" s="7">
        <v>0.72068310000000002</v>
      </c>
      <c r="BL4" s="7">
        <v>0.29117480000000001</v>
      </c>
      <c r="BM4" s="7">
        <v>3.9300000000000004E-15</v>
      </c>
      <c r="BN4" s="7">
        <v>0.99832100000000001</v>
      </c>
      <c r="BO4" s="7">
        <v>0.99832109999999996</v>
      </c>
      <c r="BP4" s="7">
        <v>1</v>
      </c>
      <c r="BQ4" s="7">
        <v>0.44890160000000001</v>
      </c>
      <c r="BR4" s="7">
        <v>0.36450280000000002</v>
      </c>
      <c r="BS4" s="7">
        <v>0.63549719999999998</v>
      </c>
      <c r="BT4" s="7">
        <v>0.55497370000000001</v>
      </c>
      <c r="BU4" s="7">
        <v>0.69686530000000002</v>
      </c>
      <c r="BV4" s="7">
        <v>0.44306980000000001</v>
      </c>
      <c r="BW4" s="7">
        <v>1.0290729999999999</v>
      </c>
      <c r="BX4" s="7">
        <v>0.98830110000000004</v>
      </c>
      <c r="BY4" s="7">
        <v>0.96037969999999995</v>
      </c>
      <c r="BZ4" s="7">
        <v>0</v>
      </c>
      <c r="CA4" s="7">
        <v>0.65110279999999998</v>
      </c>
      <c r="CB4" s="7">
        <v>0.34889720000000002</v>
      </c>
      <c r="CC4" s="7">
        <v>0.35728539999999998</v>
      </c>
      <c r="CD4" s="7">
        <v>0.64271460000000002</v>
      </c>
      <c r="CE4" s="7">
        <v>1.212159</v>
      </c>
      <c r="CF4" s="7">
        <v>1.1163400000000001</v>
      </c>
      <c r="CG4" s="7">
        <v>1.002607</v>
      </c>
      <c r="CH4" s="7">
        <v>1.0019180000000001</v>
      </c>
      <c r="CI4" s="7">
        <v>1.0598920000000001</v>
      </c>
      <c r="CJ4" s="7">
        <v>0.98201170000000004</v>
      </c>
      <c r="CK4" s="7">
        <v>0.92652020000000002</v>
      </c>
      <c r="CL4" s="7">
        <v>0.94934549999999995</v>
      </c>
      <c r="CM4" s="7">
        <v>0.56350199999999995</v>
      </c>
      <c r="CN4" s="7">
        <v>0.60514999999999997</v>
      </c>
      <c r="CO4" s="7">
        <v>0.53786230000000002</v>
      </c>
      <c r="CP4" s="7">
        <v>2.8928999999999999E-3</v>
      </c>
      <c r="CQ4" s="7">
        <v>2.3920999999999999E-3</v>
      </c>
      <c r="CR4" s="7">
        <v>-4.3649999999999998E-4</v>
      </c>
      <c r="CS4" s="7">
        <v>1.013935</v>
      </c>
      <c r="CT4" s="7">
        <v>1.0521277490658589</v>
      </c>
      <c r="CU4" s="7">
        <v>0.98032026682589823</v>
      </c>
      <c r="CV4" s="7">
        <v>0.94551050000000003</v>
      </c>
      <c r="CW4" s="7">
        <v>0.96979870000000001</v>
      </c>
      <c r="CX4" s="7">
        <v>1.000232</v>
      </c>
      <c r="CY4" s="7">
        <v>0.97328459573874482</v>
      </c>
      <c r="CZ4" s="6"/>
      <c r="DI4" s="33"/>
      <c r="DJ4" s="11"/>
    </row>
    <row r="5" spans="1:114" customFormat="1" x14ac:dyDescent="0.3">
      <c r="A5" s="5">
        <v>1950</v>
      </c>
      <c r="B5" s="3">
        <v>151684</v>
      </c>
      <c r="C5" s="3">
        <v>299827</v>
      </c>
      <c r="D5" s="12">
        <v>1.1254152078283499</v>
      </c>
      <c r="E5" s="2">
        <v>1.0672976183440701</v>
      </c>
      <c r="F5" s="3">
        <v>192044</v>
      </c>
      <c r="G5" s="3">
        <v>56530</v>
      </c>
      <c r="H5" s="3">
        <v>39059</v>
      </c>
      <c r="I5" s="3">
        <v>11455</v>
      </c>
      <c r="J5" s="3">
        <v>738</v>
      </c>
      <c r="K5" s="3">
        <f t="shared" si="4"/>
        <v>300214</v>
      </c>
      <c r="L5" s="3">
        <f t="shared" si="5"/>
        <v>125615</v>
      </c>
      <c r="M5" s="3">
        <f t="shared" si="6"/>
        <v>174599</v>
      </c>
      <c r="N5" s="10">
        <v>1.0758740901947021</v>
      </c>
      <c r="O5" s="10">
        <v>1.0521407127380371</v>
      </c>
      <c r="P5" s="10">
        <v>1.0937265157699585</v>
      </c>
      <c r="Q5" s="9">
        <v>40279.949999999997</v>
      </c>
      <c r="R5" s="9">
        <v>85335.05</v>
      </c>
      <c r="S5" s="9">
        <v>21934.06</v>
      </c>
      <c r="T5" s="9">
        <v>152664.94</v>
      </c>
      <c r="U5" s="3">
        <v>153536.109375</v>
      </c>
      <c r="V5" s="3">
        <v>73332.3359375</v>
      </c>
      <c r="W5" s="3">
        <v>80203.78125</v>
      </c>
      <c r="X5" s="2">
        <v>0.5332179069519043</v>
      </c>
      <c r="Y5" s="2">
        <v>1.1167960166931152</v>
      </c>
      <c r="Z5" s="2">
        <v>1.1728990077972412</v>
      </c>
      <c r="AA5" s="2">
        <v>1.0775227546691895</v>
      </c>
      <c r="AB5" s="2">
        <v>1.0995423793792725</v>
      </c>
      <c r="AC5" s="2">
        <v>1.1210259199142456</v>
      </c>
      <c r="AD5" s="2">
        <v>1.0881060361862183</v>
      </c>
      <c r="AE5" s="2">
        <v>1.0290268659591675</v>
      </c>
      <c r="AF5" s="2">
        <v>1.0109016895294189</v>
      </c>
      <c r="AG5" s="2">
        <v>1.0472925901412964</v>
      </c>
      <c r="AH5" s="2">
        <v>0.60590958595275879</v>
      </c>
      <c r="AI5" s="2">
        <v>0.48117336630821228</v>
      </c>
      <c r="AJ5" s="3">
        <f t="shared" si="7"/>
        <v>237611</v>
      </c>
      <c r="AK5" s="3">
        <v>123721</v>
      </c>
      <c r="AL5" s="3">
        <v>113890</v>
      </c>
      <c r="AM5" s="2">
        <v>1.0910355709606001</v>
      </c>
      <c r="AN5" s="2">
        <v>1.05593158439299</v>
      </c>
      <c r="AO5" s="2">
        <v>1.0529062170049801</v>
      </c>
      <c r="AP5" s="2">
        <v>1.07800125141652</v>
      </c>
      <c r="AQ5" s="2">
        <v>1.0708011180204</v>
      </c>
      <c r="AR5" s="2">
        <v>1.0937059240112099</v>
      </c>
      <c r="AS5" s="3">
        <v>62216</v>
      </c>
      <c r="AT5" s="10">
        <v>1.28382516703786</v>
      </c>
      <c r="AU5" s="10">
        <v>1.11747243990388</v>
      </c>
      <c r="AV5" s="6" t="s">
        <v>176</v>
      </c>
      <c r="AW5" s="7">
        <f t="shared" si="0"/>
        <v>0.64744179004053914</v>
      </c>
      <c r="AX5" s="7">
        <f t="shared" si="1"/>
        <v>0.35255820995946097</v>
      </c>
      <c r="AY5" s="7">
        <f t="shared" si="2"/>
        <v>0.35855064531725406</v>
      </c>
      <c r="AZ5" s="7">
        <f t="shared" si="3"/>
        <v>0.641449354682746</v>
      </c>
      <c r="BA5" s="7">
        <v>1.5237019999999999</v>
      </c>
      <c r="BB5" s="7">
        <v>0.63834210000000002</v>
      </c>
      <c r="BC5" s="7">
        <v>0.36165789999999998</v>
      </c>
      <c r="BD5" s="7">
        <v>0.64724230000000005</v>
      </c>
      <c r="BE5" s="7">
        <v>0</v>
      </c>
      <c r="BF5" s="7">
        <v>1.079086</v>
      </c>
      <c r="BG5" s="7">
        <v>1.079086</v>
      </c>
      <c r="BH5" s="7">
        <v>1</v>
      </c>
      <c r="BI5" s="7">
        <v>0.83056479999999999</v>
      </c>
      <c r="BJ5" s="7">
        <v>0.28323949999999998</v>
      </c>
      <c r="BK5" s="7">
        <v>0.71676050000000002</v>
      </c>
      <c r="BL5" s="7">
        <v>0.29117480000000001</v>
      </c>
      <c r="BM5" s="7">
        <v>3.9300000000000004E-15</v>
      </c>
      <c r="BN5" s="7">
        <v>1.0643130000000001</v>
      </c>
      <c r="BO5" s="7">
        <v>1.0643130000000001</v>
      </c>
      <c r="BP5" s="7">
        <v>1</v>
      </c>
      <c r="BQ5" s="7">
        <v>0.44890160000000001</v>
      </c>
      <c r="BR5" s="7">
        <v>0.35878070000000001</v>
      </c>
      <c r="BS5" s="7">
        <v>0.64121930000000005</v>
      </c>
      <c r="BT5" s="7">
        <v>0.55497370000000001</v>
      </c>
      <c r="BU5" s="7">
        <v>0.69686530000000002</v>
      </c>
      <c r="BV5" s="7">
        <v>0.44306980000000001</v>
      </c>
      <c r="BW5" s="7">
        <v>1.0649200000000001</v>
      </c>
      <c r="BX5" s="7">
        <v>1.0689360000000001</v>
      </c>
      <c r="BY5" s="7">
        <v>1.0037700000000001</v>
      </c>
      <c r="BZ5" s="7">
        <v>0</v>
      </c>
      <c r="CA5" s="7">
        <v>0.64618719999999996</v>
      </c>
      <c r="CB5" s="7">
        <v>0.35381279999999998</v>
      </c>
      <c r="CC5" s="7">
        <v>0.35161490000000001</v>
      </c>
      <c r="CD5" s="7">
        <v>0.64838510000000005</v>
      </c>
      <c r="CE5" s="7">
        <v>1.380727</v>
      </c>
      <c r="CF5" s="7">
        <v>1.282389</v>
      </c>
      <c r="CG5" s="7">
        <v>1.0965100000000001</v>
      </c>
      <c r="CH5" s="7">
        <v>1.0512550000000001</v>
      </c>
      <c r="CI5" s="7">
        <v>1.039525</v>
      </c>
      <c r="CJ5" s="7">
        <v>0.97874309999999998</v>
      </c>
      <c r="CK5" s="7">
        <v>0.94152930000000001</v>
      </c>
      <c r="CL5" s="7">
        <v>0.9450923</v>
      </c>
      <c r="CM5" s="7">
        <v>0.56350199999999995</v>
      </c>
      <c r="CN5" s="7">
        <v>0.60514999999999997</v>
      </c>
      <c r="CO5" s="7">
        <v>0.53786230000000002</v>
      </c>
      <c r="CP5" s="7">
        <v>3.90806E-2</v>
      </c>
      <c r="CQ5" s="7">
        <v>5.2600899999999999E-2</v>
      </c>
      <c r="CR5" s="7">
        <v>3.1628900000000001E-2</v>
      </c>
      <c r="CS5" s="7">
        <v>1.0543439999999999</v>
      </c>
      <c r="CT5" s="7">
        <v>1.1089718866784188</v>
      </c>
      <c r="CU5" s="7">
        <v>1.0118130304834019</v>
      </c>
      <c r="CV5" s="7">
        <v>0.95425360000000004</v>
      </c>
      <c r="CW5" s="7">
        <v>1.023622</v>
      </c>
      <c r="CX5" s="7">
        <v>1.0383389999999999</v>
      </c>
      <c r="CY5" s="7">
        <v>1.0146998714116864</v>
      </c>
      <c r="CZ5" s="6"/>
      <c r="DI5" s="33"/>
      <c r="DJ5" s="11"/>
    </row>
    <row r="6" spans="1:114" customFormat="1" x14ac:dyDescent="0.3">
      <c r="A6" s="5">
        <v>1951</v>
      </c>
      <c r="B6" s="3">
        <v>154287</v>
      </c>
      <c r="C6" s="3">
        <v>346914</v>
      </c>
      <c r="D6" s="12">
        <v>1.2159080707424399</v>
      </c>
      <c r="E6" s="2">
        <v>1.1430064097650701</v>
      </c>
      <c r="F6" s="3">
        <v>208339</v>
      </c>
      <c r="G6" s="3">
        <v>62759</v>
      </c>
      <c r="H6" s="3">
        <v>53722</v>
      </c>
      <c r="I6" s="3">
        <v>19582</v>
      </c>
      <c r="J6" s="3">
        <v>2513</v>
      </c>
      <c r="K6" s="3">
        <f t="shared" si="4"/>
        <v>347301</v>
      </c>
      <c r="L6" s="3">
        <f t="shared" si="5"/>
        <v>148212.01</v>
      </c>
      <c r="M6" s="3">
        <f t="shared" si="6"/>
        <v>199088.99</v>
      </c>
      <c r="N6" s="10">
        <v>1.1674568653106689</v>
      </c>
      <c r="O6" s="10">
        <v>1.1688021421432495</v>
      </c>
      <c r="P6" s="10">
        <v>1.1660350561141968</v>
      </c>
      <c r="Q6" s="9">
        <v>48539.13</v>
      </c>
      <c r="R6" s="9">
        <v>99672.88</v>
      </c>
      <c r="S6" s="9">
        <v>23876.87</v>
      </c>
      <c r="T6" s="9">
        <v>175212.12</v>
      </c>
      <c r="U6" s="3">
        <v>174406.78125</v>
      </c>
      <c r="V6" s="3">
        <v>86367.09375</v>
      </c>
      <c r="W6" s="3">
        <v>88039.6875</v>
      </c>
      <c r="X6" s="2">
        <v>0.5186086893081665</v>
      </c>
      <c r="Y6" s="2">
        <v>1.1909449100494385</v>
      </c>
      <c r="Z6" s="2">
        <v>1.2452199459075928</v>
      </c>
      <c r="AA6" s="2">
        <v>1.1529229879379272</v>
      </c>
      <c r="AB6" s="2">
        <v>1.1515648365020752</v>
      </c>
      <c r="AC6" s="2">
        <v>1.1901323795318604</v>
      </c>
      <c r="AD6" s="2">
        <v>1.1305755376815796</v>
      </c>
      <c r="AE6" s="2">
        <v>1.0993361473083496</v>
      </c>
      <c r="AF6" s="2">
        <v>1.0784541368484497</v>
      </c>
      <c r="AG6" s="2">
        <v>1.1203416585922241</v>
      </c>
      <c r="AH6" s="2">
        <v>0.58693540096282959</v>
      </c>
      <c r="AI6" s="2">
        <v>0.46706151962280273</v>
      </c>
      <c r="AJ6" s="3">
        <f t="shared" si="7"/>
        <v>274485</v>
      </c>
      <c r="AK6" s="3">
        <v>137726</v>
      </c>
      <c r="AL6" s="3">
        <v>136759</v>
      </c>
      <c r="AM6" s="2">
        <v>1.1826698841065699</v>
      </c>
      <c r="AN6" s="2">
        <v>1.1252827061750901</v>
      </c>
      <c r="AO6" s="2">
        <v>1.0626643251722101</v>
      </c>
      <c r="AP6" s="2">
        <v>1.1890096154122201</v>
      </c>
      <c r="AQ6" s="2">
        <v>1.22762349837319</v>
      </c>
      <c r="AR6" s="2">
        <v>1.1455512173220701</v>
      </c>
      <c r="AS6" s="3">
        <v>72430</v>
      </c>
      <c r="AT6" s="10">
        <v>1.3697104677060099</v>
      </c>
      <c r="AU6" s="10">
        <v>1.2193554688561801</v>
      </c>
      <c r="AV6" s="6"/>
      <c r="AW6" s="7">
        <f t="shared" si="0"/>
        <v>0.6702818437914273</v>
      </c>
      <c r="AX6" s="7">
        <f t="shared" si="1"/>
        <v>0.3297181562085727</v>
      </c>
      <c r="AY6" s="7">
        <f t="shared" si="2"/>
        <v>0.36259846845044291</v>
      </c>
      <c r="AZ6" s="7">
        <f t="shared" si="3"/>
        <v>0.63740153154955703</v>
      </c>
      <c r="BA6" s="7">
        <v>1.730613</v>
      </c>
      <c r="BB6" s="7">
        <v>0.64778329999999995</v>
      </c>
      <c r="BC6" s="7">
        <v>0.35221669999999999</v>
      </c>
      <c r="BD6" s="7">
        <v>0.64724230000000005</v>
      </c>
      <c r="BE6" s="7">
        <v>0</v>
      </c>
      <c r="BF6" s="7">
        <v>1.1388180000000001</v>
      </c>
      <c r="BG6" s="7">
        <v>1.1388180000000001</v>
      </c>
      <c r="BH6" s="7">
        <v>1</v>
      </c>
      <c r="BI6" s="7">
        <v>0.83056479999999999</v>
      </c>
      <c r="BJ6" s="7">
        <v>0.29166429999999999</v>
      </c>
      <c r="BK6" s="7">
        <v>0.70833579999999996</v>
      </c>
      <c r="BL6" s="7">
        <v>0.29117480000000001</v>
      </c>
      <c r="BM6" s="7">
        <v>3.9300000000000004E-15</v>
      </c>
      <c r="BN6" s="7">
        <v>1.13978</v>
      </c>
      <c r="BO6" s="7">
        <v>1.13978</v>
      </c>
      <c r="BP6" s="7">
        <v>1</v>
      </c>
      <c r="BQ6" s="7">
        <v>0.44890160000000001</v>
      </c>
      <c r="BR6" s="7">
        <v>0.3564659</v>
      </c>
      <c r="BS6" s="7">
        <v>0.6435341</v>
      </c>
      <c r="BT6" s="7">
        <v>0.55497370000000001</v>
      </c>
      <c r="BU6" s="7">
        <v>0.69686530000000002</v>
      </c>
      <c r="BV6" s="7">
        <v>0.44306980000000001</v>
      </c>
      <c r="BW6" s="7">
        <v>1.1003430000000001</v>
      </c>
      <c r="BX6" s="7">
        <v>1.1625270000000001</v>
      </c>
      <c r="BY6" s="7">
        <v>1.056513</v>
      </c>
      <c r="BZ6" s="7">
        <v>0</v>
      </c>
      <c r="CA6" s="7">
        <v>0.65886319999999998</v>
      </c>
      <c r="CB6" s="7">
        <v>0.34113680000000002</v>
      </c>
      <c r="CC6" s="7">
        <v>0.3605756</v>
      </c>
      <c r="CD6" s="7">
        <v>0.63942429999999995</v>
      </c>
      <c r="CE6" s="7">
        <v>1.4980309999999999</v>
      </c>
      <c r="CF6" s="7">
        <v>1.30958</v>
      </c>
      <c r="CG6" s="7">
        <v>1.1532119999999999</v>
      </c>
      <c r="CH6" s="7">
        <v>1.131999</v>
      </c>
      <c r="CI6" s="7">
        <v>0.99763259999999998</v>
      </c>
      <c r="CJ6" s="7">
        <v>0.95629850000000005</v>
      </c>
      <c r="CK6" s="7">
        <v>0.95856790000000003</v>
      </c>
      <c r="CL6" s="7">
        <v>0.9230083</v>
      </c>
      <c r="CM6" s="7">
        <v>0.56350199999999995</v>
      </c>
      <c r="CN6" s="7">
        <v>0.60514999999999997</v>
      </c>
      <c r="CO6" s="7">
        <v>0.53786230000000002</v>
      </c>
      <c r="CP6" s="7">
        <v>6.8614000000000001E-3</v>
      </c>
      <c r="CQ6" s="7">
        <v>-2.7284000000000002E-3</v>
      </c>
      <c r="CR6" s="7">
        <v>1.29287E-2</v>
      </c>
      <c r="CS6" s="7">
        <v>1.0616030000000001</v>
      </c>
      <c r="CT6" s="7">
        <v>1.105953828457795</v>
      </c>
      <c r="CU6" s="7">
        <v>1.0249990167554468</v>
      </c>
      <c r="CV6" s="7">
        <v>0.95799089999999998</v>
      </c>
      <c r="CW6" s="7">
        <v>1.0308200000000001</v>
      </c>
      <c r="CX6" s="7">
        <v>1.047345</v>
      </c>
      <c r="CY6" s="7">
        <v>1.0157501259471713</v>
      </c>
      <c r="CZ6" s="6"/>
      <c r="DI6" s="33"/>
      <c r="DJ6" s="11"/>
    </row>
    <row r="7" spans="1:114" customFormat="1" x14ac:dyDescent="0.3">
      <c r="A7" s="5">
        <v>1952</v>
      </c>
      <c r="B7" s="3">
        <v>156954</v>
      </c>
      <c r="C7" s="3">
        <v>367341</v>
      </c>
      <c r="D7" s="12">
        <v>1.2655534608133601</v>
      </c>
      <c r="E7" s="2">
        <v>1.1628306987172199</v>
      </c>
      <c r="F7" s="3">
        <v>219320</v>
      </c>
      <c r="G7" s="3">
        <v>57274</v>
      </c>
      <c r="H7" s="3">
        <v>64963</v>
      </c>
      <c r="I7" s="3">
        <v>24621</v>
      </c>
      <c r="J7" s="3">
        <v>1164</v>
      </c>
      <c r="K7" s="3">
        <f t="shared" si="4"/>
        <v>367759</v>
      </c>
      <c r="L7" s="3">
        <f t="shared" si="5"/>
        <v>153064</v>
      </c>
      <c r="M7" s="3">
        <f t="shared" si="6"/>
        <v>214695</v>
      </c>
      <c r="N7" s="10">
        <v>1.1915237903594971</v>
      </c>
      <c r="O7" s="10">
        <v>1.1543229818344116</v>
      </c>
      <c r="P7" s="10">
        <v>1.2197225093841553</v>
      </c>
      <c r="Q7" s="9">
        <v>52699.58</v>
      </c>
      <c r="R7" s="9">
        <v>100364.42</v>
      </c>
      <c r="S7" s="9">
        <v>25674.42</v>
      </c>
      <c r="T7" s="9">
        <v>189020.58</v>
      </c>
      <c r="U7" s="3">
        <v>184289.890625</v>
      </c>
      <c r="V7" s="3">
        <v>90294.359375</v>
      </c>
      <c r="W7" s="3">
        <v>93995.53125</v>
      </c>
      <c r="X7" s="2">
        <v>0.51317471265792847</v>
      </c>
      <c r="Y7" s="2">
        <v>1.236050009727478</v>
      </c>
      <c r="Z7" s="2">
        <v>1.3007050752639771</v>
      </c>
      <c r="AA7" s="2">
        <v>1.1908500194549561</v>
      </c>
      <c r="AB7" s="2">
        <v>1.1994779109954834</v>
      </c>
      <c r="AC7" s="2">
        <v>1.240800142288208</v>
      </c>
      <c r="AD7" s="2">
        <v>1.1770006418228149</v>
      </c>
      <c r="AE7" s="2">
        <v>1.1223959922790527</v>
      </c>
      <c r="AF7" s="2">
        <v>1.0965025424957275</v>
      </c>
      <c r="AG7" s="2">
        <v>1.1484733819961548</v>
      </c>
      <c r="AH7" s="2">
        <v>0.59046822786331177</v>
      </c>
      <c r="AI7" s="2">
        <v>0.45537200570106506</v>
      </c>
      <c r="AJ7" s="3">
        <f t="shared" si="7"/>
        <v>288961</v>
      </c>
      <c r="AK7" s="3">
        <v>134910</v>
      </c>
      <c r="AL7" s="3">
        <v>154051</v>
      </c>
      <c r="AM7" s="2">
        <v>1.2256986478757299</v>
      </c>
      <c r="AN7" s="2">
        <v>1.1430459074121</v>
      </c>
      <c r="AO7" s="2">
        <v>1.0780865741230501</v>
      </c>
      <c r="AP7" s="2">
        <v>1.14803740435431</v>
      </c>
      <c r="AQ7" s="2">
        <v>1.3408956442825299</v>
      </c>
      <c r="AR7" s="2">
        <v>1.18139010568804</v>
      </c>
      <c r="AS7" s="3">
        <v>78380</v>
      </c>
      <c r="AT7" s="10">
        <v>1.4486358574610201</v>
      </c>
      <c r="AU7" s="10">
        <v>1.24763241075875</v>
      </c>
      <c r="AV7" s="6"/>
      <c r="AW7" s="7">
        <f t="shared" si="0"/>
        <v>0.67241151402250754</v>
      </c>
      <c r="AX7" s="7">
        <f t="shared" si="1"/>
        <v>0.32758848597749252</v>
      </c>
      <c r="AY7" s="7">
        <f t="shared" si="2"/>
        <v>0.34681970385472638</v>
      </c>
      <c r="AZ7" s="7">
        <f t="shared" si="3"/>
        <v>0.65318029614527351</v>
      </c>
      <c r="BA7" s="7">
        <v>1.7914760000000001</v>
      </c>
      <c r="BB7" s="7">
        <v>0.63456000000000001</v>
      </c>
      <c r="BC7" s="7">
        <v>0.36543999999999999</v>
      </c>
      <c r="BD7" s="7">
        <v>0.64724230000000005</v>
      </c>
      <c r="BE7" s="7">
        <v>0</v>
      </c>
      <c r="BF7" s="7">
        <v>1.1895020000000001</v>
      </c>
      <c r="BG7" s="7">
        <v>1.1895020000000001</v>
      </c>
      <c r="BH7" s="7">
        <v>1</v>
      </c>
      <c r="BI7" s="7">
        <v>0.83056479999999999</v>
      </c>
      <c r="BJ7" s="7">
        <v>0.27993289999999998</v>
      </c>
      <c r="BK7" s="7">
        <v>0.72006709999999996</v>
      </c>
      <c r="BL7" s="7">
        <v>0.29117480000000001</v>
      </c>
      <c r="BM7" s="7">
        <v>3.9300000000000004E-15</v>
      </c>
      <c r="BN7" s="7">
        <v>1.1664319999999999</v>
      </c>
      <c r="BO7" s="7">
        <v>1.1664319999999999</v>
      </c>
      <c r="BP7" s="7">
        <v>1</v>
      </c>
      <c r="BQ7" s="7">
        <v>0.44890160000000001</v>
      </c>
      <c r="BR7" s="7">
        <v>0.34446149999999998</v>
      </c>
      <c r="BS7" s="7">
        <v>0.65553839999999997</v>
      </c>
      <c r="BT7" s="7">
        <v>0.55497370000000001</v>
      </c>
      <c r="BU7" s="7">
        <v>0.69686530000000002</v>
      </c>
      <c r="BV7" s="7">
        <v>0.44306980000000001</v>
      </c>
      <c r="BW7" s="7">
        <v>1.1337539999999999</v>
      </c>
      <c r="BX7" s="7">
        <v>1.1921600000000001</v>
      </c>
      <c r="BY7" s="7">
        <v>1.051515</v>
      </c>
      <c r="BZ7" s="7">
        <v>0</v>
      </c>
      <c r="CA7" s="7">
        <v>0.67135250000000002</v>
      </c>
      <c r="CB7" s="7">
        <v>0.32864749999999998</v>
      </c>
      <c r="CC7" s="7">
        <v>0.35471029999999998</v>
      </c>
      <c r="CD7" s="7">
        <v>0.64528969999999997</v>
      </c>
      <c r="CE7" s="7">
        <v>1.646636</v>
      </c>
      <c r="CF7" s="7">
        <v>1.3460380000000001</v>
      </c>
      <c r="CG7" s="7">
        <v>1.176132</v>
      </c>
      <c r="CH7" s="7">
        <v>1.1678040000000001</v>
      </c>
      <c r="CI7" s="7">
        <v>1.056656</v>
      </c>
      <c r="CJ7" s="7">
        <v>0.97759649999999998</v>
      </c>
      <c r="CK7" s="7">
        <v>0.92517939999999999</v>
      </c>
      <c r="CL7" s="7">
        <v>0.91624499999999998</v>
      </c>
      <c r="CM7" s="7">
        <v>0.56350199999999995</v>
      </c>
      <c r="CN7" s="7">
        <v>0.60514999999999997</v>
      </c>
      <c r="CO7" s="7">
        <v>0.53786230000000002</v>
      </c>
      <c r="CP7" s="7">
        <v>7.6823000000000004E-3</v>
      </c>
      <c r="CQ7" s="7">
        <v>1.6043499999999999E-2</v>
      </c>
      <c r="CR7" s="7">
        <v>8.2629999999999997E-4</v>
      </c>
      <c r="CS7" s="7">
        <v>1.06979</v>
      </c>
      <c r="CT7" s="7">
        <v>1.1238217488434394</v>
      </c>
      <c r="CU7" s="7">
        <v>1.0258359694239509</v>
      </c>
      <c r="CV7" s="7">
        <v>0.94225510000000001</v>
      </c>
      <c r="CW7" s="7">
        <v>1.0244679999999999</v>
      </c>
      <c r="CX7" s="7">
        <v>1.0525929999999999</v>
      </c>
      <c r="CY7" s="7">
        <v>1.020643644789526</v>
      </c>
      <c r="CZ7" s="6"/>
      <c r="DI7" s="33"/>
      <c r="DJ7" s="11"/>
    </row>
    <row r="8" spans="1:114" customFormat="1" x14ac:dyDescent="0.3">
      <c r="A8" s="5">
        <v>1953</v>
      </c>
      <c r="B8" s="3">
        <v>159565</v>
      </c>
      <c r="C8" s="3">
        <v>389218</v>
      </c>
      <c r="D8" s="12">
        <v>1.3248945147679301</v>
      </c>
      <c r="E8" s="2">
        <v>1.17689900349357</v>
      </c>
      <c r="F8" s="3">
        <v>232740</v>
      </c>
      <c r="G8" s="3">
        <v>60414</v>
      </c>
      <c r="H8" s="3">
        <v>70099</v>
      </c>
      <c r="I8" s="3">
        <v>26666</v>
      </c>
      <c r="J8" s="3">
        <v>-701</v>
      </c>
      <c r="K8" s="3">
        <f t="shared" si="4"/>
        <v>389775</v>
      </c>
      <c r="L8" s="3">
        <f t="shared" si="5"/>
        <v>162213</v>
      </c>
      <c r="M8" s="3">
        <f t="shared" si="6"/>
        <v>227562</v>
      </c>
      <c r="N8" s="10">
        <v>1.2017487287521362</v>
      </c>
      <c r="O8" s="10">
        <v>1.1407756805419922</v>
      </c>
      <c r="P8" s="10">
        <v>1.2486197948455811</v>
      </c>
      <c r="Q8" s="9">
        <v>57332.42</v>
      </c>
      <c r="R8" s="9">
        <v>104880.58</v>
      </c>
      <c r="S8" s="9">
        <v>27784.58</v>
      </c>
      <c r="T8" s="9">
        <v>199777.42</v>
      </c>
      <c r="U8" s="3">
        <v>202171.125</v>
      </c>
      <c r="V8" s="3">
        <v>100464.3984375</v>
      </c>
      <c r="W8" s="3">
        <v>101706.7265625</v>
      </c>
      <c r="X8" s="2">
        <v>0.52168631553649902</v>
      </c>
      <c r="Y8" s="2">
        <v>1.2981324195861816</v>
      </c>
      <c r="Z8" s="2">
        <v>1.3923352956771851</v>
      </c>
      <c r="AA8" s="2">
        <v>1.2333548069000244</v>
      </c>
      <c r="AB8" s="2">
        <v>1.2526760101318359</v>
      </c>
      <c r="AC8" s="2">
        <v>1.2997132539749146</v>
      </c>
      <c r="AD8" s="2">
        <v>1.2272723913192749</v>
      </c>
      <c r="AE8" s="2">
        <v>1.1475481986999512</v>
      </c>
      <c r="AF8" s="2">
        <v>1.1255636215209961</v>
      </c>
      <c r="AG8" s="2">
        <v>1.1696478128433228</v>
      </c>
      <c r="AH8" s="2">
        <v>0.6097874641418457</v>
      </c>
      <c r="AI8" s="2">
        <v>0.45731297135353088</v>
      </c>
      <c r="AJ8" s="3">
        <f t="shared" si="7"/>
        <v>304086</v>
      </c>
      <c r="AK8" s="3">
        <v>138220</v>
      </c>
      <c r="AL8" s="3">
        <v>165866</v>
      </c>
      <c r="AM8" s="2">
        <v>1.27091689406245</v>
      </c>
      <c r="AN8" s="2">
        <v>1.16007861643316</v>
      </c>
      <c r="AO8" s="2">
        <v>1.12024688543236</v>
      </c>
      <c r="AP8" s="2">
        <v>1.1319380968697701</v>
      </c>
      <c r="AQ8" s="2">
        <v>1.3975040059889701</v>
      </c>
      <c r="AR8" s="2">
        <v>1.2204727786732099</v>
      </c>
      <c r="AS8" s="3">
        <v>85132</v>
      </c>
      <c r="AT8" s="10">
        <v>1.5702951002227099</v>
      </c>
      <c r="AU8" s="10">
        <v>1.2501213745767901</v>
      </c>
      <c r="AV8" s="6"/>
      <c r="AW8" s="7">
        <f t="shared" si="0"/>
        <v>0.67357190690461366</v>
      </c>
      <c r="AX8" s="7">
        <f t="shared" si="1"/>
        <v>0.3264280930953864</v>
      </c>
      <c r="AY8" s="7">
        <f t="shared" si="2"/>
        <v>0.3442567731686022</v>
      </c>
      <c r="AZ8" s="7">
        <f t="shared" si="3"/>
        <v>0.65574322683139785</v>
      </c>
      <c r="BA8" s="7">
        <v>1.853334</v>
      </c>
      <c r="BB8" s="7">
        <v>0.62635450000000004</v>
      </c>
      <c r="BC8" s="7">
        <v>0.37364550000000002</v>
      </c>
      <c r="BD8" s="7">
        <v>0.64724230000000005</v>
      </c>
      <c r="BE8" s="7">
        <v>0</v>
      </c>
      <c r="BF8" s="7">
        <v>1.249533</v>
      </c>
      <c r="BG8" s="7">
        <v>1.249533</v>
      </c>
      <c r="BH8" s="7">
        <v>1</v>
      </c>
      <c r="BI8" s="7">
        <v>0.83056479999999999</v>
      </c>
      <c r="BJ8" s="7">
        <v>0.27288869999999998</v>
      </c>
      <c r="BK8" s="7">
        <v>0.72711130000000002</v>
      </c>
      <c r="BL8" s="7">
        <v>0.29117480000000001</v>
      </c>
      <c r="BM8" s="7">
        <v>3.9300000000000004E-15</v>
      </c>
      <c r="BN8" s="7">
        <v>1.2101139999999999</v>
      </c>
      <c r="BO8" s="7">
        <v>1.2101139999999999</v>
      </c>
      <c r="BP8" s="7">
        <v>1</v>
      </c>
      <c r="BQ8" s="7">
        <v>0.44890160000000001</v>
      </c>
      <c r="BR8" s="7">
        <v>0.33415129999999998</v>
      </c>
      <c r="BS8" s="7">
        <v>0.66584869999999996</v>
      </c>
      <c r="BT8" s="7">
        <v>0.55497370000000001</v>
      </c>
      <c r="BU8" s="7">
        <v>0.69686530000000002</v>
      </c>
      <c r="BV8" s="7">
        <v>0.44306980000000001</v>
      </c>
      <c r="BW8" s="7">
        <v>1.1704589999999999</v>
      </c>
      <c r="BX8" s="7">
        <v>1.2440869999999999</v>
      </c>
      <c r="BY8" s="7">
        <v>1.062905</v>
      </c>
      <c r="BZ8" s="7">
        <v>0</v>
      </c>
      <c r="CA8" s="7">
        <v>0.67299690000000001</v>
      </c>
      <c r="CB8" s="7">
        <v>0.32700299999999999</v>
      </c>
      <c r="CC8" s="7">
        <v>0.34553889999999998</v>
      </c>
      <c r="CD8" s="7">
        <v>0.65446110000000002</v>
      </c>
      <c r="CE8" s="7">
        <v>1.8128489999999999</v>
      </c>
      <c r="CF8" s="7">
        <v>1.4230940000000001</v>
      </c>
      <c r="CG8" s="7">
        <v>1.2424170000000001</v>
      </c>
      <c r="CH8" s="7">
        <v>1.2045110000000001</v>
      </c>
      <c r="CI8" s="7">
        <v>1.094536</v>
      </c>
      <c r="CJ8" s="7">
        <v>0.99882400000000005</v>
      </c>
      <c r="CK8" s="7">
        <v>0.91255489999999995</v>
      </c>
      <c r="CL8" s="7">
        <v>0.9280661</v>
      </c>
      <c r="CM8" s="7">
        <v>0.56350199999999995</v>
      </c>
      <c r="CN8" s="7">
        <v>0.60514999999999997</v>
      </c>
      <c r="CO8" s="7">
        <v>0.53786230000000002</v>
      </c>
      <c r="CP8" s="7">
        <v>1.7575400000000001E-2</v>
      </c>
      <c r="CQ8" s="7">
        <v>3.3087699999999998E-2</v>
      </c>
      <c r="CR8" s="7">
        <v>6.5195000000000001E-3</v>
      </c>
      <c r="CS8" s="7">
        <v>1.0887579999999999</v>
      </c>
      <c r="CT8" s="7">
        <v>1.1616130762327979</v>
      </c>
      <c r="CU8" s="7">
        <v>1.0325297723107383</v>
      </c>
      <c r="CV8" s="7">
        <v>0.94016379999999999</v>
      </c>
      <c r="CW8" s="7">
        <v>1.046052</v>
      </c>
      <c r="CX8" s="7">
        <v>1.0671079999999999</v>
      </c>
      <c r="CY8" s="7">
        <v>1.0461721427672477</v>
      </c>
      <c r="CZ8" s="6"/>
      <c r="DI8" s="33"/>
      <c r="DJ8" s="11"/>
    </row>
    <row r="9" spans="1:114" customFormat="1" x14ac:dyDescent="0.3">
      <c r="A9" s="5">
        <v>1954</v>
      </c>
      <c r="B9" s="3">
        <v>162391</v>
      </c>
      <c r="C9" s="3">
        <v>390549</v>
      </c>
      <c r="D9" s="12">
        <v>1.31726366819284</v>
      </c>
      <c r="E9" s="2">
        <v>1.1877646534920201</v>
      </c>
      <c r="F9" s="3">
        <v>239608</v>
      </c>
      <c r="G9" s="3">
        <v>58070</v>
      </c>
      <c r="H9" s="3">
        <v>67071</v>
      </c>
      <c r="I9" s="3">
        <v>25396</v>
      </c>
      <c r="J9" s="3">
        <v>404</v>
      </c>
      <c r="K9" s="3">
        <f t="shared" si="4"/>
        <v>391158</v>
      </c>
      <c r="L9" s="3">
        <f t="shared" si="5"/>
        <v>156961</v>
      </c>
      <c r="M9" s="3">
        <f t="shared" si="6"/>
        <v>234197</v>
      </c>
      <c r="N9" s="10">
        <v>1.209134578704834</v>
      </c>
      <c r="O9" s="10">
        <v>1.1348470449447632</v>
      </c>
      <c r="P9" s="10">
        <v>1.2664122581481934</v>
      </c>
      <c r="Q9" s="9">
        <v>56323.78</v>
      </c>
      <c r="R9" s="9">
        <v>100637.22</v>
      </c>
      <c r="S9" s="9">
        <v>29072.22</v>
      </c>
      <c r="T9" s="9">
        <v>205124.78</v>
      </c>
      <c r="U9" s="3">
        <v>197065.75</v>
      </c>
      <c r="V9" s="3">
        <v>94278.421875</v>
      </c>
      <c r="W9" s="3">
        <v>102787.3203125</v>
      </c>
      <c r="X9" s="2">
        <v>0.5230979323387146</v>
      </c>
      <c r="Y9" s="2">
        <v>1.2953529357910156</v>
      </c>
      <c r="Z9" s="2">
        <v>1.3550273180007935</v>
      </c>
      <c r="AA9" s="2">
        <v>1.2526968717575073</v>
      </c>
      <c r="AB9" s="2">
        <v>1.3126991987228394</v>
      </c>
      <c r="AC9" s="2">
        <v>1.3659058809280396</v>
      </c>
      <c r="AD9" s="2">
        <v>1.2842284440994263</v>
      </c>
      <c r="AE9" s="2">
        <v>1.1093044281005859</v>
      </c>
      <c r="AF9" s="2">
        <v>1.0536787509918213</v>
      </c>
      <c r="AG9" s="2">
        <v>1.1657497882843018</v>
      </c>
      <c r="AH9" s="2">
        <v>0.61557263135910034</v>
      </c>
      <c r="AI9" s="2">
        <v>0.45758900046348572</v>
      </c>
      <c r="AJ9" s="3">
        <f t="shared" si="7"/>
        <v>305146</v>
      </c>
      <c r="AK9" s="3">
        <v>136405</v>
      </c>
      <c r="AL9" s="3">
        <v>168741</v>
      </c>
      <c r="AM9" s="2">
        <v>1.2617433762319099</v>
      </c>
      <c r="AN9" s="2">
        <v>1.17258624756304</v>
      </c>
      <c r="AO9" s="2">
        <v>1.14494247271352</v>
      </c>
      <c r="AP9" s="2">
        <v>1.0929798542036799</v>
      </c>
      <c r="AQ9" s="2">
        <v>1.3831221664434299</v>
      </c>
      <c r="AR9" s="2">
        <v>1.25453812649104</v>
      </c>
      <c r="AS9" s="3">
        <v>85403</v>
      </c>
      <c r="AT9" s="10">
        <v>1.56945991091314</v>
      </c>
      <c r="AU9" s="10">
        <v>1.2547682464882099</v>
      </c>
      <c r="AV9" s="6"/>
      <c r="AW9" s="7">
        <f t="shared" si="0"/>
        <v>0.65955993254953393</v>
      </c>
      <c r="AX9" s="7">
        <f t="shared" si="1"/>
        <v>0.34044006745046607</v>
      </c>
      <c r="AY9" s="7">
        <f t="shared" si="2"/>
        <v>0.32913579843145979</v>
      </c>
      <c r="AZ9" s="7">
        <f t="shared" si="3"/>
        <v>0.67086420156854021</v>
      </c>
      <c r="BA9" s="7">
        <v>1.8287739999999999</v>
      </c>
      <c r="BB9" s="7">
        <v>0.62181260000000005</v>
      </c>
      <c r="BC9" s="7">
        <v>0.37818740000000001</v>
      </c>
      <c r="BD9" s="7">
        <v>0.64724230000000005</v>
      </c>
      <c r="BE9" s="7">
        <v>0</v>
      </c>
      <c r="BF9" s="7">
        <v>1.2522200000000001</v>
      </c>
      <c r="BG9" s="7">
        <v>1.252221</v>
      </c>
      <c r="BH9" s="7">
        <v>1</v>
      </c>
      <c r="BI9" s="7">
        <v>0.83056479999999999</v>
      </c>
      <c r="BJ9" s="7">
        <v>0.26906429999999998</v>
      </c>
      <c r="BK9" s="7">
        <v>0.73093569999999997</v>
      </c>
      <c r="BL9" s="7">
        <v>0.29117480000000001</v>
      </c>
      <c r="BM9" s="7">
        <v>3.9300000000000004E-15</v>
      </c>
      <c r="BN9" s="7">
        <v>1.2044539999999999</v>
      </c>
      <c r="BO9" s="7">
        <v>1.2044539999999999</v>
      </c>
      <c r="BP9" s="7">
        <v>1</v>
      </c>
      <c r="BQ9" s="7">
        <v>0.44890160000000001</v>
      </c>
      <c r="BR9" s="7">
        <v>0.33474150000000003</v>
      </c>
      <c r="BS9" s="7">
        <v>0.66525849999999997</v>
      </c>
      <c r="BT9" s="7">
        <v>0.55497370000000001</v>
      </c>
      <c r="BU9" s="7">
        <v>0.69686530000000002</v>
      </c>
      <c r="BV9" s="7">
        <v>0.44306980000000001</v>
      </c>
      <c r="BW9" s="7">
        <v>1.1836310000000001</v>
      </c>
      <c r="BX9" s="7">
        <v>1.2306980000000001</v>
      </c>
      <c r="BY9" s="7">
        <v>1.0397639999999999</v>
      </c>
      <c r="BZ9" s="7">
        <v>0</v>
      </c>
      <c r="CA9" s="7">
        <v>0.6665664</v>
      </c>
      <c r="CB9" s="7">
        <v>0.3334336</v>
      </c>
      <c r="CC9" s="7">
        <v>0.33669680000000002</v>
      </c>
      <c r="CD9" s="7">
        <v>0.66330319999999998</v>
      </c>
      <c r="CE9" s="7">
        <v>1.7900640000000001</v>
      </c>
      <c r="CF9" s="7">
        <v>1.468032</v>
      </c>
      <c r="CG9" s="7">
        <v>1.199101</v>
      </c>
      <c r="CH9" s="7">
        <v>1.2201029999999999</v>
      </c>
      <c r="CI9" s="7">
        <v>1.1159319999999999</v>
      </c>
      <c r="CJ9" s="7">
        <v>1.0093350000000001</v>
      </c>
      <c r="CK9" s="7">
        <v>0.90447730000000004</v>
      </c>
      <c r="CL9" s="7">
        <v>0.93466369999999999</v>
      </c>
      <c r="CM9" s="7">
        <v>0.56350199999999995</v>
      </c>
      <c r="CN9" s="7">
        <v>0.60514999999999997</v>
      </c>
      <c r="CO9" s="7">
        <v>0.53786230000000002</v>
      </c>
      <c r="CP9" s="7">
        <v>-3.4734000000000002E-3</v>
      </c>
      <c r="CQ9" s="7">
        <v>-1.1654400000000001E-2</v>
      </c>
      <c r="CR9" s="7">
        <v>-2.3594000000000002E-3</v>
      </c>
      <c r="CS9" s="7">
        <v>1.084983</v>
      </c>
      <c r="CT9" s="7">
        <v>1.1480665919279096</v>
      </c>
      <c r="CU9" s="7">
        <v>1.0300635729177305</v>
      </c>
      <c r="CV9" s="7">
        <v>0.93787500000000001</v>
      </c>
      <c r="CW9" s="7">
        <v>1.0350550000000001</v>
      </c>
      <c r="CX9" s="7">
        <v>1.061941</v>
      </c>
      <c r="CY9" s="7">
        <v>1.0445505297077573</v>
      </c>
      <c r="CZ9" s="6"/>
      <c r="DI9" s="33"/>
      <c r="DJ9" s="11"/>
    </row>
    <row r="10" spans="1:114" customFormat="1" x14ac:dyDescent="0.3">
      <c r="A10" s="5">
        <v>1955</v>
      </c>
      <c r="B10" s="3">
        <v>165275</v>
      </c>
      <c r="C10" s="3">
        <v>425478</v>
      </c>
      <c r="D10" s="12">
        <v>1.41125774306491</v>
      </c>
      <c r="E10" s="2">
        <v>1.2078092514988501</v>
      </c>
      <c r="F10" s="3">
        <v>258288</v>
      </c>
      <c r="G10" s="3">
        <v>73754</v>
      </c>
      <c r="H10" s="3">
        <v>68600</v>
      </c>
      <c r="I10" s="3">
        <v>24358</v>
      </c>
      <c r="J10" s="3">
        <v>478</v>
      </c>
      <c r="K10" s="3">
        <f t="shared" si="4"/>
        <v>426183</v>
      </c>
      <c r="L10" s="3">
        <f t="shared" si="5"/>
        <v>172825.99</v>
      </c>
      <c r="M10" s="3">
        <f t="shared" si="6"/>
        <v>253357.01</v>
      </c>
      <c r="N10" s="10">
        <v>1.2268844842910767</v>
      </c>
      <c r="O10" s="10">
        <v>1.1406246423721313</v>
      </c>
      <c r="P10" s="10">
        <v>1.2934666872024536</v>
      </c>
      <c r="Q10" s="9">
        <v>60982.58</v>
      </c>
      <c r="R10" s="9">
        <v>111843.41</v>
      </c>
      <c r="S10" s="9">
        <v>32149.42</v>
      </c>
      <c r="T10" s="9">
        <v>221207.59</v>
      </c>
      <c r="U10" s="3">
        <v>222725.765625</v>
      </c>
      <c r="V10" s="3">
        <v>105471.140625</v>
      </c>
      <c r="W10" s="3">
        <v>117254.625</v>
      </c>
      <c r="X10" s="2">
        <v>0.52529972791671753</v>
      </c>
      <c r="Y10" s="2">
        <v>1.3892884254455566</v>
      </c>
      <c r="Z10" s="2">
        <v>1.4808347225189209</v>
      </c>
      <c r="AA10" s="2">
        <v>1.3262104988098145</v>
      </c>
      <c r="AB10" s="2">
        <v>1.3686519861221313</v>
      </c>
      <c r="AC10" s="2">
        <v>1.4175570011138916</v>
      </c>
      <c r="AD10" s="2">
        <v>1.3420835733413696</v>
      </c>
      <c r="AE10" s="2">
        <v>1.1472072601318359</v>
      </c>
      <c r="AF10" s="2">
        <v>1.1026390790939331</v>
      </c>
      <c r="AG10" s="2">
        <v>1.192705512046814</v>
      </c>
      <c r="AH10" s="2">
        <v>0.61157941818237305</v>
      </c>
      <c r="AI10" s="2">
        <v>0.46566823124885559</v>
      </c>
      <c r="AJ10" s="3">
        <f t="shared" si="7"/>
        <v>332353</v>
      </c>
      <c r="AK10" s="3">
        <v>155282</v>
      </c>
      <c r="AL10" s="3">
        <v>177071</v>
      </c>
      <c r="AM10" s="2">
        <v>1.35151057687253</v>
      </c>
      <c r="AN10" s="2">
        <v>1.1923075744659599</v>
      </c>
      <c r="AO10" s="2">
        <v>1.2497306327270401</v>
      </c>
      <c r="AP10" s="2">
        <v>1.13990913578524</v>
      </c>
      <c r="AQ10" s="2">
        <v>1.41020125400243</v>
      </c>
      <c r="AR10" s="2">
        <v>1.2911899316739099</v>
      </c>
      <c r="AS10" s="3">
        <v>93125</v>
      </c>
      <c r="AT10" s="10">
        <v>1.6826280623608001</v>
      </c>
      <c r="AU10" s="10">
        <v>1.2762001111074801</v>
      </c>
      <c r="AV10" s="6"/>
      <c r="AW10" s="7">
        <f t="shared" si="0"/>
        <v>0.65479727698320667</v>
      </c>
      <c r="AX10" s="7">
        <f t="shared" si="1"/>
        <v>0.34520272301679333</v>
      </c>
      <c r="AY10" s="7">
        <f t="shared" si="2"/>
        <v>0.33581466502127305</v>
      </c>
      <c r="AZ10" s="7">
        <f t="shared" si="3"/>
        <v>0.664185334978727</v>
      </c>
      <c r="BA10" s="7">
        <v>1.9543429999999999</v>
      </c>
      <c r="BB10" s="7">
        <v>0.61802869999999999</v>
      </c>
      <c r="BC10" s="7">
        <v>0.38197130000000001</v>
      </c>
      <c r="BD10" s="7">
        <v>0.64724230000000005</v>
      </c>
      <c r="BE10" s="7">
        <v>0</v>
      </c>
      <c r="BF10" s="7">
        <v>1.346822</v>
      </c>
      <c r="BG10" s="7">
        <v>1.346822</v>
      </c>
      <c r="BH10" s="7">
        <v>1</v>
      </c>
      <c r="BI10" s="7">
        <v>0.83056479999999999</v>
      </c>
      <c r="BJ10" s="7">
        <v>0.26591759999999998</v>
      </c>
      <c r="BK10" s="7">
        <v>0.73408249999999997</v>
      </c>
      <c r="BL10" s="7">
        <v>0.29117480000000001</v>
      </c>
      <c r="BM10" s="7">
        <v>3.9300000000000004E-15</v>
      </c>
      <c r="BN10" s="7">
        <v>1.2881359999999999</v>
      </c>
      <c r="BO10" s="7">
        <v>1.2881359999999999</v>
      </c>
      <c r="BP10" s="7">
        <v>1</v>
      </c>
      <c r="BQ10" s="7">
        <v>0.44890160000000001</v>
      </c>
      <c r="BR10" s="7">
        <v>0.32280340000000002</v>
      </c>
      <c r="BS10" s="7">
        <v>0.67719660000000004</v>
      </c>
      <c r="BT10" s="7">
        <v>0.55497370000000001</v>
      </c>
      <c r="BU10" s="7">
        <v>0.69686530000000002</v>
      </c>
      <c r="BV10" s="7">
        <v>0.44306980000000001</v>
      </c>
      <c r="BW10" s="7">
        <v>1.235166</v>
      </c>
      <c r="BX10" s="7">
        <v>1.3340780000000001</v>
      </c>
      <c r="BY10" s="7">
        <v>1.0800799999999999</v>
      </c>
      <c r="BZ10" s="7">
        <v>0</v>
      </c>
      <c r="CA10" s="7">
        <v>0.65717630000000005</v>
      </c>
      <c r="CB10" s="7">
        <v>0.34282370000000001</v>
      </c>
      <c r="CC10" s="7">
        <v>0.33247520000000003</v>
      </c>
      <c r="CD10" s="7">
        <v>0.66752480000000003</v>
      </c>
      <c r="CE10" s="7">
        <v>1.9280219999999999</v>
      </c>
      <c r="CF10" s="7">
        <v>1.589191</v>
      </c>
      <c r="CG10" s="7">
        <v>1.323906</v>
      </c>
      <c r="CH10" s="7">
        <v>1.286348</v>
      </c>
      <c r="CI10" s="7">
        <v>1.133999</v>
      </c>
      <c r="CJ10" s="7">
        <v>1.0135259999999999</v>
      </c>
      <c r="CK10" s="7">
        <v>0.89376299999999997</v>
      </c>
      <c r="CL10" s="7">
        <v>0.93437809999999999</v>
      </c>
      <c r="CM10" s="7">
        <v>0.56350199999999995</v>
      </c>
      <c r="CN10" s="7">
        <v>0.60514999999999997</v>
      </c>
      <c r="CO10" s="7">
        <v>0.53786230000000002</v>
      </c>
      <c r="CP10" s="7">
        <v>3.2856499999999997E-2</v>
      </c>
      <c r="CQ10" s="7">
        <v>4.6989200000000002E-2</v>
      </c>
      <c r="CR10" s="7">
        <v>2.4910999999999999E-2</v>
      </c>
      <c r="CS10" s="7">
        <v>1.121224</v>
      </c>
      <c r="CT10" s="7">
        <v>1.2033073664078522</v>
      </c>
      <c r="CU10" s="7">
        <v>1.0560310613517379</v>
      </c>
      <c r="CV10" s="7">
        <v>0.93188159999999998</v>
      </c>
      <c r="CW10" s="7">
        <v>1.0689010000000001</v>
      </c>
      <c r="CX10" s="7">
        <v>1.095167</v>
      </c>
      <c r="CY10" s="7">
        <v>1.0781542273510138</v>
      </c>
      <c r="CZ10" s="6"/>
      <c r="DI10" s="33"/>
      <c r="DJ10" s="11"/>
    </row>
    <row r="11" spans="1:114" customFormat="1" x14ac:dyDescent="0.3">
      <c r="A11" s="5">
        <v>1956</v>
      </c>
      <c r="B11" s="3">
        <v>168221</v>
      </c>
      <c r="C11" s="3">
        <v>449353</v>
      </c>
      <c r="D11" s="12">
        <v>1.44133225603735</v>
      </c>
      <c r="E11" s="2">
        <v>1.24896744969254</v>
      </c>
      <c r="F11" s="3">
        <v>271128</v>
      </c>
      <c r="G11" s="3">
        <v>77685</v>
      </c>
      <c r="H11" s="3">
        <v>71034</v>
      </c>
      <c r="I11" s="3">
        <v>27146</v>
      </c>
      <c r="J11" s="3">
        <v>2361</v>
      </c>
      <c r="K11" s="3">
        <f t="shared" si="4"/>
        <v>450145</v>
      </c>
      <c r="L11" s="3">
        <f t="shared" si="5"/>
        <v>181049</v>
      </c>
      <c r="M11" s="3">
        <f t="shared" si="6"/>
        <v>269096</v>
      </c>
      <c r="N11" s="10">
        <v>1.2759667634963989</v>
      </c>
      <c r="O11" s="10">
        <v>1.1956124305725098</v>
      </c>
      <c r="P11" s="10">
        <v>1.3379197120666504</v>
      </c>
      <c r="Q11" s="9">
        <v>66146.36</v>
      </c>
      <c r="R11" s="9">
        <v>114902.64</v>
      </c>
      <c r="S11" s="9">
        <v>34725.64</v>
      </c>
      <c r="T11" s="9">
        <v>234370.36</v>
      </c>
      <c r="U11" s="3">
        <v>236725.03125</v>
      </c>
      <c r="V11" s="3">
        <v>110789.296875</v>
      </c>
      <c r="W11" s="3">
        <v>125935.7421875</v>
      </c>
      <c r="X11" s="2">
        <v>0.53673189878463745</v>
      </c>
      <c r="Y11" s="2">
        <v>1.4119004011154175</v>
      </c>
      <c r="Z11" s="2">
        <v>1.4807370901107788</v>
      </c>
      <c r="AA11" s="2">
        <v>1.3629989624023438</v>
      </c>
      <c r="AB11" s="2">
        <v>1.4350333213806152</v>
      </c>
      <c r="AC11" s="2">
        <v>1.492082953453064</v>
      </c>
      <c r="AD11" s="2">
        <v>1.4044022560119629</v>
      </c>
      <c r="AE11" s="2">
        <v>1.1731125116348267</v>
      </c>
      <c r="AF11" s="2">
        <v>1.1196023225784302</v>
      </c>
      <c r="AG11" s="2">
        <v>1.2273250818252563</v>
      </c>
      <c r="AH11" s="2">
        <v>0.61785441637039185</v>
      </c>
      <c r="AI11" s="2">
        <v>0.48059511184692383</v>
      </c>
      <c r="AJ11" s="3">
        <f t="shared" si="7"/>
        <v>348472</v>
      </c>
      <c r="AK11" s="3">
        <v>160857</v>
      </c>
      <c r="AL11" s="3">
        <v>187615</v>
      </c>
      <c r="AM11" s="2">
        <v>1.3812879929306601</v>
      </c>
      <c r="AN11" s="2">
        <v>1.22318402289744</v>
      </c>
      <c r="AO11" s="2">
        <v>1.2804528588797199</v>
      </c>
      <c r="AP11" s="2">
        <v>1.15250257423939</v>
      </c>
      <c r="AQ11" s="2">
        <v>1.44840152314366</v>
      </c>
      <c r="AR11" s="2">
        <v>1.33199431824198</v>
      </c>
      <c r="AS11" s="3">
        <v>100881</v>
      </c>
      <c r="AT11" s="10">
        <v>1.7142260579064501</v>
      </c>
      <c r="AU11" s="10">
        <v>1.3570064318342101</v>
      </c>
      <c r="AV11" s="6"/>
      <c r="AW11" s="7">
        <f t="shared" si="0"/>
        <v>0.65574549924656989</v>
      </c>
      <c r="AX11" s="7">
        <f t="shared" si="1"/>
        <v>0.34425450075343006</v>
      </c>
      <c r="AY11" s="7">
        <f t="shared" si="2"/>
        <v>0.32897658851385592</v>
      </c>
      <c r="AZ11" s="7">
        <f t="shared" si="3"/>
        <v>0.67102341148614408</v>
      </c>
      <c r="BA11" s="7">
        <v>2.0148450000000002</v>
      </c>
      <c r="BB11" s="7">
        <v>0.62116159999999998</v>
      </c>
      <c r="BC11" s="7">
        <v>0.37883840000000002</v>
      </c>
      <c r="BD11" s="7">
        <v>0.64724230000000005</v>
      </c>
      <c r="BE11" s="7">
        <v>0</v>
      </c>
      <c r="BF11" s="7">
        <v>1.3551040000000001</v>
      </c>
      <c r="BG11" s="7">
        <v>1.3551040000000001</v>
      </c>
      <c r="BH11" s="7">
        <v>1</v>
      </c>
      <c r="BI11" s="7">
        <v>0.83056479999999999</v>
      </c>
      <c r="BJ11" s="7">
        <v>0.26852039999999999</v>
      </c>
      <c r="BK11" s="7">
        <v>0.73147960000000001</v>
      </c>
      <c r="BL11" s="7">
        <v>0.29117480000000001</v>
      </c>
      <c r="BM11" s="7">
        <v>3.9300000000000004E-15</v>
      </c>
      <c r="BN11" s="7">
        <v>1.3021419999999999</v>
      </c>
      <c r="BO11" s="7">
        <v>1.3021419999999999</v>
      </c>
      <c r="BP11" s="7">
        <v>1</v>
      </c>
      <c r="BQ11" s="7">
        <v>0.44890160000000001</v>
      </c>
      <c r="BR11" s="7">
        <v>0.3264049</v>
      </c>
      <c r="BS11" s="7">
        <v>0.6735951</v>
      </c>
      <c r="BT11" s="7">
        <v>0.55497370000000001</v>
      </c>
      <c r="BU11" s="7">
        <v>0.69686530000000002</v>
      </c>
      <c r="BV11" s="7">
        <v>0.44306980000000001</v>
      </c>
      <c r="BW11" s="7">
        <v>1.2502880000000001</v>
      </c>
      <c r="BX11" s="7">
        <v>1.346185</v>
      </c>
      <c r="BY11" s="7">
        <v>1.0766990000000001</v>
      </c>
      <c r="BZ11" s="7">
        <v>0</v>
      </c>
      <c r="CA11" s="7">
        <v>0.65527009999999997</v>
      </c>
      <c r="CB11" s="7">
        <v>0.34472989999999998</v>
      </c>
      <c r="CC11" s="7">
        <v>0.33239469999999999</v>
      </c>
      <c r="CD11" s="7">
        <v>0.66760520000000001</v>
      </c>
      <c r="CE11" s="7">
        <v>1.9954190000000001</v>
      </c>
      <c r="CF11" s="7">
        <v>1.6597900000000001</v>
      </c>
      <c r="CG11" s="7">
        <v>1.2983450000000001</v>
      </c>
      <c r="CH11" s="7">
        <v>1.318395</v>
      </c>
      <c r="CI11" s="7">
        <v>1.1190249999999999</v>
      </c>
      <c r="CJ11" s="7">
        <v>0.98589499999999997</v>
      </c>
      <c r="CK11" s="7">
        <v>0.88103070000000006</v>
      </c>
      <c r="CL11" s="7">
        <v>0.90149710000000005</v>
      </c>
      <c r="CM11" s="7">
        <v>0.56350199999999995</v>
      </c>
      <c r="CN11" s="7">
        <v>0.60514999999999997</v>
      </c>
      <c r="CO11" s="7">
        <v>0.53786230000000002</v>
      </c>
      <c r="CP11" s="7">
        <v>-1.7111399999999999E-2</v>
      </c>
      <c r="CQ11" s="7">
        <v>-3.1034300000000001E-2</v>
      </c>
      <c r="CR11" s="7">
        <v>-8.5736000000000007E-3</v>
      </c>
      <c r="CS11" s="7">
        <v>1.1022019999999999</v>
      </c>
      <c r="CT11" s="7">
        <v>1.1665095490682402</v>
      </c>
      <c r="CU11" s="7">
        <v>1.0470042735392213</v>
      </c>
      <c r="CV11" s="7">
        <v>0.91440650000000001</v>
      </c>
      <c r="CW11" s="7">
        <v>1.025533</v>
      </c>
      <c r="CX11" s="7">
        <v>1.079321</v>
      </c>
      <c r="CY11" s="7">
        <v>1.0359145020775968</v>
      </c>
      <c r="CZ11" s="6"/>
      <c r="DI11" s="33"/>
      <c r="DJ11" s="11"/>
    </row>
    <row r="12" spans="1:114" customFormat="1" x14ac:dyDescent="0.3">
      <c r="A12" s="5">
        <v>1957</v>
      </c>
      <c r="B12" s="3">
        <v>171274</v>
      </c>
      <c r="C12" s="3">
        <v>474039</v>
      </c>
      <c r="D12" s="12">
        <v>1.47167609300655</v>
      </c>
      <c r="E12" s="2">
        <v>1.29041504792782</v>
      </c>
      <c r="F12" s="3">
        <v>286296</v>
      </c>
      <c r="G12" s="3">
        <v>76505</v>
      </c>
      <c r="H12" s="3">
        <v>76933</v>
      </c>
      <c r="I12" s="3">
        <v>30230</v>
      </c>
      <c r="J12" s="3">
        <v>4075</v>
      </c>
      <c r="K12" s="3">
        <f t="shared" si="4"/>
        <v>474861</v>
      </c>
      <c r="L12" s="3">
        <f t="shared" si="5"/>
        <v>187694</v>
      </c>
      <c r="M12" s="3">
        <f t="shared" si="6"/>
        <v>287167</v>
      </c>
      <c r="N12" s="10">
        <v>1.3188638687133789</v>
      </c>
      <c r="O12" s="10">
        <v>1.2357113361358643</v>
      </c>
      <c r="P12" s="10">
        <v>1.3829727172851563</v>
      </c>
      <c r="Q12" s="9">
        <v>69278.16</v>
      </c>
      <c r="R12" s="9">
        <v>118415.84</v>
      </c>
      <c r="S12" s="9">
        <v>36678.839999999997</v>
      </c>
      <c r="T12" s="9">
        <v>250488.16</v>
      </c>
      <c r="U12" s="3">
        <v>253734.328125</v>
      </c>
      <c r="V12" s="3">
        <v>117129.3359375</v>
      </c>
      <c r="W12" s="3">
        <v>136605</v>
      </c>
      <c r="X12" s="2">
        <v>0.54276019334793091</v>
      </c>
      <c r="Y12" s="2">
        <v>1.4398941993713379</v>
      </c>
      <c r="Z12" s="2">
        <v>1.4855481386184692</v>
      </c>
      <c r="AA12" s="2">
        <v>1.4055469036102295</v>
      </c>
      <c r="AB12" s="2">
        <v>1.4991930723190308</v>
      </c>
      <c r="AC12" s="2">
        <v>1.5631506443023682</v>
      </c>
      <c r="AD12" s="2">
        <v>1.4651618003845215</v>
      </c>
      <c r="AE12" s="2">
        <v>1.1725307703018188</v>
      </c>
      <c r="AF12" s="2">
        <v>1.1003443002700806</v>
      </c>
      <c r="AG12" s="2">
        <v>1.2448054552078247</v>
      </c>
      <c r="AH12" s="2">
        <v>0.62459021806716919</v>
      </c>
      <c r="AI12" s="2">
        <v>0.48731845617294312</v>
      </c>
      <c r="AJ12" s="3">
        <f t="shared" si="7"/>
        <v>368080</v>
      </c>
      <c r="AK12" s="3">
        <v>166650</v>
      </c>
      <c r="AL12" s="3">
        <v>201430</v>
      </c>
      <c r="AM12" s="2">
        <v>1.41336934788445</v>
      </c>
      <c r="AN12" s="2">
        <v>1.26269092754362</v>
      </c>
      <c r="AO12" s="2">
        <v>1.31012121739712</v>
      </c>
      <c r="AP12" s="2">
        <v>1.1669691396394799</v>
      </c>
      <c r="AQ12" s="2">
        <v>1.50096204149912</v>
      </c>
      <c r="AR12" s="2">
        <v>1.37999728154622</v>
      </c>
      <c r="AS12" s="3">
        <v>105957</v>
      </c>
      <c r="AT12" s="10">
        <v>1.7374721603563399</v>
      </c>
      <c r="AU12" s="10">
        <v>1.4062172428197399</v>
      </c>
      <c r="AV12" s="6"/>
      <c r="AW12" s="7">
        <f t="shared" si="0"/>
        <v>0.65383278122257149</v>
      </c>
      <c r="AX12" s="7">
        <f t="shared" si="1"/>
        <v>0.34616721877742856</v>
      </c>
      <c r="AY12" s="7">
        <f t="shared" si="2"/>
        <v>0.32099364604341507</v>
      </c>
      <c r="AZ12" s="7">
        <f t="shared" si="3"/>
        <v>0.67900635395658493</v>
      </c>
      <c r="BA12" s="7">
        <v>2.0882520000000002</v>
      </c>
      <c r="BB12" s="7">
        <v>0.62113079999999998</v>
      </c>
      <c r="BC12" s="7">
        <v>0.37886920000000002</v>
      </c>
      <c r="BD12" s="7">
        <v>0.64724230000000005</v>
      </c>
      <c r="BE12" s="7">
        <v>0</v>
      </c>
      <c r="BF12" s="7">
        <v>1.3834919999999999</v>
      </c>
      <c r="BG12" s="7">
        <v>1.3834919999999999</v>
      </c>
      <c r="BH12" s="7">
        <v>1</v>
      </c>
      <c r="BI12" s="7">
        <v>0.83056479999999999</v>
      </c>
      <c r="BJ12" s="7">
        <v>0.26849460000000003</v>
      </c>
      <c r="BK12" s="7">
        <v>0.73150539999999997</v>
      </c>
      <c r="BL12" s="7">
        <v>0.29117480000000001</v>
      </c>
      <c r="BM12" s="7">
        <v>3.9300000000000004E-15</v>
      </c>
      <c r="BN12" s="7">
        <v>1.329359</v>
      </c>
      <c r="BO12" s="7">
        <v>1.329359</v>
      </c>
      <c r="BP12" s="7">
        <v>1</v>
      </c>
      <c r="BQ12" s="7">
        <v>0.44890160000000001</v>
      </c>
      <c r="BR12" s="7">
        <v>0.32589269999999998</v>
      </c>
      <c r="BS12" s="7">
        <v>0.67410729999999996</v>
      </c>
      <c r="BT12" s="7">
        <v>0.55497370000000001</v>
      </c>
      <c r="BU12" s="7">
        <v>0.69686530000000002</v>
      </c>
      <c r="BV12" s="7">
        <v>0.44306980000000001</v>
      </c>
      <c r="BW12" s="7">
        <v>1.2745409999999999</v>
      </c>
      <c r="BX12" s="7">
        <v>1.3753200000000001</v>
      </c>
      <c r="BY12" s="7">
        <v>1.07907</v>
      </c>
      <c r="BZ12" s="7">
        <v>0</v>
      </c>
      <c r="CA12" s="7">
        <v>0.65478709999999996</v>
      </c>
      <c r="CB12" s="7">
        <v>0.34521289999999999</v>
      </c>
      <c r="CC12" s="7">
        <v>0.32498549999999998</v>
      </c>
      <c r="CD12" s="7">
        <v>0.67501449999999996</v>
      </c>
      <c r="CE12" s="7">
        <v>2.0219</v>
      </c>
      <c r="CF12" s="7">
        <v>1.6958789999999999</v>
      </c>
      <c r="CG12" s="7">
        <v>1.2934490000000001</v>
      </c>
      <c r="CH12" s="7">
        <v>1.3619140000000001</v>
      </c>
      <c r="CI12" s="7">
        <v>1.1191709999999999</v>
      </c>
      <c r="CJ12" s="7">
        <v>0.98346920000000004</v>
      </c>
      <c r="CK12" s="7">
        <v>0.87874759999999996</v>
      </c>
      <c r="CL12" s="7">
        <v>0.89803390000000005</v>
      </c>
      <c r="CM12" s="7">
        <v>0.56350199999999995</v>
      </c>
      <c r="CN12" s="7">
        <v>0.60514999999999997</v>
      </c>
      <c r="CO12" s="7">
        <v>0.53786230000000002</v>
      </c>
      <c r="CP12" s="7">
        <v>8.206E-4</v>
      </c>
      <c r="CQ12" s="7">
        <v>-7.2896000000000002E-3</v>
      </c>
      <c r="CR12" s="7">
        <v>4.2824999999999998E-3</v>
      </c>
      <c r="CS12" s="7">
        <v>1.1031059999999999</v>
      </c>
      <c r="CT12" s="7">
        <v>1.1579885768460338</v>
      </c>
      <c r="CU12" s="7">
        <v>1.0514782693094447</v>
      </c>
      <c r="CV12" s="7">
        <v>0.91207830000000001</v>
      </c>
      <c r="CW12" s="7">
        <v>1.0199260000000001</v>
      </c>
      <c r="CX12" s="7">
        <v>1.0805659999999999</v>
      </c>
      <c r="CY12" s="7">
        <v>1.0348674429339175</v>
      </c>
      <c r="CZ12" s="6"/>
      <c r="DI12" s="33"/>
      <c r="DJ12" s="11"/>
    </row>
    <row r="13" spans="1:114" customFormat="1" x14ac:dyDescent="0.3">
      <c r="A13" s="5">
        <v>1958</v>
      </c>
      <c r="B13" s="3">
        <v>174141</v>
      </c>
      <c r="C13" s="3">
        <v>481229</v>
      </c>
      <c r="D13" s="12">
        <v>1.4608133584702401</v>
      </c>
      <c r="E13" s="2">
        <v>1.31972863489411</v>
      </c>
      <c r="F13" s="3">
        <v>295606</v>
      </c>
      <c r="G13" s="3">
        <v>70947</v>
      </c>
      <c r="H13" s="3">
        <v>81516</v>
      </c>
      <c r="I13" s="3">
        <v>32622</v>
      </c>
      <c r="J13" s="3">
        <v>538</v>
      </c>
      <c r="K13" s="3">
        <f t="shared" si="4"/>
        <v>482033</v>
      </c>
      <c r="L13" s="3">
        <f t="shared" si="5"/>
        <v>182753</v>
      </c>
      <c r="M13" s="3">
        <f t="shared" si="6"/>
        <v>299280</v>
      </c>
      <c r="N13" s="10">
        <v>1.3479708433151245</v>
      </c>
      <c r="O13" s="10">
        <v>1.2577725648880005</v>
      </c>
      <c r="P13" s="10">
        <v>1.4172757863998413</v>
      </c>
      <c r="Q13" s="9">
        <v>66354.100000000006</v>
      </c>
      <c r="R13" s="9">
        <v>116398.9</v>
      </c>
      <c r="S13" s="9">
        <v>37572.89</v>
      </c>
      <c r="T13" s="9">
        <v>261707.11</v>
      </c>
      <c r="U13" s="3">
        <v>259092.78125</v>
      </c>
      <c r="V13" s="3">
        <v>114589.171875</v>
      </c>
      <c r="W13" s="3">
        <v>144503.609375</v>
      </c>
      <c r="X13" s="2">
        <v>0.54902392625808716</v>
      </c>
      <c r="Y13" s="2">
        <v>1.4294916391372681</v>
      </c>
      <c r="Z13" s="2">
        <v>1.4226467609405518</v>
      </c>
      <c r="AA13" s="2">
        <v>1.4282722473144531</v>
      </c>
      <c r="AB13" s="2">
        <v>1.5537630319595337</v>
      </c>
      <c r="AC13" s="2">
        <v>1.6031262874603271</v>
      </c>
      <c r="AD13" s="2">
        <v>1.5260367393493652</v>
      </c>
      <c r="AE13" s="2">
        <v>1.1318778991699219</v>
      </c>
      <c r="AF13" s="2">
        <v>1.0229679346084595</v>
      </c>
      <c r="AG13" s="2">
        <v>1.2395186424255371</v>
      </c>
      <c r="AH13" s="2">
        <v>0.63180476427078247</v>
      </c>
      <c r="AI13" s="2">
        <v>0.49545541405677795</v>
      </c>
      <c r="AJ13" s="3">
        <f t="shared" si="7"/>
        <v>377294</v>
      </c>
      <c r="AK13" s="3">
        <v>164665</v>
      </c>
      <c r="AL13" s="3">
        <v>212629</v>
      </c>
      <c r="AM13" s="2">
        <v>1.40908420336218</v>
      </c>
      <c r="AN13" s="2">
        <v>1.29822838653379</v>
      </c>
      <c r="AO13" s="2">
        <v>1.2713855480125</v>
      </c>
      <c r="AP13" s="2">
        <v>1.1882000367374099</v>
      </c>
      <c r="AQ13" s="2">
        <v>1.5350515171312999</v>
      </c>
      <c r="AR13" s="2">
        <v>1.4243716757487701</v>
      </c>
      <c r="AS13" s="3">
        <v>103935</v>
      </c>
      <c r="AT13" s="10">
        <v>1.69807906458797</v>
      </c>
      <c r="AU13" s="10">
        <v>1.41138186472778</v>
      </c>
      <c r="AV13" s="6"/>
      <c r="AW13" s="7">
        <f t="shared" si="0"/>
        <v>0.63846840940933636</v>
      </c>
      <c r="AX13" s="7">
        <f t="shared" si="1"/>
        <v>0.3615315905906637</v>
      </c>
      <c r="AY13" s="7">
        <f t="shared" si="2"/>
        <v>0.30784726220035485</v>
      </c>
      <c r="AZ13" s="7">
        <f t="shared" si="3"/>
        <v>0.69215273779964503</v>
      </c>
      <c r="BA13" s="7">
        <v>2.104581</v>
      </c>
      <c r="BB13" s="7">
        <v>0.61952790000000002</v>
      </c>
      <c r="BC13" s="7">
        <v>0.38047209999999998</v>
      </c>
      <c r="BD13" s="7">
        <v>0.64724230000000005</v>
      </c>
      <c r="BE13" s="7">
        <v>0</v>
      </c>
      <c r="BF13" s="7">
        <v>1.3891910000000001</v>
      </c>
      <c r="BG13" s="7">
        <v>1.3891910000000001</v>
      </c>
      <c r="BH13" s="7">
        <v>1</v>
      </c>
      <c r="BI13" s="7">
        <v>0.83056479999999999</v>
      </c>
      <c r="BJ13" s="7">
        <v>0.26716010000000001</v>
      </c>
      <c r="BK13" s="7">
        <v>0.73283989999999999</v>
      </c>
      <c r="BL13" s="7">
        <v>0.29117480000000001</v>
      </c>
      <c r="BM13" s="7">
        <v>3.9300000000000004E-15</v>
      </c>
      <c r="BN13" s="7">
        <v>1.331636</v>
      </c>
      <c r="BO13" s="7">
        <v>1.331636</v>
      </c>
      <c r="BP13" s="7">
        <v>1</v>
      </c>
      <c r="BQ13" s="7">
        <v>0.44890160000000001</v>
      </c>
      <c r="BR13" s="7">
        <v>0.32737300000000003</v>
      </c>
      <c r="BS13" s="7">
        <v>0.67262699999999997</v>
      </c>
      <c r="BT13" s="7">
        <v>0.55497370000000001</v>
      </c>
      <c r="BU13" s="7">
        <v>0.69686530000000002</v>
      </c>
      <c r="BV13" s="7">
        <v>0.44306980000000001</v>
      </c>
      <c r="BW13" s="7">
        <v>1.288931</v>
      </c>
      <c r="BX13" s="7">
        <v>1.372147</v>
      </c>
      <c r="BY13" s="7">
        <v>1.064562</v>
      </c>
      <c r="BZ13" s="7">
        <v>0</v>
      </c>
      <c r="CA13" s="7">
        <v>0.64614879999999997</v>
      </c>
      <c r="CB13" s="7">
        <v>0.35385119999999998</v>
      </c>
      <c r="CC13" s="7">
        <v>0.3144208</v>
      </c>
      <c r="CD13" s="7">
        <v>0.68557920000000006</v>
      </c>
      <c r="CE13" s="7">
        <v>1.902739</v>
      </c>
      <c r="CF13" s="7">
        <v>1.6953020000000001</v>
      </c>
      <c r="CG13" s="7">
        <v>1.248802</v>
      </c>
      <c r="CH13" s="7">
        <v>1.3881300000000001</v>
      </c>
      <c r="CI13" s="7">
        <v>1.126814</v>
      </c>
      <c r="CJ13" s="7">
        <v>1.0042260000000001</v>
      </c>
      <c r="CK13" s="7">
        <v>0.89120869999999996</v>
      </c>
      <c r="CL13" s="7">
        <v>0.92005029999999999</v>
      </c>
      <c r="CM13" s="7">
        <v>0.56350199999999995</v>
      </c>
      <c r="CN13" s="7">
        <v>0.60514999999999997</v>
      </c>
      <c r="CO13" s="7">
        <v>0.53786230000000002</v>
      </c>
      <c r="CP13" s="7">
        <v>-2.9727999999999998E-3</v>
      </c>
      <c r="CQ13" s="7">
        <v>-1.3199600000000001E-2</v>
      </c>
      <c r="CR13" s="7">
        <v>6.6830000000000004E-4</v>
      </c>
      <c r="CS13" s="7">
        <v>1.0998319999999999</v>
      </c>
      <c r="CT13" s="7">
        <v>1.1427304612643614</v>
      </c>
      <c r="CU13" s="7">
        <v>1.0521501216592453</v>
      </c>
      <c r="CV13" s="7">
        <v>0.92724070000000003</v>
      </c>
      <c r="CW13" s="7">
        <v>1.0285979999999999</v>
      </c>
      <c r="CX13" s="7">
        <v>1.077202</v>
      </c>
      <c r="CY13" s="7">
        <v>1.0510914904543185</v>
      </c>
      <c r="CZ13" s="6"/>
      <c r="DI13" s="33"/>
      <c r="DJ13" s="11"/>
    </row>
    <row r="14" spans="1:114" customFormat="1" x14ac:dyDescent="0.3">
      <c r="A14" s="5">
        <v>1959</v>
      </c>
      <c r="B14" s="3">
        <v>177130</v>
      </c>
      <c r="C14" s="3">
        <v>521654</v>
      </c>
      <c r="D14" s="12">
        <v>1.5620791812550501</v>
      </c>
      <c r="E14" s="2">
        <v>1.3378489373470801</v>
      </c>
      <c r="F14" s="3">
        <v>317130</v>
      </c>
      <c r="G14" s="3">
        <v>85669</v>
      </c>
      <c r="H14" s="3">
        <v>82594</v>
      </c>
      <c r="I14" s="3">
        <v>35863</v>
      </c>
      <c r="J14" s="3">
        <v>397</v>
      </c>
      <c r="K14" s="3">
        <f t="shared" si="4"/>
        <v>522486.99</v>
      </c>
      <c r="L14" s="3">
        <f t="shared" si="5"/>
        <v>198820</v>
      </c>
      <c r="M14" s="3">
        <f t="shared" si="6"/>
        <v>323666.99</v>
      </c>
      <c r="N14" s="10">
        <v>1.3710520267486572</v>
      </c>
      <c r="O14" s="10">
        <v>1.2748055458068848</v>
      </c>
      <c r="P14" s="10">
        <v>1.4447383880615234</v>
      </c>
      <c r="Q14" s="9">
        <v>74929.73</v>
      </c>
      <c r="R14" s="9">
        <v>123890.27</v>
      </c>
      <c r="S14" s="9">
        <v>42681.27</v>
      </c>
      <c r="T14" s="9">
        <v>280985.71999999997</v>
      </c>
      <c r="U14" s="3">
        <v>275964.78125</v>
      </c>
      <c r="V14" s="3">
        <v>124572.484375</v>
      </c>
      <c r="W14" s="3">
        <v>151392.3125</v>
      </c>
      <c r="X14" s="2">
        <v>0.54643571376800537</v>
      </c>
      <c r="Y14" s="2">
        <v>1.5208214521408081</v>
      </c>
      <c r="Z14" s="2">
        <v>1.5250990390777588</v>
      </c>
      <c r="AA14" s="2">
        <v>1.512284517288208</v>
      </c>
      <c r="AB14" s="2">
        <v>1.6125383377075195</v>
      </c>
      <c r="AC14" s="2">
        <v>1.6388061046600342</v>
      </c>
      <c r="AD14" s="2">
        <v>1.5946551561355591</v>
      </c>
      <c r="AE14" s="2">
        <v>1.1710551977157593</v>
      </c>
      <c r="AF14" s="2">
        <v>1.0798392295837402</v>
      </c>
      <c r="AG14" s="2">
        <v>1.2617909908294678</v>
      </c>
      <c r="AH14" s="2">
        <v>0.63312768936157227</v>
      </c>
      <c r="AI14" s="2">
        <v>0.49201247096061707</v>
      </c>
      <c r="AJ14" s="3">
        <f t="shared" si="7"/>
        <v>404038</v>
      </c>
      <c r="AK14" s="3">
        <v>177672</v>
      </c>
      <c r="AL14" s="3">
        <v>226366</v>
      </c>
      <c r="AM14" s="2">
        <v>1.48682189082714</v>
      </c>
      <c r="AN14" s="2">
        <v>1.3175663338689201</v>
      </c>
      <c r="AO14" s="2">
        <v>1.33123435282764</v>
      </c>
      <c r="AP14" s="2">
        <v>1.22441885391317</v>
      </c>
      <c r="AQ14" s="2">
        <v>1.60023047367912</v>
      </c>
      <c r="AR14" s="2">
        <v>1.4546296901718001</v>
      </c>
      <c r="AS14" s="3">
        <v>117615</v>
      </c>
      <c r="AT14" s="10">
        <v>1.9032572383073401</v>
      </c>
      <c r="AU14" s="10">
        <v>1.4249703989070599</v>
      </c>
      <c r="AV14" s="6"/>
      <c r="AW14" s="7">
        <f t="shared" si="0"/>
        <v>0.63709797552949976</v>
      </c>
      <c r="AX14" s="7">
        <f t="shared" si="1"/>
        <v>0.36290202447050018</v>
      </c>
      <c r="AY14" s="7">
        <f t="shared" si="2"/>
        <v>0.30599559633061968</v>
      </c>
      <c r="AZ14" s="7">
        <f t="shared" si="3"/>
        <v>0.69400440366938032</v>
      </c>
      <c r="BA14" s="7">
        <v>2.2098979999999999</v>
      </c>
      <c r="BB14" s="7">
        <v>0.61817390000000005</v>
      </c>
      <c r="BC14" s="7">
        <v>0.3818261</v>
      </c>
      <c r="BD14" s="7">
        <v>0.64724230000000005</v>
      </c>
      <c r="BE14" s="7">
        <v>0</v>
      </c>
      <c r="BF14" s="7">
        <v>1.4607209999999999</v>
      </c>
      <c r="BG14" s="7">
        <v>1.4607220000000001</v>
      </c>
      <c r="BH14" s="7">
        <v>1</v>
      </c>
      <c r="BI14" s="7">
        <v>0.83056479999999999</v>
      </c>
      <c r="BJ14" s="7">
        <v>0.26603769999999999</v>
      </c>
      <c r="BK14" s="7">
        <v>0.73396229999999996</v>
      </c>
      <c r="BL14" s="7">
        <v>0.29117480000000001</v>
      </c>
      <c r="BM14" s="7">
        <v>3.9300000000000004E-15</v>
      </c>
      <c r="BN14" s="7">
        <v>1.397375</v>
      </c>
      <c r="BO14" s="7">
        <v>1.397375</v>
      </c>
      <c r="BP14" s="7">
        <v>0.99999990000000005</v>
      </c>
      <c r="BQ14" s="7">
        <v>0.44890160000000001</v>
      </c>
      <c r="BR14" s="7">
        <v>0.3207467</v>
      </c>
      <c r="BS14" s="7">
        <v>0.67925329999999995</v>
      </c>
      <c r="BT14" s="7">
        <v>0.55497370000000001</v>
      </c>
      <c r="BU14" s="7">
        <v>0.69686530000000002</v>
      </c>
      <c r="BV14" s="7">
        <v>0.44306980000000001</v>
      </c>
      <c r="BW14" s="7">
        <v>1.330775</v>
      </c>
      <c r="BX14" s="7">
        <v>1.4518470000000001</v>
      </c>
      <c r="BY14" s="7">
        <v>1.0909789999999999</v>
      </c>
      <c r="BZ14" s="7">
        <v>0</v>
      </c>
      <c r="CA14" s="7">
        <v>0.63778100000000004</v>
      </c>
      <c r="CB14" s="7">
        <v>0.36221900000000001</v>
      </c>
      <c r="CC14" s="7">
        <v>0.30692170000000002</v>
      </c>
      <c r="CD14" s="7">
        <v>0.69307830000000004</v>
      </c>
      <c r="CE14" s="7">
        <v>2.1198480000000002</v>
      </c>
      <c r="CF14" s="7">
        <v>1.889108</v>
      </c>
      <c r="CG14" s="7">
        <v>1.3080700000000001</v>
      </c>
      <c r="CH14" s="7">
        <v>1.4583189999999999</v>
      </c>
      <c r="CI14" s="7">
        <v>1.1333009999999999</v>
      </c>
      <c r="CJ14" s="7">
        <v>1.0139309999999999</v>
      </c>
      <c r="CK14" s="7">
        <v>0.89467079999999999</v>
      </c>
      <c r="CL14" s="7">
        <v>0.92482200000000003</v>
      </c>
      <c r="CM14" s="7">
        <v>0.56350199999999995</v>
      </c>
      <c r="CN14" s="7">
        <v>0.60514999999999997</v>
      </c>
      <c r="CO14" s="7">
        <v>0.53786230000000002</v>
      </c>
      <c r="CP14" s="7">
        <v>2.6550299999999999E-2</v>
      </c>
      <c r="CQ14" s="7">
        <v>2.94442E-2</v>
      </c>
      <c r="CR14" s="7">
        <v>2.79218E-2</v>
      </c>
      <c r="CS14" s="7">
        <v>1.129424</v>
      </c>
      <c r="CT14" s="7">
        <v>1.1769023074522671</v>
      </c>
      <c r="CU14" s="7">
        <v>1.0819234638407291</v>
      </c>
      <c r="CV14" s="7">
        <v>0.93278030000000001</v>
      </c>
      <c r="CW14" s="7">
        <v>1.0650599999999999</v>
      </c>
      <c r="CX14" s="7">
        <v>1.108166</v>
      </c>
      <c r="CY14" s="7">
        <v>1.0892086414937645</v>
      </c>
      <c r="CZ14" s="6"/>
      <c r="DI14" s="33"/>
      <c r="DJ14" s="11"/>
    </row>
    <row r="15" spans="1:114" customFormat="1" x14ac:dyDescent="0.3">
      <c r="A15" s="5">
        <v>1960</v>
      </c>
      <c r="B15" s="3">
        <v>180760</v>
      </c>
      <c r="C15" s="3">
        <v>542382</v>
      </c>
      <c r="D15" s="12">
        <v>1.6022982314390899</v>
      </c>
      <c r="E15" s="2">
        <v>1.3560930660763399</v>
      </c>
      <c r="F15" s="3">
        <v>331180</v>
      </c>
      <c r="G15" s="3">
        <v>86477</v>
      </c>
      <c r="H15" s="3">
        <v>84517</v>
      </c>
      <c r="I15" s="3">
        <v>36003</v>
      </c>
      <c r="J15" s="3">
        <v>4204</v>
      </c>
      <c r="K15" s="3">
        <f t="shared" si="4"/>
        <v>543259.99</v>
      </c>
      <c r="L15" s="3">
        <f t="shared" si="5"/>
        <v>203122</v>
      </c>
      <c r="M15" s="3">
        <f t="shared" si="6"/>
        <v>340137.99</v>
      </c>
      <c r="N15" s="10">
        <v>1.3881043195724487</v>
      </c>
      <c r="O15" s="10">
        <v>1.2752461433410645</v>
      </c>
      <c r="P15" s="10">
        <v>1.4736592769622803</v>
      </c>
      <c r="Q15" s="9">
        <v>75846.98</v>
      </c>
      <c r="R15" s="9">
        <v>127275.02</v>
      </c>
      <c r="S15" s="9">
        <v>43395.02</v>
      </c>
      <c r="T15" s="9">
        <v>296742.96999999997</v>
      </c>
      <c r="U15" s="3">
        <v>297053.84375</v>
      </c>
      <c r="V15" s="3">
        <v>130059.296875</v>
      </c>
      <c r="W15" s="3">
        <v>166994.53125</v>
      </c>
      <c r="X15" s="2">
        <v>0.55174487829208374</v>
      </c>
      <c r="Y15" s="2">
        <v>1.5614447593688965</v>
      </c>
      <c r="Z15" s="2">
        <v>1.5572274923324585</v>
      </c>
      <c r="AA15" s="2">
        <v>1.5580041408538818</v>
      </c>
      <c r="AB15" s="2">
        <v>1.6789461374282837</v>
      </c>
      <c r="AC15" s="2">
        <v>1.6794880628585815</v>
      </c>
      <c r="AD15" s="2">
        <v>1.6720356941223145</v>
      </c>
      <c r="AE15" s="2">
        <v>1.1867908239364624</v>
      </c>
      <c r="AF15" s="2">
        <v>1.0785924196243286</v>
      </c>
      <c r="AG15" s="2">
        <v>1.2936792373657227</v>
      </c>
      <c r="AH15" s="2">
        <v>0.64031374454498291</v>
      </c>
      <c r="AI15" s="2">
        <v>0.49672633409500122</v>
      </c>
      <c r="AJ15" s="3">
        <f t="shared" si="7"/>
        <v>423133</v>
      </c>
      <c r="AK15" s="3">
        <v>185480</v>
      </c>
      <c r="AL15" s="3">
        <v>237653</v>
      </c>
      <c r="AM15" s="2">
        <v>1.5317090387612899</v>
      </c>
      <c r="AN15" s="2">
        <v>1.33939846469655</v>
      </c>
      <c r="AO15" s="2">
        <v>1.38593090238516</v>
      </c>
      <c r="AP15" s="2">
        <v>1.2277813784440399</v>
      </c>
      <c r="AQ15" s="2">
        <v>1.6407971581421501</v>
      </c>
      <c r="AR15" s="2">
        <v>1.48940289363761</v>
      </c>
      <c r="AS15" s="3">
        <v>119248</v>
      </c>
      <c r="AT15" s="10">
        <v>1.92302338530066</v>
      </c>
      <c r="AU15" s="10">
        <v>1.4299049128464201</v>
      </c>
      <c r="AV15" s="6"/>
      <c r="AW15" s="7">
        <f t="shared" si="0"/>
        <v>0.63607604703040876</v>
      </c>
      <c r="AX15" s="7">
        <f t="shared" si="1"/>
        <v>0.36392395296959124</v>
      </c>
      <c r="AY15" s="7">
        <f t="shared" si="2"/>
        <v>0.30016419822187262</v>
      </c>
      <c r="AZ15" s="7">
        <f t="shared" si="3"/>
        <v>0.69983580177812732</v>
      </c>
      <c r="BA15" s="7">
        <v>2.267671</v>
      </c>
      <c r="BB15" s="7">
        <v>0.61356679999999997</v>
      </c>
      <c r="BC15" s="7">
        <v>0.38643319999999998</v>
      </c>
      <c r="BD15" s="7">
        <v>0.64724230000000005</v>
      </c>
      <c r="BE15" s="7">
        <v>0</v>
      </c>
      <c r="BF15" s="7">
        <v>1.5177020000000001</v>
      </c>
      <c r="BG15" s="7">
        <v>1.5177020000000001</v>
      </c>
      <c r="BH15" s="7">
        <v>1</v>
      </c>
      <c r="BI15" s="7">
        <v>0.83056479999999999</v>
      </c>
      <c r="BJ15" s="7">
        <v>0.2622524</v>
      </c>
      <c r="BK15" s="7">
        <v>0.73774759999999995</v>
      </c>
      <c r="BL15" s="7">
        <v>0.29117480000000001</v>
      </c>
      <c r="BM15" s="7">
        <v>3.9300000000000004E-15</v>
      </c>
      <c r="BN15" s="7">
        <v>1.4419729999999999</v>
      </c>
      <c r="BO15" s="7">
        <v>1.4419729999999999</v>
      </c>
      <c r="BP15" s="7">
        <v>1</v>
      </c>
      <c r="BQ15" s="7">
        <v>0.44890160000000001</v>
      </c>
      <c r="BR15" s="7">
        <v>0.31537359999999998</v>
      </c>
      <c r="BS15" s="7">
        <v>0.68462650000000003</v>
      </c>
      <c r="BT15" s="7">
        <v>0.55497370000000001</v>
      </c>
      <c r="BU15" s="7">
        <v>0.69686530000000002</v>
      </c>
      <c r="BV15" s="7">
        <v>0.44306980000000001</v>
      </c>
      <c r="BW15" s="7">
        <v>1.3697319999999999</v>
      </c>
      <c r="BX15" s="7">
        <v>1.5022869999999999</v>
      </c>
      <c r="BY15" s="7">
        <v>1.0967739999999999</v>
      </c>
      <c r="BZ15" s="7">
        <v>0</v>
      </c>
      <c r="CA15" s="7">
        <v>0.63658669999999995</v>
      </c>
      <c r="CB15" s="7">
        <v>0.36341329999999999</v>
      </c>
      <c r="CC15" s="7">
        <v>0.30308089999999999</v>
      </c>
      <c r="CD15" s="7">
        <v>0.69691910000000001</v>
      </c>
      <c r="CE15" s="7">
        <v>2.1451060000000002</v>
      </c>
      <c r="CF15" s="7">
        <v>1.883014</v>
      </c>
      <c r="CG15" s="7">
        <v>1.343207</v>
      </c>
      <c r="CH15" s="7">
        <v>1.50972</v>
      </c>
      <c r="CI15" s="7">
        <v>1.1555880000000001</v>
      </c>
      <c r="CJ15" s="7">
        <v>1.0305679999999999</v>
      </c>
      <c r="CK15" s="7">
        <v>0.89181239999999995</v>
      </c>
      <c r="CL15" s="7">
        <v>0.93684120000000004</v>
      </c>
      <c r="CM15" s="7">
        <v>0.56350199999999995</v>
      </c>
      <c r="CN15" s="7">
        <v>0.60514999999999997</v>
      </c>
      <c r="CO15" s="7">
        <v>0.53786230000000002</v>
      </c>
      <c r="CP15" s="7">
        <v>1.2237999999999999E-3</v>
      </c>
      <c r="CQ15" s="7">
        <v>1.0795300000000001E-2</v>
      </c>
      <c r="CR15" s="7">
        <v>-4.9630000000000004E-3</v>
      </c>
      <c r="CS15" s="7">
        <v>1.1308069999999999</v>
      </c>
      <c r="CT15" s="7">
        <v>1.1896560684720932</v>
      </c>
      <c r="CU15" s="7">
        <v>1.076551374420831</v>
      </c>
      <c r="CV15" s="7">
        <v>0.93640400000000001</v>
      </c>
      <c r="CW15" s="7">
        <v>1.074451</v>
      </c>
      <c r="CX15" s="7">
        <v>1.1074250000000001</v>
      </c>
      <c r="CY15" s="7">
        <v>1.1005693540559423</v>
      </c>
      <c r="CZ15" s="6"/>
      <c r="DI15" s="33"/>
      <c r="DJ15" s="11"/>
    </row>
    <row r="16" spans="1:114" customFormat="1" x14ac:dyDescent="0.3">
      <c r="A16" s="5">
        <v>1961</v>
      </c>
      <c r="B16" s="3">
        <v>183742</v>
      </c>
      <c r="C16" s="3">
        <v>562209</v>
      </c>
      <c r="D16" s="12">
        <v>1.64332525361343</v>
      </c>
      <c r="E16" s="2">
        <v>1.3705719674029</v>
      </c>
      <c r="F16" s="3">
        <v>341475</v>
      </c>
      <c r="G16" s="3">
        <v>86584</v>
      </c>
      <c r="H16" s="3">
        <v>89340</v>
      </c>
      <c r="I16" s="3">
        <v>39897</v>
      </c>
      <c r="J16" s="3">
        <v>4913</v>
      </c>
      <c r="K16" s="3">
        <f t="shared" si="4"/>
        <v>563304.01</v>
      </c>
      <c r="L16" s="3">
        <f t="shared" si="5"/>
        <v>205797</v>
      </c>
      <c r="M16" s="3">
        <f t="shared" si="6"/>
        <v>357507.00999999995</v>
      </c>
      <c r="N16" s="10">
        <v>1.4050625562667847</v>
      </c>
      <c r="O16" s="10">
        <v>1.280590295791626</v>
      </c>
      <c r="P16" s="10">
        <v>1.4988176822662354</v>
      </c>
      <c r="Q16" s="9">
        <v>77700.960000000006</v>
      </c>
      <c r="R16" s="9">
        <v>128096.04</v>
      </c>
      <c r="S16" s="9">
        <v>45805.04</v>
      </c>
      <c r="T16" s="9">
        <v>311701.96999999997</v>
      </c>
      <c r="U16" s="3">
        <v>301880.84375</v>
      </c>
      <c r="V16" s="3">
        <v>129954.7421875</v>
      </c>
      <c r="W16" s="3">
        <v>171926.109375</v>
      </c>
      <c r="X16" s="2">
        <v>0.55566984415054321</v>
      </c>
      <c r="Y16" s="2">
        <v>1.6002019643783569</v>
      </c>
      <c r="Z16" s="2">
        <v>1.5725324153900146</v>
      </c>
      <c r="AA16" s="2">
        <v>1.6108839511871338</v>
      </c>
      <c r="AB16" s="2">
        <v>1.7455264329910278</v>
      </c>
      <c r="AC16" s="2">
        <v>1.7218136787414551</v>
      </c>
      <c r="AD16" s="2">
        <v>1.7489039897918701</v>
      </c>
      <c r="AE16" s="2">
        <v>1.1874819993972778</v>
      </c>
      <c r="AF16" s="2">
        <v>1.0630162954330444</v>
      </c>
      <c r="AG16" s="2">
        <v>1.3095459938049316</v>
      </c>
      <c r="AH16" s="2">
        <v>0.64258366823196411</v>
      </c>
      <c r="AI16" s="2">
        <v>0.50342851877212524</v>
      </c>
      <c r="AJ16" s="3">
        <f t="shared" si="7"/>
        <v>438703</v>
      </c>
      <c r="AK16" s="3">
        <v>187676</v>
      </c>
      <c r="AL16" s="3">
        <v>251027</v>
      </c>
      <c r="AM16" s="2">
        <v>1.5667297836184</v>
      </c>
      <c r="AN16" s="2">
        <v>1.3576369934442201</v>
      </c>
      <c r="AO16" s="2">
        <v>1.3954520312313801</v>
      </c>
      <c r="AP16" s="2">
        <v>1.23384146108631</v>
      </c>
      <c r="AQ16" s="2">
        <v>1.7008740900938999</v>
      </c>
      <c r="AR16" s="2">
        <v>1.5176515084762801</v>
      </c>
      <c r="AS16" s="3">
        <v>123507</v>
      </c>
      <c r="AT16" s="10">
        <v>1.9910913140311799</v>
      </c>
      <c r="AU16" s="10">
        <v>1.43034570095747</v>
      </c>
      <c r="AV16" s="6"/>
      <c r="AW16" s="7">
        <f t="shared" si="0"/>
        <v>0.62912700597541826</v>
      </c>
      <c r="AX16" s="7">
        <f t="shared" si="1"/>
        <v>0.37087299402458179</v>
      </c>
      <c r="AY16" s="7">
        <f t="shared" si="2"/>
        <v>0.29126107232727133</v>
      </c>
      <c r="AZ16" s="7">
        <f t="shared" si="3"/>
        <v>0.70873892767272872</v>
      </c>
      <c r="BA16" s="7">
        <v>2.3152270000000001</v>
      </c>
      <c r="BB16" s="7">
        <v>0.61054030000000004</v>
      </c>
      <c r="BC16" s="7">
        <v>0.38945970000000002</v>
      </c>
      <c r="BD16" s="7">
        <v>0.64724230000000005</v>
      </c>
      <c r="BE16" s="7">
        <v>0</v>
      </c>
      <c r="BF16" s="7">
        <v>1.560783</v>
      </c>
      <c r="BG16" s="7">
        <v>1.560783</v>
      </c>
      <c r="BH16" s="7">
        <v>1</v>
      </c>
      <c r="BI16" s="7">
        <v>0.83056479999999999</v>
      </c>
      <c r="BJ16" s="7">
        <v>0.25979380000000002</v>
      </c>
      <c r="BK16" s="7">
        <v>0.74020620000000004</v>
      </c>
      <c r="BL16" s="7">
        <v>0.29117480000000001</v>
      </c>
      <c r="BM16" s="7">
        <v>3.9300000000000004E-15</v>
      </c>
      <c r="BN16" s="7">
        <v>1.4762850000000001</v>
      </c>
      <c r="BO16" s="7">
        <v>1.4762850000000001</v>
      </c>
      <c r="BP16" s="7">
        <v>1</v>
      </c>
      <c r="BQ16" s="7">
        <v>0.44890160000000001</v>
      </c>
      <c r="BR16" s="7">
        <v>0.31192160000000002</v>
      </c>
      <c r="BS16" s="7">
        <v>0.68807839999999998</v>
      </c>
      <c r="BT16" s="7">
        <v>0.55497370000000001</v>
      </c>
      <c r="BU16" s="7">
        <v>0.69686530000000002</v>
      </c>
      <c r="BV16" s="7">
        <v>0.44306980000000001</v>
      </c>
      <c r="BW16" s="7">
        <v>1.400101</v>
      </c>
      <c r="BX16" s="7">
        <v>1.540654</v>
      </c>
      <c r="BY16" s="7">
        <v>1.1003879999999999</v>
      </c>
      <c r="BZ16" s="7">
        <v>0</v>
      </c>
      <c r="CA16" s="7">
        <v>0.6326041</v>
      </c>
      <c r="CB16" s="7">
        <v>0.367396</v>
      </c>
      <c r="CC16" s="7">
        <v>0.29571340000000002</v>
      </c>
      <c r="CD16" s="7">
        <v>0.70428659999999998</v>
      </c>
      <c r="CE16" s="7">
        <v>2.1882830000000002</v>
      </c>
      <c r="CF16" s="7">
        <v>1.954137</v>
      </c>
      <c r="CG16" s="7">
        <v>1.347005</v>
      </c>
      <c r="CH16" s="7">
        <v>1.560109</v>
      </c>
      <c r="CI16" s="7">
        <v>1.170412</v>
      </c>
      <c r="CJ16" s="7">
        <v>1.0478769999999999</v>
      </c>
      <c r="CK16" s="7">
        <v>0.89530639999999995</v>
      </c>
      <c r="CL16" s="7">
        <v>0.94928310000000005</v>
      </c>
      <c r="CM16" s="7">
        <v>0.56350199999999995</v>
      </c>
      <c r="CN16" s="7">
        <v>0.60514999999999997</v>
      </c>
      <c r="CO16" s="7">
        <v>0.53786230000000002</v>
      </c>
      <c r="CP16" s="7">
        <v>7.2148999999999998E-3</v>
      </c>
      <c r="CQ16" s="7">
        <v>7.1132000000000001E-3</v>
      </c>
      <c r="CR16" s="7">
        <v>6.8887999999999996E-3</v>
      </c>
      <c r="CS16" s="7">
        <v>1.138995</v>
      </c>
      <c r="CT16" s="7">
        <v>1.1981175095513132</v>
      </c>
      <c r="CU16" s="7">
        <v>1.0839698045541242</v>
      </c>
      <c r="CV16" s="7">
        <v>0.94448520000000002</v>
      </c>
      <c r="CW16" s="7">
        <v>1.091367</v>
      </c>
      <c r="CX16" s="7">
        <v>1.115148</v>
      </c>
      <c r="CY16" s="7">
        <v>1.1212255242581564</v>
      </c>
      <c r="CZ16" s="6"/>
      <c r="DI16" s="33"/>
      <c r="DJ16" s="11"/>
    </row>
    <row r="17" spans="1:114" customFormat="1" x14ac:dyDescent="0.3">
      <c r="A17" s="5">
        <v>1962</v>
      </c>
      <c r="B17" s="3">
        <v>186590</v>
      </c>
      <c r="C17" s="3">
        <v>603922</v>
      </c>
      <c r="D17" s="12">
        <v>1.7440524284047001</v>
      </c>
      <c r="E17" s="2">
        <v>1.3872313500757001</v>
      </c>
      <c r="F17" s="3">
        <v>362557</v>
      </c>
      <c r="G17" s="3">
        <v>96977</v>
      </c>
      <c r="H17" s="3">
        <v>97690</v>
      </c>
      <c r="I17" s="3">
        <v>42597</v>
      </c>
      <c r="J17" s="3">
        <v>4101</v>
      </c>
      <c r="K17" s="3">
        <f t="shared" si="4"/>
        <v>605146</v>
      </c>
      <c r="L17" s="3">
        <f t="shared" si="5"/>
        <v>222592.01</v>
      </c>
      <c r="M17" s="3">
        <f t="shared" si="6"/>
        <v>382553.99000000005</v>
      </c>
      <c r="N17" s="10">
        <v>1.420696496963501</v>
      </c>
      <c r="O17" s="10">
        <v>1.2846792936325073</v>
      </c>
      <c r="P17" s="10">
        <v>1.5225958824157715</v>
      </c>
      <c r="Q17" s="9">
        <v>84657.1</v>
      </c>
      <c r="R17" s="9">
        <v>137934.91</v>
      </c>
      <c r="S17" s="9">
        <v>48821.9</v>
      </c>
      <c r="T17" s="9">
        <v>333732.09000000003</v>
      </c>
      <c r="U17" s="3">
        <v>314614.1875</v>
      </c>
      <c r="V17" s="3">
        <v>138979.09375</v>
      </c>
      <c r="W17" s="3">
        <v>175635.109375</v>
      </c>
      <c r="X17" s="2">
        <v>0.54147577285766602</v>
      </c>
      <c r="Y17" s="2">
        <v>1.7018723487854004</v>
      </c>
      <c r="Z17" s="2">
        <v>1.697056770324707</v>
      </c>
      <c r="AA17" s="2">
        <v>1.6984442472457886</v>
      </c>
      <c r="AB17" s="2">
        <v>1.8218457698822021</v>
      </c>
      <c r="AC17" s="2">
        <v>1.7723236083984375</v>
      </c>
      <c r="AD17" s="2">
        <v>1.8361247777938843</v>
      </c>
      <c r="AE17" s="2">
        <v>1.2212929725646973</v>
      </c>
      <c r="AF17" s="2">
        <v>1.1039234399795532</v>
      </c>
      <c r="AG17" s="2">
        <v>1.33678138256073</v>
      </c>
      <c r="AH17" s="2">
        <v>0.63395369052886963</v>
      </c>
      <c r="AI17" s="2">
        <v>0.48658019304275513</v>
      </c>
      <c r="AJ17" s="3">
        <f t="shared" si="7"/>
        <v>470449</v>
      </c>
      <c r="AK17" s="3">
        <v>199910</v>
      </c>
      <c r="AL17" s="3">
        <v>270539</v>
      </c>
      <c r="AM17" s="2">
        <v>1.6566457238447401</v>
      </c>
      <c r="AN17" s="2">
        <v>1.3768640300886299</v>
      </c>
      <c r="AO17" s="2">
        <v>1.4552616911310501</v>
      </c>
      <c r="AP17" s="2">
        <v>1.2602565277384901</v>
      </c>
      <c r="AQ17" s="2">
        <v>1.7967030139697699</v>
      </c>
      <c r="AR17" s="2">
        <v>1.54837935295145</v>
      </c>
      <c r="AS17" s="3">
        <v>133473</v>
      </c>
      <c r="AT17" s="10">
        <v>2.1408685968819601</v>
      </c>
      <c r="AU17" s="10">
        <v>1.4376197490418201</v>
      </c>
      <c r="AV17" s="6"/>
      <c r="AW17" s="7">
        <f t="shared" si="0"/>
        <v>0.63423534788243852</v>
      </c>
      <c r="AX17" s="7">
        <f t="shared" si="1"/>
        <v>0.3657646521175616</v>
      </c>
      <c r="AY17" s="7">
        <f t="shared" si="2"/>
        <v>0.29244129862805751</v>
      </c>
      <c r="AZ17" s="7">
        <f t="shared" si="3"/>
        <v>0.70755870137194254</v>
      </c>
      <c r="BA17" s="7">
        <v>2.4482010000000001</v>
      </c>
      <c r="BB17" s="7">
        <v>0.60755150000000002</v>
      </c>
      <c r="BC17" s="7">
        <v>0.39244849999999998</v>
      </c>
      <c r="BD17" s="7">
        <v>0.64724230000000005</v>
      </c>
      <c r="BE17" s="7">
        <v>0</v>
      </c>
      <c r="BF17" s="7">
        <v>1.6624950000000001</v>
      </c>
      <c r="BG17" s="7">
        <v>1.6624950000000001</v>
      </c>
      <c r="BH17" s="7">
        <v>1</v>
      </c>
      <c r="BI17" s="7">
        <v>0.83056479999999999</v>
      </c>
      <c r="BJ17" s="7">
        <v>0.25738729999999999</v>
      </c>
      <c r="BK17" s="7">
        <v>0.74261270000000001</v>
      </c>
      <c r="BL17" s="7">
        <v>0.29117480000000001</v>
      </c>
      <c r="BM17" s="7">
        <v>3.9300000000000004E-15</v>
      </c>
      <c r="BN17" s="7">
        <v>1.5655870000000001</v>
      </c>
      <c r="BO17" s="7">
        <v>1.565588</v>
      </c>
      <c r="BP17" s="7">
        <v>1</v>
      </c>
      <c r="BQ17" s="7">
        <v>0.44890160000000001</v>
      </c>
      <c r="BR17" s="7">
        <v>0.30239899999999997</v>
      </c>
      <c r="BS17" s="7">
        <v>0.69760100000000003</v>
      </c>
      <c r="BT17" s="7">
        <v>0.55497370000000001</v>
      </c>
      <c r="BU17" s="7">
        <v>0.69686530000000002</v>
      </c>
      <c r="BV17" s="7">
        <v>0.44306980000000001</v>
      </c>
      <c r="BW17" s="7">
        <v>1.4529240000000001</v>
      </c>
      <c r="BX17" s="7">
        <v>1.6510940000000001</v>
      </c>
      <c r="BY17" s="7">
        <v>1.1363939999999999</v>
      </c>
      <c r="BZ17" s="7">
        <v>0</v>
      </c>
      <c r="CA17" s="7">
        <v>0.63168170000000001</v>
      </c>
      <c r="CB17" s="7">
        <v>0.36831829999999999</v>
      </c>
      <c r="CC17" s="7">
        <v>0.29185139999999998</v>
      </c>
      <c r="CD17" s="7">
        <v>0.70814860000000002</v>
      </c>
      <c r="CE17" s="7">
        <v>2.376452</v>
      </c>
      <c r="CF17" s="7">
        <v>2.0502370000000001</v>
      </c>
      <c r="CG17" s="7">
        <v>1.4476830000000001</v>
      </c>
      <c r="CH17" s="7">
        <v>1.6463760000000001</v>
      </c>
      <c r="CI17" s="7">
        <v>1.185195</v>
      </c>
      <c r="CJ17" s="7">
        <v>1.059177</v>
      </c>
      <c r="CK17" s="7">
        <v>0.89367319999999995</v>
      </c>
      <c r="CL17" s="7">
        <v>0.95796689999999995</v>
      </c>
      <c r="CM17" s="7">
        <v>0.56350199999999995</v>
      </c>
      <c r="CN17" s="7">
        <v>0.60514999999999997</v>
      </c>
      <c r="CO17" s="7">
        <v>0.53786230000000002</v>
      </c>
      <c r="CP17" s="7">
        <v>2.7099399999999999E-2</v>
      </c>
      <c r="CQ17" s="7">
        <v>4.2309600000000003E-2</v>
      </c>
      <c r="CR17" s="7">
        <v>2.0086900000000001E-2</v>
      </c>
      <c r="CS17" s="7">
        <v>1.170283</v>
      </c>
      <c r="CT17" s="7">
        <v>1.2499043050525778</v>
      </c>
      <c r="CU17" s="7">
        <v>1.1059431522454937</v>
      </c>
      <c r="CV17" s="7">
        <v>0.94713099999999995</v>
      </c>
      <c r="CW17" s="7">
        <v>1.1321570000000001</v>
      </c>
      <c r="CX17" s="7">
        <v>1.14459</v>
      </c>
      <c r="CY17" s="7">
        <v>1.1577639361922438</v>
      </c>
      <c r="CZ17" s="6"/>
      <c r="DI17" s="33"/>
      <c r="DJ17" s="11"/>
    </row>
    <row r="18" spans="1:114" customFormat="1" x14ac:dyDescent="0.3">
      <c r="A18" s="5">
        <v>1963</v>
      </c>
      <c r="B18" s="3">
        <v>189300</v>
      </c>
      <c r="C18" s="3">
        <v>637450</v>
      </c>
      <c r="D18" s="12">
        <v>1.8200915701589</v>
      </c>
      <c r="E18" s="2">
        <v>1.40307364731345</v>
      </c>
      <c r="F18" s="3">
        <v>382035</v>
      </c>
      <c r="G18" s="3">
        <v>103284</v>
      </c>
      <c r="H18" s="3">
        <v>102755</v>
      </c>
      <c r="I18" s="3">
        <v>44438</v>
      </c>
      <c r="J18" s="3">
        <v>4939</v>
      </c>
      <c r="K18" s="3">
        <f t="shared" si="4"/>
        <v>638613</v>
      </c>
      <c r="L18" s="3">
        <f t="shared" si="5"/>
        <v>234027</v>
      </c>
      <c r="M18" s="3">
        <f t="shared" si="6"/>
        <v>404586</v>
      </c>
      <c r="N18" s="10">
        <v>1.4325720071792603</v>
      </c>
      <c r="O18" s="10">
        <v>1.2826747894287109</v>
      </c>
      <c r="P18" s="10">
        <v>1.5443727970123291</v>
      </c>
      <c r="Q18" s="9">
        <v>89937.38</v>
      </c>
      <c r="R18" s="9">
        <v>144089.62</v>
      </c>
      <c r="S18" s="9">
        <v>52163.62</v>
      </c>
      <c r="T18" s="9">
        <v>352422.38</v>
      </c>
      <c r="U18" s="3">
        <v>337196.3125</v>
      </c>
      <c r="V18" s="3">
        <v>147642.203125</v>
      </c>
      <c r="W18" s="3">
        <v>189554.125</v>
      </c>
      <c r="X18" s="2">
        <v>0.53733557462692261</v>
      </c>
      <c r="Y18" s="2">
        <v>1.779876708984375</v>
      </c>
      <c r="Z18" s="2">
        <v>1.7844487428665161</v>
      </c>
      <c r="AA18" s="2">
        <v>1.7705991268157959</v>
      </c>
      <c r="AB18" s="2">
        <v>1.9064685106277466</v>
      </c>
      <c r="AC18" s="2">
        <v>1.8388214111328125</v>
      </c>
      <c r="AD18" s="2">
        <v>1.9283158779144287</v>
      </c>
      <c r="AE18" s="2">
        <v>1.23627769947052</v>
      </c>
      <c r="AF18" s="2">
        <v>1.1186676025390625</v>
      </c>
      <c r="AG18" s="2">
        <v>1.3520439863204956</v>
      </c>
      <c r="AH18" s="2">
        <v>0.63381242752075195</v>
      </c>
      <c r="AI18" s="2">
        <v>0.4799782931804657</v>
      </c>
      <c r="AJ18" s="3">
        <f t="shared" si="7"/>
        <v>495349</v>
      </c>
      <c r="AK18" s="3">
        <v>209407</v>
      </c>
      <c r="AL18" s="3">
        <v>285942</v>
      </c>
      <c r="AM18" s="2">
        <v>1.7197204755797399</v>
      </c>
      <c r="AN18" s="2">
        <v>1.39656636060391</v>
      </c>
      <c r="AO18" s="2">
        <v>1.51966074600245</v>
      </c>
      <c r="AP18" s="2">
        <v>1.2641833992084299</v>
      </c>
      <c r="AQ18" s="2">
        <v>1.8615279171225501</v>
      </c>
      <c r="AR18" s="2">
        <v>1.5795456588996899</v>
      </c>
      <c r="AS18" s="3">
        <v>142101</v>
      </c>
      <c r="AT18" s="10">
        <v>2.2761692650334</v>
      </c>
      <c r="AU18" s="10">
        <v>1.43957136508018</v>
      </c>
      <c r="AV18" s="6"/>
      <c r="AW18" s="7">
        <f t="shared" si="0"/>
        <v>0.63291166142391686</v>
      </c>
      <c r="AX18" s="7">
        <f t="shared" si="1"/>
        <v>0.36708833857608325</v>
      </c>
      <c r="AY18" s="7">
        <f t="shared" si="2"/>
        <v>0.29020370101830367</v>
      </c>
      <c r="AZ18" s="7">
        <f t="shared" si="3"/>
        <v>0.70979629898169627</v>
      </c>
      <c r="BA18" s="7">
        <v>2.537757</v>
      </c>
      <c r="BB18" s="7">
        <v>0.60378690000000002</v>
      </c>
      <c r="BC18" s="7">
        <v>0.39621309999999998</v>
      </c>
      <c r="BD18" s="7">
        <v>0.64724230000000005</v>
      </c>
      <c r="BE18" s="7">
        <v>0</v>
      </c>
      <c r="BF18" s="7">
        <v>1.7402200000000001</v>
      </c>
      <c r="BG18" s="7">
        <v>1.7402200000000001</v>
      </c>
      <c r="BH18" s="7">
        <v>1</v>
      </c>
      <c r="BI18" s="7">
        <v>0.83056479999999999</v>
      </c>
      <c r="BJ18" s="7">
        <v>0.254386</v>
      </c>
      <c r="BK18" s="7">
        <v>0.74561409999999995</v>
      </c>
      <c r="BL18" s="7">
        <v>0.29117480000000001</v>
      </c>
      <c r="BM18" s="7">
        <v>3.9300000000000004E-15</v>
      </c>
      <c r="BN18" s="7">
        <v>1.6297710000000001</v>
      </c>
      <c r="BO18" s="7">
        <v>1.629772</v>
      </c>
      <c r="BP18" s="7">
        <v>1</v>
      </c>
      <c r="BQ18" s="7">
        <v>0.44890160000000001</v>
      </c>
      <c r="BR18" s="7">
        <v>0.29551080000000002</v>
      </c>
      <c r="BS18" s="7">
        <v>0.70448920000000004</v>
      </c>
      <c r="BT18" s="7">
        <v>0.55497370000000001</v>
      </c>
      <c r="BU18" s="7">
        <v>0.69686530000000002</v>
      </c>
      <c r="BV18" s="7">
        <v>0.44306980000000001</v>
      </c>
      <c r="BW18" s="7">
        <v>1.495476</v>
      </c>
      <c r="BX18" s="7">
        <v>1.7287680000000001</v>
      </c>
      <c r="BY18" s="7">
        <v>1.1559980000000001</v>
      </c>
      <c r="BZ18" s="7">
        <v>0</v>
      </c>
      <c r="CA18" s="7">
        <v>0.63357110000000005</v>
      </c>
      <c r="CB18" s="7">
        <v>0.3664289</v>
      </c>
      <c r="CC18" s="7">
        <v>0.29132239999999998</v>
      </c>
      <c r="CD18" s="7">
        <v>0.70867760000000002</v>
      </c>
      <c r="CE18" s="7">
        <v>2.5287350000000002</v>
      </c>
      <c r="CF18" s="7">
        <v>2.1597810000000002</v>
      </c>
      <c r="CG18" s="7">
        <v>1.5131460000000001</v>
      </c>
      <c r="CH18" s="7">
        <v>1.7123710000000001</v>
      </c>
      <c r="CI18" s="7">
        <v>1.2040249999999999</v>
      </c>
      <c r="CJ18" s="7">
        <v>1.0727949999999999</v>
      </c>
      <c r="CK18" s="7">
        <v>0.89100690000000005</v>
      </c>
      <c r="CL18" s="7">
        <v>0.9703484</v>
      </c>
      <c r="CM18" s="7">
        <v>0.56350199999999995</v>
      </c>
      <c r="CN18" s="7">
        <v>0.60514999999999997</v>
      </c>
      <c r="CO18" s="7">
        <v>0.53786230000000002</v>
      </c>
      <c r="CP18" s="7">
        <v>1.8125100000000002E-2</v>
      </c>
      <c r="CQ18" s="7">
        <v>2.666E-2</v>
      </c>
      <c r="CR18" s="7">
        <v>1.3824100000000001E-2</v>
      </c>
      <c r="CS18" s="7">
        <v>1.1916880000000001</v>
      </c>
      <c r="CT18" s="7">
        <v>1.2836550842511147</v>
      </c>
      <c r="CU18" s="7">
        <v>1.1213102622276263</v>
      </c>
      <c r="CV18" s="7">
        <v>0.94977509999999998</v>
      </c>
      <c r="CW18" s="7">
        <v>1.1602790000000001</v>
      </c>
      <c r="CX18" s="7">
        <v>1.1644810000000001</v>
      </c>
      <c r="CY18" s="7">
        <v>1.1879760592956032</v>
      </c>
      <c r="CZ18" s="6"/>
      <c r="DI18" s="33"/>
      <c r="DJ18" s="11"/>
    </row>
    <row r="19" spans="1:114" customFormat="1" x14ac:dyDescent="0.3">
      <c r="A19" s="5">
        <v>1964</v>
      </c>
      <c r="B19" s="3">
        <v>191927</v>
      </c>
      <c r="C19" s="3">
        <v>684460</v>
      </c>
      <c r="D19" s="12">
        <v>1.9249483795672899</v>
      </c>
      <c r="E19" s="2">
        <v>1.4244806877201599</v>
      </c>
      <c r="F19" s="3">
        <v>410632</v>
      </c>
      <c r="G19" s="3">
        <v>112150</v>
      </c>
      <c r="H19" s="3">
        <v>108372</v>
      </c>
      <c r="I19" s="3">
        <v>46392</v>
      </c>
      <c r="J19" s="3">
        <v>6914</v>
      </c>
      <c r="K19" s="3">
        <f t="shared" si="4"/>
        <v>685847.02</v>
      </c>
      <c r="L19" s="3">
        <f t="shared" si="5"/>
        <v>249174.01</v>
      </c>
      <c r="M19" s="3">
        <f t="shared" si="6"/>
        <v>436673.01</v>
      </c>
      <c r="N19" s="10">
        <v>1.4539347887039185</v>
      </c>
      <c r="O19" s="10">
        <v>1.287683367729187</v>
      </c>
      <c r="P19" s="10">
        <v>1.5774999856948853</v>
      </c>
      <c r="Q19" s="9">
        <v>97439.49</v>
      </c>
      <c r="R19" s="9">
        <v>151734.51999999999</v>
      </c>
      <c r="S19" s="9">
        <v>56281.51</v>
      </c>
      <c r="T19" s="9">
        <v>380391.5</v>
      </c>
      <c r="U19" s="3">
        <v>365229.28125</v>
      </c>
      <c r="V19" s="3">
        <v>157930.578125</v>
      </c>
      <c r="W19" s="3">
        <v>207298.703125</v>
      </c>
      <c r="X19" s="2">
        <v>0.54406833648681641</v>
      </c>
      <c r="Y19" s="2">
        <v>1.8829330205917358</v>
      </c>
      <c r="Z19" s="2">
        <v>1.8940409421920776</v>
      </c>
      <c r="AA19" s="2">
        <v>1.8694639205932617</v>
      </c>
      <c r="AB19" s="2">
        <v>1.9979027509689331</v>
      </c>
      <c r="AC19" s="2">
        <v>1.91441810131073</v>
      </c>
      <c r="AD19" s="2">
        <v>2.0263125896453857</v>
      </c>
      <c r="AE19" s="2">
        <v>1.2631669044494629</v>
      </c>
      <c r="AF19" s="2">
        <v>1.1389110088348389</v>
      </c>
      <c r="AG19" s="2">
        <v>1.3852690458297729</v>
      </c>
      <c r="AH19" s="2">
        <v>0.63879084587097168</v>
      </c>
      <c r="AI19" s="2">
        <v>0.48828881978988647</v>
      </c>
      <c r="AJ19" s="3">
        <f t="shared" si="7"/>
        <v>530739</v>
      </c>
      <c r="AK19" s="3">
        <v>224448</v>
      </c>
      <c r="AL19" s="3">
        <v>306291</v>
      </c>
      <c r="AM19" s="2">
        <v>1.8109896939689101</v>
      </c>
      <c r="AN19" s="2">
        <v>1.42093159620915</v>
      </c>
      <c r="AO19" s="2">
        <v>1.6231350631079799</v>
      </c>
      <c r="AP19" s="2">
        <v>1.2686055696283001</v>
      </c>
      <c r="AQ19" s="2">
        <v>1.94751068890254</v>
      </c>
      <c r="AR19" s="2">
        <v>1.61725377392318</v>
      </c>
      <c r="AS19" s="3">
        <v>153721</v>
      </c>
      <c r="AT19" s="10">
        <v>2.4434855233852999</v>
      </c>
      <c r="AU19" s="10">
        <v>1.45065470413917</v>
      </c>
      <c r="AV19" s="6"/>
      <c r="AW19" s="7">
        <f t="shared" si="0"/>
        <v>0.63387234014871097</v>
      </c>
      <c r="AX19" s="7">
        <f t="shared" si="1"/>
        <v>0.36612765985128903</v>
      </c>
      <c r="AY19" s="7">
        <f t="shared" si="2"/>
        <v>0.2851477174523433</v>
      </c>
      <c r="AZ19" s="7">
        <f t="shared" si="3"/>
        <v>0.71485228254765665</v>
      </c>
      <c r="BA19" s="7">
        <v>2.681441</v>
      </c>
      <c r="BB19" s="7">
        <v>0.59963460000000002</v>
      </c>
      <c r="BC19" s="7">
        <v>0.40036539999999998</v>
      </c>
      <c r="BD19" s="7">
        <v>0.64724230000000005</v>
      </c>
      <c r="BE19" s="7">
        <v>0</v>
      </c>
      <c r="BF19" s="7">
        <v>1.844244</v>
      </c>
      <c r="BG19" s="7">
        <v>1.844244</v>
      </c>
      <c r="BH19" s="7">
        <v>1</v>
      </c>
      <c r="BI19" s="7">
        <v>0.83056479999999999</v>
      </c>
      <c r="BJ19" s="7">
        <v>0.2511137</v>
      </c>
      <c r="BK19" s="7">
        <v>0.7488863</v>
      </c>
      <c r="BL19" s="7">
        <v>0.29117480000000001</v>
      </c>
      <c r="BM19" s="7">
        <v>3.9300000000000004E-15</v>
      </c>
      <c r="BN19" s="7">
        <v>1.7167809999999999</v>
      </c>
      <c r="BO19" s="7">
        <v>1.7167809999999999</v>
      </c>
      <c r="BP19" s="7">
        <v>1</v>
      </c>
      <c r="BQ19" s="7">
        <v>0.44890160000000001</v>
      </c>
      <c r="BR19" s="7">
        <v>0.28653060000000002</v>
      </c>
      <c r="BS19" s="7">
        <v>0.71346940000000003</v>
      </c>
      <c r="BT19" s="7">
        <v>0.55497370000000001</v>
      </c>
      <c r="BU19" s="7">
        <v>0.69686530000000002</v>
      </c>
      <c r="BV19" s="7">
        <v>0.44306980000000001</v>
      </c>
      <c r="BW19" s="7">
        <v>1.5473490000000001</v>
      </c>
      <c r="BX19" s="7">
        <v>1.8362179999999999</v>
      </c>
      <c r="BY19" s="7">
        <v>1.1866859999999999</v>
      </c>
      <c r="BZ19" s="7">
        <v>0</v>
      </c>
      <c r="CA19" s="7">
        <v>0.63338910000000004</v>
      </c>
      <c r="CB19" s="7">
        <v>0.36661090000000002</v>
      </c>
      <c r="CC19" s="7">
        <v>0.28767589999999998</v>
      </c>
      <c r="CD19" s="7">
        <v>0.71232410000000002</v>
      </c>
      <c r="CE19" s="7">
        <v>2.7290100000000002</v>
      </c>
      <c r="CF19" s="7">
        <v>2.2813460000000001</v>
      </c>
      <c r="CG19" s="7">
        <v>1.586573</v>
      </c>
      <c r="CH19" s="7">
        <v>1.8087</v>
      </c>
      <c r="CI19" s="7">
        <v>1.225068</v>
      </c>
      <c r="CJ19" s="7">
        <v>1.0874550000000001</v>
      </c>
      <c r="CK19" s="7">
        <v>0.88766869999999998</v>
      </c>
      <c r="CL19" s="7">
        <v>0.97972119999999996</v>
      </c>
      <c r="CM19" s="7">
        <v>0.56350199999999995</v>
      </c>
      <c r="CN19" s="7">
        <v>0.60514999999999997</v>
      </c>
      <c r="CO19" s="7">
        <v>0.53786230000000002</v>
      </c>
      <c r="CP19" s="7">
        <v>2.37138E-2</v>
      </c>
      <c r="CQ19" s="7">
        <v>3.1911099999999998E-2</v>
      </c>
      <c r="CR19" s="7">
        <v>1.90162E-2</v>
      </c>
      <c r="CS19" s="7">
        <v>1.220286</v>
      </c>
      <c r="CT19" s="7">
        <v>1.3252590714562826</v>
      </c>
      <c r="CU19" s="7">
        <v>1.1428183674997712</v>
      </c>
      <c r="CV19" s="7">
        <v>0.95224620000000004</v>
      </c>
      <c r="CW19" s="7">
        <v>1.1950590000000001</v>
      </c>
      <c r="CX19" s="7">
        <v>1.190866</v>
      </c>
      <c r="CY19" s="7">
        <v>1.2254989350043595</v>
      </c>
      <c r="CZ19" s="6"/>
      <c r="DI19" s="33"/>
      <c r="DJ19" s="11"/>
    </row>
    <row r="20" spans="1:114" customFormat="1" x14ac:dyDescent="0.3">
      <c r="A20" s="5">
        <v>1965</v>
      </c>
      <c r="B20" s="3">
        <v>194347</v>
      </c>
      <c r="C20" s="3">
        <v>742289</v>
      </c>
      <c r="D20" s="12">
        <v>2.0500942633988699</v>
      </c>
      <c r="E20" s="2">
        <v>1.45053019883102</v>
      </c>
      <c r="F20" s="3">
        <v>442973</v>
      </c>
      <c r="G20" s="3">
        <v>129645</v>
      </c>
      <c r="H20" s="3">
        <v>116190</v>
      </c>
      <c r="I20" s="3">
        <v>47863</v>
      </c>
      <c r="J20" s="3">
        <v>5618</v>
      </c>
      <c r="K20" s="3">
        <f t="shared" si="4"/>
        <v>743759.01</v>
      </c>
      <c r="L20" s="3">
        <f t="shared" si="5"/>
        <v>273967</v>
      </c>
      <c r="M20" s="3">
        <f t="shared" si="6"/>
        <v>469792.01</v>
      </c>
      <c r="N20" s="10">
        <v>1.4852465391159058</v>
      </c>
      <c r="O20" s="10">
        <v>1.3117865324020386</v>
      </c>
      <c r="P20" s="10">
        <v>1.614109992980957</v>
      </c>
      <c r="Q20" s="9">
        <v>107032.27</v>
      </c>
      <c r="R20" s="9">
        <v>166934.73000000001</v>
      </c>
      <c r="S20" s="9">
        <v>61227.73</v>
      </c>
      <c r="T20" s="9">
        <v>408564.28</v>
      </c>
      <c r="U20" s="3">
        <v>390363.71875</v>
      </c>
      <c r="V20" s="3">
        <v>170224.203125</v>
      </c>
      <c r="W20" s="3">
        <v>220139.53125</v>
      </c>
      <c r="X20" s="2">
        <v>0.54204124212265015</v>
      </c>
      <c r="Y20" s="2">
        <v>2.0024290084838867</v>
      </c>
      <c r="Z20" s="2">
        <v>2.0490539073944092</v>
      </c>
      <c r="AA20" s="2">
        <v>1.96803879737854</v>
      </c>
      <c r="AB20" s="2">
        <v>2.1085155010223389</v>
      </c>
      <c r="AC20" s="2">
        <v>2.0143558979034424</v>
      </c>
      <c r="AD20" s="2">
        <v>2.1412239074707031</v>
      </c>
      <c r="AE20" s="2">
        <v>1.3098386526107788</v>
      </c>
      <c r="AF20" s="2">
        <v>1.1945916414260864</v>
      </c>
      <c r="AG20" s="2">
        <v>1.4238836765289307</v>
      </c>
      <c r="AH20" s="2">
        <v>0.63298320770263672</v>
      </c>
      <c r="AI20" s="2">
        <v>0.48821648955345154</v>
      </c>
      <c r="AJ20" s="3">
        <f t="shared" si="7"/>
        <v>574028</v>
      </c>
      <c r="AK20" s="3">
        <v>244649</v>
      </c>
      <c r="AL20" s="3">
        <v>329379</v>
      </c>
      <c r="AM20" s="2">
        <v>1.92178540026203</v>
      </c>
      <c r="AN20" s="2">
        <v>1.4482259852897601</v>
      </c>
      <c r="AO20" s="2">
        <v>1.7158431730904899</v>
      </c>
      <c r="AP20" s="2">
        <v>1.3080712102676699</v>
      </c>
      <c r="AQ20" s="2">
        <v>2.04631883421139</v>
      </c>
      <c r="AR20" s="2">
        <v>1.65518443118735</v>
      </c>
      <c r="AS20" s="3">
        <v>168261</v>
      </c>
      <c r="AT20" s="10">
        <v>2.63474387527839</v>
      </c>
      <c r="AU20" s="10">
        <v>1.47260300393576</v>
      </c>
      <c r="AV20" s="6"/>
      <c r="AW20" s="7">
        <f t="shared" si="0"/>
        <v>0.63611238559372407</v>
      </c>
      <c r="AX20" s="7">
        <f t="shared" si="1"/>
        <v>0.36388761440627604</v>
      </c>
      <c r="AY20" s="7">
        <f t="shared" si="2"/>
        <v>0.29006953461136276</v>
      </c>
      <c r="AZ20" s="7">
        <f t="shared" si="3"/>
        <v>0.70993046538863724</v>
      </c>
      <c r="BA20" s="7">
        <v>2.8702480000000001</v>
      </c>
      <c r="BB20" s="7">
        <v>0.59857850000000001</v>
      </c>
      <c r="BC20" s="7">
        <v>0.40142149999999999</v>
      </c>
      <c r="BD20" s="7">
        <v>0.64724230000000005</v>
      </c>
      <c r="BE20" s="7">
        <v>0</v>
      </c>
      <c r="BF20" s="7">
        <v>1.958807</v>
      </c>
      <c r="BG20" s="7">
        <v>1.958807</v>
      </c>
      <c r="BH20" s="7">
        <v>1</v>
      </c>
      <c r="BI20" s="7">
        <v>0.83056479999999999</v>
      </c>
      <c r="BJ20" s="7">
        <v>0.2502877</v>
      </c>
      <c r="BK20" s="7">
        <v>0.7497123</v>
      </c>
      <c r="BL20" s="7">
        <v>0.29117480000000001</v>
      </c>
      <c r="BM20" s="7">
        <v>3.9300000000000004E-15</v>
      </c>
      <c r="BN20" s="7">
        <v>1.8206359999999999</v>
      </c>
      <c r="BO20" s="7">
        <v>1.8206359999999999</v>
      </c>
      <c r="BP20" s="7">
        <v>1</v>
      </c>
      <c r="BQ20" s="7">
        <v>0.44890160000000001</v>
      </c>
      <c r="BR20" s="7">
        <v>0.27859270000000003</v>
      </c>
      <c r="BS20" s="7">
        <v>0.72140729999999997</v>
      </c>
      <c r="BT20" s="7">
        <v>0.55497370000000001</v>
      </c>
      <c r="BU20" s="7">
        <v>0.69686530000000002</v>
      </c>
      <c r="BV20" s="7">
        <v>0.44306980000000001</v>
      </c>
      <c r="BW20" s="7">
        <v>1.600759</v>
      </c>
      <c r="BX20" s="7">
        <v>1.966793</v>
      </c>
      <c r="BY20" s="7">
        <v>1.2286630000000001</v>
      </c>
      <c r="BZ20" s="7">
        <v>0</v>
      </c>
      <c r="CA20" s="7">
        <v>0.63499099999999997</v>
      </c>
      <c r="CB20" s="7">
        <v>0.36500899999999997</v>
      </c>
      <c r="CC20" s="7">
        <v>0.28760910000000001</v>
      </c>
      <c r="CD20" s="7">
        <v>0.71239079999999999</v>
      </c>
      <c r="CE20" s="7">
        <v>2.9426320000000001</v>
      </c>
      <c r="CF20" s="7">
        <v>2.4255369999999998</v>
      </c>
      <c r="CG20" s="7">
        <v>1.7172400000000001</v>
      </c>
      <c r="CH20" s="7">
        <v>1.9028099999999999</v>
      </c>
      <c r="CI20" s="7">
        <v>1.230467</v>
      </c>
      <c r="CJ20" s="7">
        <v>1.096098</v>
      </c>
      <c r="CK20" s="7">
        <v>0.8907986</v>
      </c>
      <c r="CL20" s="7">
        <v>0.98371850000000005</v>
      </c>
      <c r="CM20" s="7">
        <v>0.56350199999999995</v>
      </c>
      <c r="CN20" s="7">
        <v>0.60514999999999997</v>
      </c>
      <c r="CO20" s="7">
        <v>0.53786230000000002</v>
      </c>
      <c r="CP20" s="7">
        <v>1.7564099999999999E-2</v>
      </c>
      <c r="CQ20" s="7">
        <v>2.9557E-2</v>
      </c>
      <c r="CR20" s="7">
        <v>1.18158E-2</v>
      </c>
      <c r="CS20" s="7">
        <v>1.241908</v>
      </c>
      <c r="CT20" s="7">
        <v>1.3650116019389198</v>
      </c>
      <c r="CU20" s="7">
        <v>1.1563808172411412</v>
      </c>
      <c r="CV20" s="7">
        <v>0.95713879999999996</v>
      </c>
      <c r="CW20" s="7">
        <v>1.228715</v>
      </c>
      <c r="CX20" s="7">
        <v>1.210588</v>
      </c>
      <c r="CY20" s="7">
        <v>1.2528440477023484</v>
      </c>
      <c r="CZ20" s="6"/>
      <c r="DI20" s="33"/>
      <c r="DJ20" s="11"/>
    </row>
    <row r="21" spans="1:114" customFormat="1" x14ac:dyDescent="0.3">
      <c r="A21" s="5">
        <v>1966</v>
      </c>
      <c r="B21" s="3">
        <v>196599</v>
      </c>
      <c r="C21" s="3">
        <v>813414</v>
      </c>
      <c r="D21" s="12">
        <v>2.1852949097764598</v>
      </c>
      <c r="E21" s="2">
        <v>1.4911769066884999</v>
      </c>
      <c r="F21" s="3">
        <v>479919</v>
      </c>
      <c r="G21" s="3">
        <v>144188</v>
      </c>
      <c r="H21" s="3">
        <v>131877</v>
      </c>
      <c r="I21" s="3">
        <v>53567</v>
      </c>
      <c r="J21" s="3">
        <v>3863</v>
      </c>
      <c r="K21" s="3">
        <f t="shared" si="4"/>
        <v>815033</v>
      </c>
      <c r="L21" s="3">
        <f t="shared" si="5"/>
        <v>301066</v>
      </c>
      <c r="M21" s="3">
        <f t="shared" si="6"/>
        <v>513967</v>
      </c>
      <c r="N21" s="10">
        <v>1.5323675870895386</v>
      </c>
      <c r="O21" s="10">
        <v>1.3521623611450195</v>
      </c>
      <c r="P21" s="10">
        <v>1.6662367582321167</v>
      </c>
      <c r="Q21" s="9">
        <v>117730</v>
      </c>
      <c r="R21" s="9">
        <v>183336</v>
      </c>
      <c r="S21" s="9">
        <v>66383</v>
      </c>
      <c r="T21" s="9">
        <v>447584</v>
      </c>
      <c r="U21" s="3">
        <v>436812.8125</v>
      </c>
      <c r="V21" s="3">
        <v>189492.3125</v>
      </c>
      <c r="W21" s="3">
        <v>247320.5</v>
      </c>
      <c r="X21" s="2">
        <v>0.54315745830535889</v>
      </c>
      <c r="Y21" s="2">
        <v>2.1280214786529541</v>
      </c>
      <c r="Z21" s="2">
        <v>2.1841678619384766</v>
      </c>
      <c r="AA21" s="2">
        <v>2.0876827239990234</v>
      </c>
      <c r="AB21" s="2">
        <v>2.235722541809082</v>
      </c>
      <c r="AC21" s="2">
        <v>2.1584830284118652</v>
      </c>
      <c r="AD21" s="2">
        <v>2.2600083351135254</v>
      </c>
      <c r="AE21" s="2">
        <v>1.3658438920974731</v>
      </c>
      <c r="AF21" s="2">
        <v>1.2513864040374756</v>
      </c>
      <c r="AG21" s="2">
        <v>1.4795413017272949</v>
      </c>
      <c r="AH21" s="2">
        <v>0.63005584478378296</v>
      </c>
      <c r="AI21" s="2">
        <v>0.49103391170501709</v>
      </c>
      <c r="AJ21" s="3">
        <f t="shared" si="7"/>
        <v>629295</v>
      </c>
      <c r="AK21" s="3">
        <v>268010</v>
      </c>
      <c r="AL21" s="3">
        <v>361285</v>
      </c>
      <c r="AM21" s="2">
        <v>2.04586398576089</v>
      </c>
      <c r="AN21" s="2">
        <v>1.49137092562317</v>
      </c>
      <c r="AO21" s="2">
        <v>1.81168678910457</v>
      </c>
      <c r="AP21" s="2">
        <v>1.3571673864010301</v>
      </c>
      <c r="AQ21" s="2">
        <v>2.1689678223455</v>
      </c>
      <c r="AR21" s="2">
        <v>1.7128550366999999</v>
      </c>
      <c r="AS21" s="3">
        <v>184119</v>
      </c>
      <c r="AT21" s="10">
        <v>2.8209910913140299</v>
      </c>
      <c r="AU21" s="10">
        <v>1.5050035100415999</v>
      </c>
      <c r="AV21" s="6"/>
      <c r="AW21" s="7">
        <f t="shared" si="0"/>
        <v>0.6394442543437997</v>
      </c>
      <c r="AX21" s="7">
        <f t="shared" si="1"/>
        <v>0.36055574565620024</v>
      </c>
      <c r="AY21" s="7">
        <f t="shared" si="2"/>
        <v>0.29058517720154697</v>
      </c>
      <c r="AZ21" s="7">
        <f t="shared" si="3"/>
        <v>0.70941482279845303</v>
      </c>
      <c r="BA21" s="7">
        <v>3.1128689999999999</v>
      </c>
      <c r="BB21" s="7">
        <v>0.59822549999999997</v>
      </c>
      <c r="BC21" s="7">
        <v>0.40177449999999998</v>
      </c>
      <c r="BD21" s="7">
        <v>0.64724230000000005</v>
      </c>
      <c r="BE21" s="7">
        <v>0</v>
      </c>
      <c r="BF21" s="7">
        <v>2.0836009999999998</v>
      </c>
      <c r="BG21" s="7">
        <v>2.0836009999999998</v>
      </c>
      <c r="BH21" s="7">
        <v>1</v>
      </c>
      <c r="BI21" s="7">
        <v>0.83056479999999999</v>
      </c>
      <c r="BJ21" s="7">
        <v>0.25001210000000001</v>
      </c>
      <c r="BK21" s="7">
        <v>0.74998779999999998</v>
      </c>
      <c r="BL21" s="7">
        <v>0.29117480000000001</v>
      </c>
      <c r="BM21" s="7">
        <v>3.9300000000000004E-15</v>
      </c>
      <c r="BN21" s="7">
        <v>1.9356370000000001</v>
      </c>
      <c r="BO21" s="7">
        <v>1.9356370000000001</v>
      </c>
      <c r="BP21" s="7">
        <v>0.99999990000000005</v>
      </c>
      <c r="BQ21" s="7">
        <v>0.44890160000000001</v>
      </c>
      <c r="BR21" s="7">
        <v>0.270787</v>
      </c>
      <c r="BS21" s="7">
        <v>0.729213</v>
      </c>
      <c r="BT21" s="7">
        <v>0.55497370000000001</v>
      </c>
      <c r="BU21" s="7">
        <v>0.69686530000000002</v>
      </c>
      <c r="BV21" s="7">
        <v>0.44306980000000001</v>
      </c>
      <c r="BW21" s="7">
        <v>1.65601</v>
      </c>
      <c r="BX21" s="7">
        <v>2.1128749999999998</v>
      </c>
      <c r="BY21" s="7">
        <v>1.275882</v>
      </c>
      <c r="BZ21" s="7">
        <v>0</v>
      </c>
      <c r="CA21" s="7">
        <v>0.63777910000000004</v>
      </c>
      <c r="CB21" s="7">
        <v>0.36222090000000001</v>
      </c>
      <c r="CC21" s="7">
        <v>0.29032730000000001</v>
      </c>
      <c r="CD21" s="7">
        <v>0.70967270000000005</v>
      </c>
      <c r="CE21" s="7">
        <v>3.14018</v>
      </c>
      <c r="CF21" s="7">
        <v>2.5475590000000001</v>
      </c>
      <c r="CG21" s="7">
        <v>1.830965</v>
      </c>
      <c r="CH21" s="7">
        <v>2.0207920000000001</v>
      </c>
      <c r="CI21" s="7">
        <v>1.2322759999999999</v>
      </c>
      <c r="CJ21" s="7">
        <v>1.1071500000000001</v>
      </c>
      <c r="CK21" s="7">
        <v>0.89845980000000003</v>
      </c>
      <c r="CL21" s="7">
        <v>0.99119869999999999</v>
      </c>
      <c r="CM21" s="7">
        <v>0.56350199999999995</v>
      </c>
      <c r="CN21" s="7">
        <v>0.60514999999999997</v>
      </c>
      <c r="CO21" s="7">
        <v>0.53786230000000002</v>
      </c>
      <c r="CP21" s="7">
        <v>1.16685E-2</v>
      </c>
      <c r="CQ21" s="7">
        <v>7.5186999999999997E-3</v>
      </c>
      <c r="CR21" s="7">
        <v>1.38434E-2</v>
      </c>
      <c r="CS21" s="7">
        <v>1.2564839999999999</v>
      </c>
      <c r="CT21" s="7">
        <v>1.3752929216759</v>
      </c>
      <c r="CU21" s="7">
        <v>1.1724882864347852</v>
      </c>
      <c r="CV21" s="7">
        <v>0.96588430000000003</v>
      </c>
      <c r="CW21" s="7">
        <v>1.252391</v>
      </c>
      <c r="CX21" s="7">
        <v>1.2254560000000001</v>
      </c>
      <c r="CY21" s="7">
        <v>1.2788867198532681</v>
      </c>
      <c r="CZ21" s="6"/>
      <c r="DI21" s="33"/>
      <c r="DJ21" s="11"/>
    </row>
    <row r="22" spans="1:114" customFormat="1" x14ac:dyDescent="0.3">
      <c r="A22" s="5">
        <v>1967</v>
      </c>
      <c r="B22" s="3">
        <v>198752</v>
      </c>
      <c r="C22" s="3">
        <v>859959</v>
      </c>
      <c r="D22" s="12">
        <v>2.2451746117245701</v>
      </c>
      <c r="E22" s="2">
        <v>1.5344587000855801</v>
      </c>
      <c r="F22" s="3">
        <v>506685</v>
      </c>
      <c r="G22" s="3">
        <v>142700</v>
      </c>
      <c r="H22" s="3">
        <v>149349</v>
      </c>
      <c r="I22" s="3">
        <v>57668</v>
      </c>
      <c r="J22" s="3">
        <v>3555</v>
      </c>
      <c r="K22" s="3">
        <f t="shared" si="4"/>
        <v>861781.98</v>
      </c>
      <c r="L22" s="3">
        <f t="shared" si="5"/>
        <v>308524.99</v>
      </c>
      <c r="M22" s="3">
        <f t="shared" si="6"/>
        <v>553256.99</v>
      </c>
      <c r="N22" s="10">
        <v>1.5741991996765137</v>
      </c>
      <c r="O22" s="10">
        <v>1.3709656000137329</v>
      </c>
      <c r="P22" s="10">
        <v>1.7249650955200195</v>
      </c>
      <c r="Q22" s="9">
        <v>121056.57</v>
      </c>
      <c r="R22" s="9">
        <v>187468.42</v>
      </c>
      <c r="S22" s="9">
        <v>69434.429999999993</v>
      </c>
      <c r="T22" s="9">
        <v>483822.56</v>
      </c>
      <c r="U22" s="3">
        <v>470879.125</v>
      </c>
      <c r="V22" s="3">
        <v>198423.53125</v>
      </c>
      <c r="W22" s="3">
        <v>272455.59375</v>
      </c>
      <c r="X22" s="2">
        <v>0.55420136451721191</v>
      </c>
      <c r="Y22" s="2">
        <v>2.1890227794647217</v>
      </c>
      <c r="Z22" s="2">
        <v>2.2119667530059814</v>
      </c>
      <c r="AA22" s="2">
        <v>2.1673145294189453</v>
      </c>
      <c r="AB22" s="2">
        <v>2.3752973079681396</v>
      </c>
      <c r="AC22" s="2">
        <v>2.3094916343688965</v>
      </c>
      <c r="AD22" s="2">
        <v>2.3938956260681152</v>
      </c>
      <c r="AE22" s="2">
        <v>1.3805618286132813</v>
      </c>
      <c r="AF22" s="2">
        <v>1.2463043928146362</v>
      </c>
      <c r="AG22" s="2">
        <v>1.5120961666107178</v>
      </c>
      <c r="AH22" s="2">
        <v>0.64044564962387085</v>
      </c>
      <c r="AI22" s="2">
        <v>0.50354713201522827</v>
      </c>
      <c r="AJ22" s="3">
        <f t="shared" si="7"/>
        <v>669456</v>
      </c>
      <c r="AK22" s="3">
        <v>273643</v>
      </c>
      <c r="AL22" s="3">
        <v>395813</v>
      </c>
      <c r="AM22" s="2">
        <v>2.1128650080503202</v>
      </c>
      <c r="AN22" s="2">
        <v>1.53624005622035</v>
      </c>
      <c r="AO22" s="2">
        <v>1.8377635309278</v>
      </c>
      <c r="AP22" s="2">
        <v>1.36603003224371</v>
      </c>
      <c r="AQ22" s="2">
        <v>2.2936251972765498</v>
      </c>
      <c r="AR22" s="2">
        <v>1.77456287035038</v>
      </c>
      <c r="AS22" s="3">
        <v>190502</v>
      </c>
      <c r="AT22" s="10">
        <v>2.84660356347438</v>
      </c>
      <c r="AU22" s="10">
        <v>1.54316786456052</v>
      </c>
      <c r="AV22" s="6"/>
      <c r="AW22" s="7">
        <f t="shared" si="0"/>
        <v>0.63549758256295574</v>
      </c>
      <c r="AX22" s="7">
        <f t="shared" si="1"/>
        <v>0.36450241743704426</v>
      </c>
      <c r="AY22" s="7">
        <f t="shared" si="2"/>
        <v>0.27926551314602799</v>
      </c>
      <c r="AZ22" s="7">
        <f t="shared" si="3"/>
        <v>0.72073448685397201</v>
      </c>
      <c r="BA22" s="7">
        <v>3.2743340000000001</v>
      </c>
      <c r="BB22" s="7">
        <v>0.59320910000000004</v>
      </c>
      <c r="BC22" s="7">
        <v>0.40679090000000001</v>
      </c>
      <c r="BD22" s="7">
        <v>0.64724230000000005</v>
      </c>
      <c r="BE22" s="7">
        <v>0</v>
      </c>
      <c r="BF22" s="7">
        <v>2.1669659999999999</v>
      </c>
      <c r="BG22" s="7">
        <v>2.1669659999999999</v>
      </c>
      <c r="BH22" s="7">
        <v>1</v>
      </c>
      <c r="BI22" s="7">
        <v>0.83056479999999999</v>
      </c>
      <c r="BJ22" s="7">
        <v>0.24612690000000001</v>
      </c>
      <c r="BK22" s="7">
        <v>0.75387309999999996</v>
      </c>
      <c r="BL22" s="7">
        <v>0.29117480000000001</v>
      </c>
      <c r="BM22" s="7">
        <v>3.9300000000000004E-15</v>
      </c>
      <c r="BN22" s="7">
        <v>1.9985569999999999</v>
      </c>
      <c r="BO22" s="7">
        <v>1.9985569999999999</v>
      </c>
      <c r="BP22" s="7">
        <v>1</v>
      </c>
      <c r="BQ22" s="7">
        <v>0.44890160000000001</v>
      </c>
      <c r="BR22" s="7">
        <v>0.26453579999999999</v>
      </c>
      <c r="BS22" s="7">
        <v>0.73546420000000001</v>
      </c>
      <c r="BT22" s="7">
        <v>0.55497370000000001</v>
      </c>
      <c r="BU22" s="7">
        <v>0.69686530000000002</v>
      </c>
      <c r="BV22" s="7">
        <v>0.44306980000000001</v>
      </c>
      <c r="BW22" s="7">
        <v>1.696736</v>
      </c>
      <c r="BX22" s="7">
        <v>2.1889189999999998</v>
      </c>
      <c r="BY22" s="7">
        <v>1.290076</v>
      </c>
      <c r="BZ22" s="7">
        <v>0</v>
      </c>
      <c r="CA22" s="7">
        <v>0.6374725</v>
      </c>
      <c r="CB22" s="7">
        <v>0.3625275</v>
      </c>
      <c r="CC22" s="7">
        <v>0.2849255</v>
      </c>
      <c r="CD22" s="7">
        <v>0.71507449999999995</v>
      </c>
      <c r="CE22" s="7">
        <v>3.1847099999999999</v>
      </c>
      <c r="CF22" s="7">
        <v>2.5739960000000002</v>
      </c>
      <c r="CG22" s="7">
        <v>1.8455269999999999</v>
      </c>
      <c r="CH22" s="7">
        <v>2.1088450000000001</v>
      </c>
      <c r="CI22" s="7">
        <v>1.2582120000000001</v>
      </c>
      <c r="CJ22" s="7">
        <v>1.1178079999999999</v>
      </c>
      <c r="CK22" s="7">
        <v>0.88841029999999999</v>
      </c>
      <c r="CL22" s="7">
        <v>0.99570069999999999</v>
      </c>
      <c r="CM22" s="7">
        <v>0.56350199999999995</v>
      </c>
      <c r="CN22" s="7">
        <v>0.60514999999999997</v>
      </c>
      <c r="CO22" s="7">
        <v>0.53786230000000002</v>
      </c>
      <c r="CP22" s="7">
        <v>-4.2106000000000001E-3</v>
      </c>
      <c r="CQ22" s="7">
        <v>-1.4576499999999999E-2</v>
      </c>
      <c r="CR22" s="7">
        <v>4.7700000000000001E-5</v>
      </c>
      <c r="CS22" s="7">
        <v>1.2512049999999999</v>
      </c>
      <c r="CT22" s="7">
        <v>1.3553275868776431</v>
      </c>
      <c r="CU22" s="7">
        <v>1.1725166488870302</v>
      </c>
      <c r="CV22" s="7">
        <v>0.96231979999999995</v>
      </c>
      <c r="CW22" s="7">
        <v>1.2367159999999999</v>
      </c>
      <c r="CX22" s="7">
        <v>1.22085</v>
      </c>
      <c r="CY22" s="7">
        <v>1.2766196326960562</v>
      </c>
      <c r="CZ22" s="6"/>
      <c r="DI22" s="33"/>
      <c r="DJ22" s="11"/>
    </row>
    <row r="23" spans="1:114" customFormat="1" x14ac:dyDescent="0.3">
      <c r="A23" s="5">
        <v>1968</v>
      </c>
      <c r="B23" s="3">
        <v>200745</v>
      </c>
      <c r="C23" s="3">
        <v>940651</v>
      </c>
      <c r="D23" s="12">
        <v>2.35550767573391</v>
      </c>
      <c r="E23" s="2">
        <v>1.59982168146518</v>
      </c>
      <c r="F23" s="3">
        <v>556852</v>
      </c>
      <c r="G23" s="3">
        <v>156923</v>
      </c>
      <c r="H23" s="3">
        <v>166280</v>
      </c>
      <c r="I23" s="3">
        <v>59246</v>
      </c>
      <c r="J23" s="3">
        <v>1350</v>
      </c>
      <c r="K23" s="3">
        <f t="shared" si="4"/>
        <v>942541.02</v>
      </c>
      <c r="L23" s="3">
        <f t="shared" si="5"/>
        <v>334486</v>
      </c>
      <c r="M23" s="3">
        <f t="shared" si="6"/>
        <v>608055.02</v>
      </c>
      <c r="N23" s="10">
        <v>1.634034276008606</v>
      </c>
      <c r="O23" s="10">
        <v>1.4053806066513062</v>
      </c>
      <c r="P23" s="10">
        <v>1.8033572435379028</v>
      </c>
      <c r="Q23" s="9">
        <v>131250.53</v>
      </c>
      <c r="R23" s="9">
        <v>203235.47</v>
      </c>
      <c r="S23" s="9">
        <v>75848.460000000006</v>
      </c>
      <c r="T23" s="9">
        <v>532206.56000000006</v>
      </c>
      <c r="U23" s="3">
        <v>511077.375</v>
      </c>
      <c r="V23" s="3">
        <v>212542.46875</v>
      </c>
      <c r="W23" s="3">
        <v>298534.875</v>
      </c>
      <c r="X23" s="2">
        <v>0.55819690227508545</v>
      </c>
      <c r="Y23" s="2">
        <v>2.301386833190918</v>
      </c>
      <c r="Z23" s="2">
        <v>2.336033821105957</v>
      </c>
      <c r="AA23" s="2">
        <v>2.2727017402648926</v>
      </c>
      <c r="AB23" s="2">
        <v>2.5099687576293945</v>
      </c>
      <c r="AC23" s="2">
        <v>2.4442868232727051</v>
      </c>
      <c r="AD23" s="2">
        <v>2.5279653072357178</v>
      </c>
      <c r="AE23" s="2">
        <v>1.405327320098877</v>
      </c>
      <c r="AF23" s="2">
        <v>1.2494852542877197</v>
      </c>
      <c r="AG23" s="2">
        <v>1.5561950206756592</v>
      </c>
      <c r="AH23" s="2">
        <v>0.64330285787582397</v>
      </c>
      <c r="AI23" s="2">
        <v>0.50963932275772095</v>
      </c>
      <c r="AJ23" s="3">
        <f t="shared" si="7"/>
        <v>733536</v>
      </c>
      <c r="AK23" s="3">
        <v>295445</v>
      </c>
      <c r="AL23" s="3">
        <v>438091</v>
      </c>
      <c r="AM23" s="2">
        <v>2.21830830370026</v>
      </c>
      <c r="AN23" s="2">
        <v>1.6032715431314899</v>
      </c>
      <c r="AO23" s="2">
        <v>1.92805868796957</v>
      </c>
      <c r="AP23" s="2">
        <v>1.4057947877581101</v>
      </c>
      <c r="AQ23" s="2">
        <v>2.4166628320795298</v>
      </c>
      <c r="AR23" s="2">
        <v>1.8641122309512801</v>
      </c>
      <c r="AS23" s="3">
        <v>207116</v>
      </c>
      <c r="AT23" s="10">
        <v>2.9788418708240498</v>
      </c>
      <c r="AU23" s="10">
        <v>1.6032705690122699</v>
      </c>
      <c r="AV23" s="6"/>
      <c r="AW23" s="7">
        <f t="shared" si="0"/>
        <v>0.6337574606230576</v>
      </c>
      <c r="AX23" s="7">
        <f t="shared" si="1"/>
        <v>0.36624253937694246</v>
      </c>
      <c r="AY23" s="7">
        <f t="shared" si="2"/>
        <v>0.27634464948923304</v>
      </c>
      <c r="AZ23" s="7">
        <f t="shared" si="3"/>
        <v>0.72365535051076701</v>
      </c>
      <c r="BA23" s="7">
        <v>3.5416500000000002</v>
      </c>
      <c r="BB23" s="7">
        <v>0.5884587</v>
      </c>
      <c r="BC23" s="7">
        <v>0.4115413</v>
      </c>
      <c r="BD23" s="7">
        <v>0.64724230000000005</v>
      </c>
      <c r="BE23" s="7">
        <v>0</v>
      </c>
      <c r="BF23" s="7">
        <v>2.2909139999999999</v>
      </c>
      <c r="BG23" s="7">
        <v>2.2909139999999999</v>
      </c>
      <c r="BH23" s="7">
        <v>1</v>
      </c>
      <c r="BI23" s="7">
        <v>0.83056479999999999</v>
      </c>
      <c r="BJ23" s="7">
        <v>0.2424991</v>
      </c>
      <c r="BK23" s="7">
        <v>0.75750090000000003</v>
      </c>
      <c r="BL23" s="7">
        <v>0.29117480000000001</v>
      </c>
      <c r="BM23" s="7">
        <v>3.9300000000000004E-15</v>
      </c>
      <c r="BN23" s="7">
        <v>2.0985330000000002</v>
      </c>
      <c r="BO23" s="7">
        <v>2.0985339999999999</v>
      </c>
      <c r="BP23" s="7">
        <v>1</v>
      </c>
      <c r="BQ23" s="7">
        <v>0.44890160000000001</v>
      </c>
      <c r="BR23" s="7">
        <v>0.25605549999999999</v>
      </c>
      <c r="BS23" s="7">
        <v>0.74394450000000001</v>
      </c>
      <c r="BT23" s="7">
        <v>0.55497370000000001</v>
      </c>
      <c r="BU23" s="7">
        <v>0.69686530000000002</v>
      </c>
      <c r="BV23" s="7">
        <v>0.44306980000000001</v>
      </c>
      <c r="BW23" s="7">
        <v>1.7503</v>
      </c>
      <c r="BX23" s="7">
        <v>2.3137850000000002</v>
      </c>
      <c r="BY23" s="7">
        <v>1.321936</v>
      </c>
      <c r="BZ23" s="7">
        <v>0</v>
      </c>
      <c r="CA23" s="7">
        <v>0.63462790000000002</v>
      </c>
      <c r="CB23" s="7">
        <v>0.36537209999999998</v>
      </c>
      <c r="CC23" s="7">
        <v>0.27780519999999997</v>
      </c>
      <c r="CD23" s="7">
        <v>0.72219480000000003</v>
      </c>
      <c r="CE23" s="7">
        <v>3.3683969999999999</v>
      </c>
      <c r="CF23" s="7">
        <v>2.6896360000000001</v>
      </c>
      <c r="CG23" s="7">
        <v>1.9462600000000001</v>
      </c>
      <c r="CH23" s="7">
        <v>2.2126679999999999</v>
      </c>
      <c r="CI23" s="7">
        <v>1.2831809999999999</v>
      </c>
      <c r="CJ23" s="7">
        <v>1.1248359999999999</v>
      </c>
      <c r="CK23" s="7">
        <v>0.87659980000000004</v>
      </c>
      <c r="CL23" s="7">
        <v>1.00023</v>
      </c>
      <c r="CM23" s="7">
        <v>0.56350199999999995</v>
      </c>
      <c r="CN23" s="7">
        <v>0.60514999999999997</v>
      </c>
      <c r="CO23" s="7">
        <v>0.53786230000000002</v>
      </c>
      <c r="CP23" s="7">
        <v>1.5965900000000002E-2</v>
      </c>
      <c r="CQ23" s="7">
        <v>2.8375399999999999E-2</v>
      </c>
      <c r="CR23" s="7">
        <v>7.4955999999999998E-3</v>
      </c>
      <c r="CS23" s="7">
        <v>1.271342</v>
      </c>
      <c r="CT23" s="7">
        <v>1.3942867669369485</v>
      </c>
      <c r="CU23" s="7">
        <v>1.181318390935552</v>
      </c>
      <c r="CV23" s="7">
        <v>0.95636860000000001</v>
      </c>
      <c r="CW23" s="7">
        <v>1.2542139999999999</v>
      </c>
      <c r="CX23" s="7">
        <v>1.2367360000000001</v>
      </c>
      <c r="CY23" s="7">
        <v>1.2988369825774004</v>
      </c>
      <c r="CZ23" s="6"/>
      <c r="DI23" s="33"/>
      <c r="DJ23" s="11"/>
    </row>
    <row r="24" spans="1:114" customFormat="1" x14ac:dyDescent="0.3">
      <c r="A24" s="5">
        <v>1969</v>
      </c>
      <c r="B24" s="3">
        <v>202736</v>
      </c>
      <c r="C24" s="3">
        <v>1017615</v>
      </c>
      <c r="D24" s="12">
        <v>2.4291229015171898</v>
      </c>
      <c r="E24" s="2">
        <v>1.6782690749024201</v>
      </c>
      <c r="F24" s="3">
        <v>603639</v>
      </c>
      <c r="G24" s="3">
        <v>173562</v>
      </c>
      <c r="H24" s="3">
        <v>179437</v>
      </c>
      <c r="I24" s="3">
        <v>59547</v>
      </c>
      <c r="J24" s="3">
        <v>1431</v>
      </c>
      <c r="K24" s="3">
        <f t="shared" si="4"/>
        <v>1019888.99</v>
      </c>
      <c r="L24" s="3">
        <f t="shared" si="5"/>
        <v>356136</v>
      </c>
      <c r="M24" s="3">
        <f t="shared" si="6"/>
        <v>663752.99</v>
      </c>
      <c r="N24" s="10">
        <v>1.7121062278747559</v>
      </c>
      <c r="O24" s="10">
        <v>1.4517577886581421</v>
      </c>
      <c r="P24" s="10">
        <v>1.9045863151550293</v>
      </c>
      <c r="Q24" s="9">
        <v>140900.57999999999</v>
      </c>
      <c r="R24" s="9">
        <v>215235.42</v>
      </c>
      <c r="S24" s="9">
        <v>83024.429999999993</v>
      </c>
      <c r="T24" s="9">
        <v>580728.56000000006</v>
      </c>
      <c r="U24" s="3">
        <v>563248.6875</v>
      </c>
      <c r="V24" s="3">
        <v>234578.59375</v>
      </c>
      <c r="W24" s="3">
        <v>328670.09375</v>
      </c>
      <c r="X24" s="2">
        <v>0.56205970048904419</v>
      </c>
      <c r="Y24" s="2">
        <v>2.3747429847717285</v>
      </c>
      <c r="Z24" s="2">
        <v>2.401982307434082</v>
      </c>
      <c r="AA24" s="2">
        <v>2.3497867584228516</v>
      </c>
      <c r="AB24" s="2">
        <v>2.6488194465637207</v>
      </c>
      <c r="AC24" s="2">
        <v>2.5789237022399902</v>
      </c>
      <c r="AD24" s="2">
        <v>2.6680502891540527</v>
      </c>
      <c r="AE24" s="2">
        <v>1.437849760055542</v>
      </c>
      <c r="AF24" s="2">
        <v>1.2720767259597778</v>
      </c>
      <c r="AG24" s="2">
        <v>1.597847580909729</v>
      </c>
      <c r="AH24" s="2">
        <v>0.65239012241363525</v>
      </c>
      <c r="AI24" s="2">
        <v>0.51160567998886108</v>
      </c>
      <c r="AJ24" s="3">
        <f t="shared" si="7"/>
        <v>793679</v>
      </c>
      <c r="AK24" s="3">
        <v>315782</v>
      </c>
      <c r="AL24" s="3">
        <v>477897</v>
      </c>
      <c r="AM24" s="2">
        <v>2.2895646119404902</v>
      </c>
      <c r="AN24" s="2">
        <v>1.6807405618701301</v>
      </c>
      <c r="AO24" s="2">
        <v>1.98659638623752</v>
      </c>
      <c r="AP24" s="2">
        <v>1.4582878698330499</v>
      </c>
      <c r="AQ24" s="2">
        <v>2.4985053227345499</v>
      </c>
      <c r="AR24" s="2">
        <v>1.96687976652747</v>
      </c>
      <c r="AS24" s="3">
        <v>223935</v>
      </c>
      <c r="AT24" s="10">
        <v>3.0627783964365198</v>
      </c>
      <c r="AU24" s="10">
        <v>1.6859590503897799</v>
      </c>
      <c r="AV24" s="6"/>
      <c r="AW24" s="7">
        <f t="shared" si="0"/>
        <v>0.62923109839316294</v>
      </c>
      <c r="AX24" s="7">
        <f t="shared" si="1"/>
        <v>0.37076890160683706</v>
      </c>
      <c r="AY24" s="7">
        <f t="shared" si="2"/>
        <v>0.27040849260540656</v>
      </c>
      <c r="AZ24" s="7">
        <f t="shared" si="3"/>
        <v>0.72959150739459344</v>
      </c>
      <c r="BA24" s="7">
        <v>3.7915130000000001</v>
      </c>
      <c r="BB24" s="7">
        <v>0.58308470000000001</v>
      </c>
      <c r="BC24" s="7">
        <v>0.41691529999999999</v>
      </c>
      <c r="BD24" s="7">
        <v>0.64724230000000005</v>
      </c>
      <c r="BE24" s="7">
        <v>0</v>
      </c>
      <c r="BF24" s="7">
        <v>2.3758409999999999</v>
      </c>
      <c r="BG24" s="7">
        <v>2.3758409999999999</v>
      </c>
      <c r="BH24" s="7">
        <v>1</v>
      </c>
      <c r="BI24" s="7">
        <v>0.83056479999999999</v>
      </c>
      <c r="BJ24" s="7">
        <v>0.2384539</v>
      </c>
      <c r="BK24" s="7">
        <v>0.7615461</v>
      </c>
      <c r="BL24" s="7">
        <v>0.29117480000000001</v>
      </c>
      <c r="BM24" s="7">
        <v>3.9300000000000004E-15</v>
      </c>
      <c r="BN24" s="7">
        <v>2.159748</v>
      </c>
      <c r="BO24" s="7">
        <v>2.159748</v>
      </c>
      <c r="BP24" s="7">
        <v>1</v>
      </c>
      <c r="BQ24" s="7">
        <v>0.44890160000000001</v>
      </c>
      <c r="BR24" s="7">
        <v>0.25024390000000002</v>
      </c>
      <c r="BS24" s="7">
        <v>0.74975610000000004</v>
      </c>
      <c r="BT24" s="7">
        <v>0.55497370000000001</v>
      </c>
      <c r="BU24" s="7">
        <v>0.69686530000000002</v>
      </c>
      <c r="BV24" s="7">
        <v>0.44306980000000001</v>
      </c>
      <c r="BW24" s="7">
        <v>1.7903370000000001</v>
      </c>
      <c r="BX24" s="7">
        <v>2.3871329999999999</v>
      </c>
      <c r="BY24" s="7">
        <v>1.3333429999999999</v>
      </c>
      <c r="BZ24" s="7">
        <v>0</v>
      </c>
      <c r="CA24" s="7">
        <v>0.63149379999999999</v>
      </c>
      <c r="CB24" s="7">
        <v>0.36850620000000001</v>
      </c>
      <c r="CC24" s="7">
        <v>0.27337660000000003</v>
      </c>
      <c r="CD24" s="7">
        <v>0.72662340000000003</v>
      </c>
      <c r="CE24" s="7">
        <v>3.5004179999999998</v>
      </c>
      <c r="CF24" s="7">
        <v>2.7875000000000001</v>
      </c>
      <c r="CG24" s="7">
        <v>1.993263</v>
      </c>
      <c r="CH24" s="7">
        <v>2.2836940000000001</v>
      </c>
      <c r="CI24" s="7">
        <v>1.311917</v>
      </c>
      <c r="CJ24" s="7">
        <v>1.1296999999999999</v>
      </c>
      <c r="CK24" s="7">
        <v>0.86110589999999998</v>
      </c>
      <c r="CL24" s="7">
        <v>0.99712100000000004</v>
      </c>
      <c r="CM24" s="7">
        <v>0.56350199999999995</v>
      </c>
      <c r="CN24" s="7">
        <v>0.60514999999999997</v>
      </c>
      <c r="CO24" s="7">
        <v>0.53786230000000002</v>
      </c>
      <c r="CP24" s="7">
        <v>-5.0175000000000003E-3</v>
      </c>
      <c r="CQ24" s="7">
        <v>-5.6620999999999998E-3</v>
      </c>
      <c r="CR24" s="7">
        <v>-5.0707E-3</v>
      </c>
      <c r="CS24" s="7">
        <v>1.2649790000000001</v>
      </c>
      <c r="CT24" s="7">
        <v>1.386381988264245</v>
      </c>
      <c r="CU24" s="7">
        <v>1.1753222717133358</v>
      </c>
      <c r="CV24" s="7">
        <v>0.9471638</v>
      </c>
      <c r="CW24" s="7">
        <v>1.2354149999999999</v>
      </c>
      <c r="CX24" s="7">
        <v>1.2302930000000001</v>
      </c>
      <c r="CY24" s="7">
        <v>1.2887011352748188</v>
      </c>
      <c r="CZ24" s="6"/>
      <c r="DI24" s="33"/>
      <c r="DJ24" s="11"/>
    </row>
    <row r="25" spans="1:114" customFormat="1" x14ac:dyDescent="0.3">
      <c r="A25" s="5">
        <v>1970</v>
      </c>
      <c r="B25" s="3">
        <v>205089</v>
      </c>
      <c r="C25" s="3">
        <v>1073303</v>
      </c>
      <c r="D25" s="12">
        <v>2.4336116347966601</v>
      </c>
      <c r="E25" s="2">
        <v>1.76684580920455</v>
      </c>
      <c r="F25" s="3">
        <v>646724</v>
      </c>
      <c r="G25" s="3">
        <v>170049</v>
      </c>
      <c r="H25" s="3">
        <v>192785</v>
      </c>
      <c r="I25" s="3">
        <v>59796</v>
      </c>
      <c r="J25" s="3">
        <v>3948</v>
      </c>
      <c r="K25" s="3">
        <f t="shared" si="4"/>
        <v>1075904.02</v>
      </c>
      <c r="L25" s="3">
        <f t="shared" si="5"/>
        <v>359398</v>
      </c>
      <c r="M25" s="3">
        <f t="shared" si="6"/>
        <v>716506.02</v>
      </c>
      <c r="N25" s="10">
        <v>1.7982279062271118</v>
      </c>
      <c r="O25" s="10">
        <v>1.5029885768890381</v>
      </c>
      <c r="P25" s="10">
        <v>2.0158114433288574</v>
      </c>
      <c r="Q25" s="9">
        <v>141615.79999999999</v>
      </c>
      <c r="R25" s="9">
        <v>217782.2</v>
      </c>
      <c r="S25" s="9">
        <v>86224.21</v>
      </c>
      <c r="T25" s="9">
        <v>630281.81000000006</v>
      </c>
      <c r="U25" s="3">
        <v>610929.8125</v>
      </c>
      <c r="V25" s="3">
        <v>237534.921875</v>
      </c>
      <c r="W25" s="3">
        <v>373394.90625</v>
      </c>
      <c r="X25" s="2">
        <v>0.57573258876800537</v>
      </c>
      <c r="Y25" s="2">
        <v>2.3827815055847168</v>
      </c>
      <c r="Z25" s="2">
        <v>2.3420348167419434</v>
      </c>
      <c r="AA25" s="2">
        <v>2.3940672874450684</v>
      </c>
      <c r="AB25" s="2">
        <v>2.7715959548950195</v>
      </c>
      <c r="AC25" s="2">
        <v>2.6910402774810791</v>
      </c>
      <c r="AD25" s="2">
        <v>2.7946202754974365</v>
      </c>
      <c r="AE25" s="2">
        <v>1.404610276222229</v>
      </c>
      <c r="AF25" s="2">
        <v>1.2056573629379272</v>
      </c>
      <c r="AG25" s="2">
        <v>1.5930484533309937</v>
      </c>
      <c r="AH25" s="2">
        <v>0.66593372821807861</v>
      </c>
      <c r="AI25" s="2">
        <v>0.52745449542999268</v>
      </c>
      <c r="AJ25" s="3">
        <f t="shared" si="7"/>
        <v>845459</v>
      </c>
      <c r="AK25" s="3">
        <v>324977</v>
      </c>
      <c r="AL25" s="3">
        <v>520482</v>
      </c>
      <c r="AM25" s="2">
        <v>2.3159056393561399</v>
      </c>
      <c r="AN25" s="2">
        <v>1.77002679074469</v>
      </c>
      <c r="AO25" s="2">
        <v>2.0209791687513698</v>
      </c>
      <c r="AP25" s="2">
        <v>1.4752184034090701</v>
      </c>
      <c r="AQ25" s="2">
        <v>2.55576526010675</v>
      </c>
      <c r="AR25" s="2">
        <v>2.0941536333140101</v>
      </c>
      <c r="AS25" s="3">
        <v>227844</v>
      </c>
      <c r="AT25" s="10">
        <v>2.9635300668151401</v>
      </c>
      <c r="AU25" s="10">
        <v>1.7728372922278</v>
      </c>
      <c r="AV25" s="6"/>
      <c r="AW25" s="7">
        <f t="shared" si="0"/>
        <v>0.62155808367459242</v>
      </c>
      <c r="AX25" s="7">
        <f t="shared" si="1"/>
        <v>0.37844191632540747</v>
      </c>
      <c r="AY25" s="7">
        <f t="shared" si="2"/>
        <v>0.25679924797186005</v>
      </c>
      <c r="AZ25" s="7">
        <f t="shared" si="3"/>
        <v>0.74320075202813995</v>
      </c>
      <c r="BA25" s="7">
        <v>3.9896150000000001</v>
      </c>
      <c r="BB25" s="7">
        <v>0.57770840000000001</v>
      </c>
      <c r="BC25" s="7">
        <v>0.42229159999999999</v>
      </c>
      <c r="BD25" s="7">
        <v>0.64724230000000005</v>
      </c>
      <c r="BE25" s="7">
        <v>0</v>
      </c>
      <c r="BF25" s="7">
        <v>2.420264</v>
      </c>
      <c r="BG25" s="7">
        <v>2.420264</v>
      </c>
      <c r="BH25" s="7">
        <v>1</v>
      </c>
      <c r="BI25" s="7">
        <v>0.83056479999999999</v>
      </c>
      <c r="BJ25" s="7">
        <v>0.23446810000000001</v>
      </c>
      <c r="BK25" s="7">
        <v>0.76553190000000004</v>
      </c>
      <c r="BL25" s="7">
        <v>0.29117480000000001</v>
      </c>
      <c r="BM25" s="7">
        <v>3.9300000000000004E-15</v>
      </c>
      <c r="BN25" s="7">
        <v>2.1834889999999998</v>
      </c>
      <c r="BO25" s="7">
        <v>2.1834880000000001</v>
      </c>
      <c r="BP25" s="7">
        <v>0.99999990000000005</v>
      </c>
      <c r="BQ25" s="7">
        <v>0.44890160000000001</v>
      </c>
      <c r="BR25" s="7">
        <v>0.24722169999999999</v>
      </c>
      <c r="BS25" s="7">
        <v>0.75277830000000001</v>
      </c>
      <c r="BT25" s="7">
        <v>0.55497370000000001</v>
      </c>
      <c r="BU25" s="7">
        <v>0.69686530000000002</v>
      </c>
      <c r="BV25" s="7">
        <v>0.44306980000000001</v>
      </c>
      <c r="BW25" s="7">
        <v>1.8185549999999999</v>
      </c>
      <c r="BX25" s="7">
        <v>2.410485</v>
      </c>
      <c r="BY25" s="7">
        <v>1.3254950000000001</v>
      </c>
      <c r="BZ25" s="7">
        <v>0</v>
      </c>
      <c r="CA25" s="7">
        <v>0.62539429999999996</v>
      </c>
      <c r="CB25" s="7">
        <v>0.37460569999999999</v>
      </c>
      <c r="CC25" s="7">
        <v>0.26360430000000001</v>
      </c>
      <c r="CD25" s="7">
        <v>0.73639580000000004</v>
      </c>
      <c r="CE25" s="7">
        <v>3.3981629999999998</v>
      </c>
      <c r="CF25" s="7">
        <v>2.7351390000000002</v>
      </c>
      <c r="CG25" s="7">
        <v>1.9462820000000001</v>
      </c>
      <c r="CH25" s="7">
        <v>2.3396189999999999</v>
      </c>
      <c r="CI25" s="7">
        <v>1.341202</v>
      </c>
      <c r="CJ25" s="7">
        <v>1.137089</v>
      </c>
      <c r="CK25" s="7">
        <v>0.84781340000000005</v>
      </c>
      <c r="CL25" s="7">
        <v>0.99865250000000005</v>
      </c>
      <c r="CM25" s="7">
        <v>0.56350199999999995</v>
      </c>
      <c r="CN25" s="7">
        <v>0.60514999999999997</v>
      </c>
      <c r="CO25" s="7">
        <v>0.53786230000000002</v>
      </c>
      <c r="CP25" s="7">
        <v>-3.2184000000000002E-3</v>
      </c>
      <c r="CQ25" s="7">
        <v>-1.36314E-2</v>
      </c>
      <c r="CR25" s="7">
        <v>1.3320000000000001E-4</v>
      </c>
      <c r="CS25" s="7">
        <v>1.2609140000000001</v>
      </c>
      <c r="CT25" s="7">
        <v>1.3675255367757002</v>
      </c>
      <c r="CU25" s="7">
        <v>1.1754408074838429</v>
      </c>
      <c r="CV25" s="7">
        <v>0.94028679999999998</v>
      </c>
      <c r="CW25" s="7">
        <v>1.2163470000000001</v>
      </c>
      <c r="CX25" s="7">
        <v>1.2260679999999999</v>
      </c>
      <c r="CY25" s="7">
        <v>1.2842987417028178</v>
      </c>
      <c r="CZ25" s="6"/>
      <c r="DI25" s="33"/>
      <c r="DJ25" s="11"/>
    </row>
    <row r="26" spans="1:114" customFormat="1" x14ac:dyDescent="0.3">
      <c r="A26" s="5">
        <v>1971</v>
      </c>
      <c r="B26" s="3">
        <v>207692</v>
      </c>
      <c r="C26" s="3">
        <v>1164850</v>
      </c>
      <c r="D26" s="12">
        <v>2.5136906365023801</v>
      </c>
      <c r="E26" s="2">
        <v>1.85646068790233</v>
      </c>
      <c r="F26" s="3">
        <v>699937</v>
      </c>
      <c r="G26" s="3">
        <v>196824</v>
      </c>
      <c r="H26" s="3">
        <v>208960</v>
      </c>
      <c r="I26" s="3">
        <v>58509</v>
      </c>
      <c r="J26" s="3">
        <v>621</v>
      </c>
      <c r="K26" s="3">
        <f t="shared" si="4"/>
        <v>1167804</v>
      </c>
      <c r="L26" s="3">
        <f t="shared" si="5"/>
        <v>383162.02</v>
      </c>
      <c r="M26" s="3">
        <f t="shared" si="6"/>
        <v>784641.98</v>
      </c>
      <c r="N26" s="10">
        <v>1.8910868167877197</v>
      </c>
      <c r="O26" s="10">
        <v>1.5550181865692139</v>
      </c>
      <c r="P26" s="10">
        <v>2.1375854015350342</v>
      </c>
      <c r="Q26" s="9">
        <v>150699.97</v>
      </c>
      <c r="R26" s="9">
        <v>232462.05</v>
      </c>
      <c r="S26" s="9">
        <v>96379.04</v>
      </c>
      <c r="T26" s="9">
        <v>688262.94</v>
      </c>
      <c r="U26" s="3">
        <v>642072.125</v>
      </c>
      <c r="V26" s="3">
        <v>247685.984375</v>
      </c>
      <c r="W26" s="3">
        <v>394386.15625</v>
      </c>
      <c r="X26" s="2">
        <v>0.57478636503219604</v>
      </c>
      <c r="Y26" s="2">
        <v>2.45906662940979</v>
      </c>
      <c r="Z26" s="2">
        <v>2.4110782146453857</v>
      </c>
      <c r="AA26" s="2">
        <v>2.4738080501556396</v>
      </c>
      <c r="AB26" s="2">
        <v>2.9007253646850586</v>
      </c>
      <c r="AC26" s="2">
        <v>2.8003273010253906</v>
      </c>
      <c r="AD26" s="2">
        <v>2.9310183525085449</v>
      </c>
      <c r="AE26" s="2">
        <v>1.4000799655914307</v>
      </c>
      <c r="AF26" s="2">
        <v>1.1783778667449951</v>
      </c>
      <c r="AG26" s="2">
        <v>1.6077616214752197</v>
      </c>
      <c r="AH26" s="2">
        <v>0.65996372699737549</v>
      </c>
      <c r="AI26" s="2">
        <v>0.53144842386245728</v>
      </c>
      <c r="AJ26" s="3">
        <f t="shared" si="7"/>
        <v>917774</v>
      </c>
      <c r="AK26" s="3">
        <v>350018</v>
      </c>
      <c r="AL26" s="3">
        <v>567756</v>
      </c>
      <c r="AM26" s="2">
        <v>2.3947128294381299</v>
      </c>
      <c r="AN26" s="2">
        <v>1.85818942675734</v>
      </c>
      <c r="AO26" s="2">
        <v>2.0826501010238201</v>
      </c>
      <c r="AP26" s="2">
        <v>1.5418410374356899</v>
      </c>
      <c r="AQ26" s="2">
        <v>2.6195010572237099</v>
      </c>
      <c r="AR26" s="2">
        <v>2.2287786654955002</v>
      </c>
      <c r="AS26" s="3">
        <v>247077</v>
      </c>
      <c r="AT26" s="10">
        <v>3.04871937639198</v>
      </c>
      <c r="AU26" s="10">
        <v>1.86876842916358</v>
      </c>
      <c r="AV26" s="6"/>
      <c r="AW26" s="7">
        <f t="shared" si="0"/>
        <v>0.60992623371770838</v>
      </c>
      <c r="AX26" s="7">
        <f t="shared" si="1"/>
        <v>0.39007376628229162</v>
      </c>
      <c r="AY26" s="7">
        <f t="shared" si="2"/>
        <v>0.25247718105272671</v>
      </c>
      <c r="AZ26" s="7">
        <f t="shared" si="3"/>
        <v>0.74752281894727324</v>
      </c>
      <c r="BA26" s="7">
        <v>4.2766729999999997</v>
      </c>
      <c r="BB26" s="7">
        <v>0.57169000000000003</v>
      </c>
      <c r="BC26" s="7">
        <v>0.42831000000000002</v>
      </c>
      <c r="BD26" s="7">
        <v>0.64724230000000005</v>
      </c>
      <c r="BE26" s="7">
        <v>0</v>
      </c>
      <c r="BF26" s="7">
        <v>2.5129700000000001</v>
      </c>
      <c r="BG26" s="7">
        <v>2.5129700000000001</v>
      </c>
      <c r="BH26" s="7">
        <v>1</v>
      </c>
      <c r="BI26" s="7">
        <v>0.83056479999999999</v>
      </c>
      <c r="BJ26" s="7">
        <v>0.23007730000000001</v>
      </c>
      <c r="BK26" s="7">
        <v>0.76992269999999996</v>
      </c>
      <c r="BL26" s="7">
        <v>0.29117480000000001</v>
      </c>
      <c r="BM26" s="7">
        <v>3.9300000000000004E-15</v>
      </c>
      <c r="BN26" s="7">
        <v>2.2480899999999999</v>
      </c>
      <c r="BO26" s="7">
        <v>2.2480899999999999</v>
      </c>
      <c r="BP26" s="7">
        <v>1</v>
      </c>
      <c r="BQ26" s="7">
        <v>0.44890160000000001</v>
      </c>
      <c r="BR26" s="7">
        <v>0.2415602</v>
      </c>
      <c r="BS26" s="7">
        <v>0.7584398</v>
      </c>
      <c r="BT26" s="7">
        <v>0.55497370000000001</v>
      </c>
      <c r="BU26" s="7">
        <v>0.69686530000000002</v>
      </c>
      <c r="BV26" s="7">
        <v>0.44306980000000001</v>
      </c>
      <c r="BW26" s="7">
        <v>1.8643940000000001</v>
      </c>
      <c r="BX26" s="7">
        <v>2.4862069999999998</v>
      </c>
      <c r="BY26" s="7">
        <v>1.33352</v>
      </c>
      <c r="BZ26" s="7">
        <v>0</v>
      </c>
      <c r="CA26" s="7">
        <v>0.61574209999999996</v>
      </c>
      <c r="CB26" s="7">
        <v>0.38425789999999999</v>
      </c>
      <c r="CC26" s="7">
        <v>0.25463829999999998</v>
      </c>
      <c r="CD26" s="7">
        <v>0.74536170000000002</v>
      </c>
      <c r="CE26" s="7">
        <v>3.4950739999999998</v>
      </c>
      <c r="CF26" s="7">
        <v>2.8830049999999998</v>
      </c>
      <c r="CG26" s="7">
        <v>2.007736</v>
      </c>
      <c r="CH26" s="7">
        <v>2.4090310000000001</v>
      </c>
      <c r="CI26" s="7">
        <v>1.3746370000000001</v>
      </c>
      <c r="CJ26" s="7">
        <v>1.143907</v>
      </c>
      <c r="CK26" s="7">
        <v>0.83215229999999996</v>
      </c>
      <c r="CL26" s="7">
        <v>0.99456250000000002</v>
      </c>
      <c r="CM26" s="7">
        <v>0.56350199999999995</v>
      </c>
      <c r="CN26" s="7">
        <v>0.60514999999999997</v>
      </c>
      <c r="CO26" s="7">
        <v>0.53786230000000002</v>
      </c>
      <c r="CP26" s="7">
        <v>1.34567E-2</v>
      </c>
      <c r="CQ26" s="7">
        <v>2.4573999999999999E-2</v>
      </c>
      <c r="CR26" s="7">
        <v>6.7837000000000001E-3</v>
      </c>
      <c r="CS26" s="7">
        <v>1.277997</v>
      </c>
      <c r="CT26" s="7">
        <v>1.4014897514838451</v>
      </c>
      <c r="CU26" s="7">
        <v>1.1834118869581645</v>
      </c>
      <c r="CV26" s="7">
        <v>0.93169069999999998</v>
      </c>
      <c r="CW26" s="7">
        <v>1.226667</v>
      </c>
      <c r="CX26" s="7">
        <v>1.240119</v>
      </c>
      <c r="CY26" s="7">
        <v>1.2987336303404251</v>
      </c>
      <c r="CZ26" s="6"/>
      <c r="DI26" s="33"/>
      <c r="DJ26" s="11"/>
    </row>
    <row r="27" spans="1:114" customFormat="1" x14ac:dyDescent="0.3">
      <c r="A27" s="5">
        <v>1972</v>
      </c>
      <c r="B27" s="3">
        <v>209924</v>
      </c>
      <c r="C27" s="3">
        <v>1279110</v>
      </c>
      <c r="D27" s="12">
        <v>2.6458389442499302</v>
      </c>
      <c r="E27" s="2">
        <v>1.9367433353200501</v>
      </c>
      <c r="F27" s="3">
        <v>768153</v>
      </c>
      <c r="G27" s="3">
        <v>228140</v>
      </c>
      <c r="H27" s="3">
        <v>225498</v>
      </c>
      <c r="I27" s="3">
        <v>60691</v>
      </c>
      <c r="J27" s="3">
        <v>-3372</v>
      </c>
      <c r="K27" s="3">
        <f t="shared" si="4"/>
        <v>1282507.99</v>
      </c>
      <c r="L27" s="3">
        <f t="shared" si="5"/>
        <v>422717</v>
      </c>
      <c r="M27" s="3">
        <f t="shared" si="6"/>
        <v>859790.99</v>
      </c>
      <c r="N27" s="10">
        <v>1.9750920534133911</v>
      </c>
      <c r="O27" s="10">
        <v>1.6121913194656372</v>
      </c>
      <c r="P27" s="10">
        <v>2.2408280372619629</v>
      </c>
      <c r="Q27" s="9">
        <v>170734.95</v>
      </c>
      <c r="R27" s="9">
        <v>251982.05</v>
      </c>
      <c r="S27" s="9">
        <v>108993.05</v>
      </c>
      <c r="T27" s="9">
        <v>750797.94</v>
      </c>
      <c r="U27" s="3">
        <v>709898.75</v>
      </c>
      <c r="V27" s="3">
        <v>274307.28125</v>
      </c>
      <c r="W27" s="3">
        <v>435591.4375</v>
      </c>
      <c r="X27" s="2">
        <v>0.56711232662200928</v>
      </c>
      <c r="Y27" s="2">
        <v>2.588883638381958</v>
      </c>
      <c r="Z27" s="2">
        <v>2.5701115131378174</v>
      </c>
      <c r="AA27" s="2">
        <v>2.5881478786468506</v>
      </c>
      <c r="AB27" s="2">
        <v>3.0204887390136719</v>
      </c>
      <c r="AC27" s="2">
        <v>2.8997070789337158</v>
      </c>
      <c r="AD27" s="2">
        <v>3.0582795143127441</v>
      </c>
      <c r="AE27" s="2">
        <v>1.4323701858520508</v>
      </c>
      <c r="AF27" s="2">
        <v>1.2160598039627075</v>
      </c>
      <c r="AG27" s="2">
        <v>1.635891318321228</v>
      </c>
      <c r="AH27" s="2">
        <v>0.65364360809326172</v>
      </c>
      <c r="AI27" s="2">
        <v>0.5235285758972168</v>
      </c>
      <c r="AJ27" s="3">
        <f t="shared" si="7"/>
        <v>999385</v>
      </c>
      <c r="AK27" s="3">
        <v>378574</v>
      </c>
      <c r="AL27" s="3">
        <v>620811</v>
      </c>
      <c r="AM27" s="2">
        <v>2.5040661575672898</v>
      </c>
      <c r="AN27" s="2">
        <v>1.9350652368469199</v>
      </c>
      <c r="AO27" s="2">
        <v>2.2105095556572598</v>
      </c>
      <c r="AP27" s="2">
        <v>1.57117268638407</v>
      </c>
      <c r="AQ27" s="2">
        <v>2.7134557062096198</v>
      </c>
      <c r="AR27" s="2">
        <v>2.3526669645320202</v>
      </c>
      <c r="AS27" s="3">
        <v>279724</v>
      </c>
      <c r="AT27" s="10">
        <v>3.2868875278396401</v>
      </c>
      <c r="AU27" s="10">
        <v>1.9623908331430699</v>
      </c>
      <c r="AV27" s="6"/>
      <c r="AW27" s="7">
        <f t="shared" si="0"/>
        <v>0.61036060029743189</v>
      </c>
      <c r="AX27" s="7">
        <f t="shared" si="1"/>
        <v>0.38963939970256822</v>
      </c>
      <c r="AY27" s="7">
        <f t="shared" si="2"/>
        <v>0.25128348442613019</v>
      </c>
      <c r="AZ27" s="7">
        <f t="shared" si="3"/>
        <v>0.74871651557386976</v>
      </c>
      <c r="BA27" s="7">
        <v>4.6141110000000003</v>
      </c>
      <c r="BB27" s="7">
        <v>0.56897929999999997</v>
      </c>
      <c r="BC27" s="7">
        <v>0.43102069999999998</v>
      </c>
      <c r="BD27" s="7">
        <v>0.64724230000000005</v>
      </c>
      <c r="BE27" s="7">
        <v>0</v>
      </c>
      <c r="BF27" s="7">
        <v>2.630671</v>
      </c>
      <c r="BG27" s="7">
        <v>2.630671</v>
      </c>
      <c r="BH27" s="7">
        <v>1</v>
      </c>
      <c r="BI27" s="7">
        <v>0.83056479999999999</v>
      </c>
      <c r="BJ27" s="7">
        <v>0.22812370000000001</v>
      </c>
      <c r="BK27" s="7">
        <v>0.77187629999999996</v>
      </c>
      <c r="BL27" s="7">
        <v>0.29117480000000001</v>
      </c>
      <c r="BM27" s="7">
        <v>3.9300000000000004E-15</v>
      </c>
      <c r="BN27" s="7">
        <v>2.3445170000000002</v>
      </c>
      <c r="BO27" s="7">
        <v>2.3445170000000002</v>
      </c>
      <c r="BP27" s="7">
        <v>1</v>
      </c>
      <c r="BQ27" s="7">
        <v>0.44890160000000001</v>
      </c>
      <c r="BR27" s="7">
        <v>0.2359077</v>
      </c>
      <c r="BS27" s="7">
        <v>0.76409229999999995</v>
      </c>
      <c r="BT27" s="7">
        <v>0.55497370000000001</v>
      </c>
      <c r="BU27" s="7">
        <v>0.69686530000000002</v>
      </c>
      <c r="BV27" s="7">
        <v>0.44306980000000001</v>
      </c>
      <c r="BW27" s="7">
        <v>1.9151279999999999</v>
      </c>
      <c r="BX27" s="7">
        <v>2.6055609999999998</v>
      </c>
      <c r="BY27" s="7">
        <v>1.3605160000000001</v>
      </c>
      <c r="BZ27" s="7">
        <v>0</v>
      </c>
      <c r="CA27" s="7">
        <v>0.61014480000000004</v>
      </c>
      <c r="CB27" s="7">
        <v>0.38985520000000001</v>
      </c>
      <c r="CC27" s="7">
        <v>0.2518801</v>
      </c>
      <c r="CD27" s="7">
        <v>0.7481198</v>
      </c>
      <c r="CE27" s="7">
        <v>3.8192879999999998</v>
      </c>
      <c r="CF27" s="7">
        <v>3.1100910000000002</v>
      </c>
      <c r="CG27" s="7">
        <v>2.1017980000000001</v>
      </c>
      <c r="CH27" s="7">
        <v>2.5100069999999999</v>
      </c>
      <c r="CI27" s="7">
        <v>1.3899269999999999</v>
      </c>
      <c r="CJ27" s="7">
        <v>1.1418759999999999</v>
      </c>
      <c r="CK27" s="7">
        <v>0.82153670000000001</v>
      </c>
      <c r="CL27" s="7">
        <v>0.98618919999999999</v>
      </c>
      <c r="CM27" s="7">
        <v>0.56350199999999995</v>
      </c>
      <c r="CN27" s="7">
        <v>0.60514999999999997</v>
      </c>
      <c r="CO27" s="7">
        <v>0.53786230000000002</v>
      </c>
      <c r="CP27" s="7">
        <v>2.09366E-2</v>
      </c>
      <c r="CQ27" s="7">
        <v>3.0915600000000001E-2</v>
      </c>
      <c r="CR27" s="7">
        <v>1.68577E-2</v>
      </c>
      <c r="CS27" s="7">
        <v>1.3050349999999999</v>
      </c>
      <c r="CT27" s="7">
        <v>1.4454911771826973</v>
      </c>
      <c r="CU27" s="7">
        <v>1.2035106756992351</v>
      </c>
      <c r="CV27" s="7">
        <v>0.9237805</v>
      </c>
      <c r="CW27" s="7">
        <v>1.247512</v>
      </c>
      <c r="CX27" s="7">
        <v>1.2657510000000001</v>
      </c>
      <c r="CY27" s="7">
        <v>1.3174240380486943</v>
      </c>
      <c r="CZ27" s="6"/>
      <c r="DI27" s="33"/>
      <c r="DJ27" s="11"/>
    </row>
    <row r="28" spans="1:114" customFormat="1" x14ac:dyDescent="0.3">
      <c r="A28" s="5">
        <v>1973</v>
      </c>
      <c r="B28" s="3">
        <v>211939</v>
      </c>
      <c r="C28" s="3">
        <v>1425376</v>
      </c>
      <c r="D28" s="12">
        <v>2.7952239877906502</v>
      </c>
      <c r="E28" s="2">
        <v>2.04286848113605</v>
      </c>
      <c r="F28" s="3">
        <v>849575</v>
      </c>
      <c r="G28" s="3">
        <v>266925</v>
      </c>
      <c r="H28" s="3">
        <v>239125</v>
      </c>
      <c r="I28" s="3">
        <v>65640</v>
      </c>
      <c r="J28" s="3">
        <v>4111</v>
      </c>
      <c r="K28" s="3">
        <f t="shared" si="4"/>
        <v>1428553</v>
      </c>
      <c r="L28" s="3">
        <f t="shared" si="5"/>
        <v>483712.02</v>
      </c>
      <c r="M28" s="3">
        <f t="shared" si="6"/>
        <v>944840.98</v>
      </c>
      <c r="N28" s="10">
        <v>2.0898294448852539</v>
      </c>
      <c r="O28" s="10">
        <v>1.7446310520172119</v>
      </c>
      <c r="P28" s="10">
        <v>2.3435981273651123</v>
      </c>
      <c r="Q28" s="9">
        <v>194389.02</v>
      </c>
      <c r="R28" s="9">
        <v>289323</v>
      </c>
      <c r="S28" s="9">
        <v>122301.98</v>
      </c>
      <c r="T28" s="9">
        <v>822539</v>
      </c>
      <c r="U28" s="3">
        <v>795746.8125</v>
      </c>
      <c r="V28" s="3">
        <v>314278.875</v>
      </c>
      <c r="W28" s="3">
        <v>481467.90625</v>
      </c>
      <c r="X28" s="2">
        <v>0.57074528932571411</v>
      </c>
      <c r="Y28" s="2">
        <v>2.722813606262207</v>
      </c>
      <c r="Z28" s="2">
        <v>2.7225549221038818</v>
      </c>
      <c r="AA28" s="2">
        <v>2.7119474411010742</v>
      </c>
      <c r="AB28" s="2">
        <v>3.1526923179626465</v>
      </c>
      <c r="AC28" s="2">
        <v>3.0202271938323975</v>
      </c>
      <c r="AD28" s="2">
        <v>3.1946957111358643</v>
      </c>
      <c r="AE28" s="2">
        <v>1.4917737245559692</v>
      </c>
      <c r="AF28" s="2">
        <v>1.281403660774231</v>
      </c>
      <c r="AG28" s="2">
        <v>1.6909971237182617</v>
      </c>
      <c r="AH28" s="2">
        <v>0.65415537357330322</v>
      </c>
      <c r="AI28" s="2">
        <v>0.52762705087661743</v>
      </c>
      <c r="AJ28" s="3">
        <f t="shared" si="7"/>
        <v>1108687</v>
      </c>
      <c r="AK28" s="3">
        <v>436441</v>
      </c>
      <c r="AL28" s="3">
        <v>672246</v>
      </c>
      <c r="AM28" s="2">
        <v>2.6354636564831799</v>
      </c>
      <c r="AN28" s="2">
        <v>2.0396726091901898</v>
      </c>
      <c r="AO28" s="2">
        <v>2.3818794530729801</v>
      </c>
      <c r="AP28" s="2">
        <v>1.6810138728936601</v>
      </c>
      <c r="AQ28" s="2">
        <v>2.7903441992943399</v>
      </c>
      <c r="AR28" s="2">
        <v>2.4773891762273998</v>
      </c>
      <c r="AS28" s="3">
        <v>316688</v>
      </c>
      <c r="AT28" s="10">
        <v>3.5192093541202598</v>
      </c>
      <c r="AU28" s="10">
        <v>2.0750431108685299</v>
      </c>
      <c r="AV28" s="6"/>
      <c r="AW28" s="7">
        <f t="shared" si="0"/>
        <v>0.61381289648269133</v>
      </c>
      <c r="AX28" s="7">
        <f t="shared" si="1"/>
        <v>0.38618710351730867</v>
      </c>
      <c r="AY28" s="7">
        <f t="shared" si="2"/>
        <v>0.26021484680652812</v>
      </c>
      <c r="AZ28" s="7">
        <f t="shared" si="3"/>
        <v>0.73978515319347182</v>
      </c>
      <c r="BA28" s="7">
        <v>5.0604120000000004</v>
      </c>
      <c r="BB28" s="7">
        <v>0.57732329999999998</v>
      </c>
      <c r="BC28" s="7">
        <v>0.42267670000000002</v>
      </c>
      <c r="BD28" s="7">
        <v>0.64724230000000005</v>
      </c>
      <c r="BE28" s="7">
        <v>0</v>
      </c>
      <c r="BF28" s="7">
        <v>2.7311700000000001</v>
      </c>
      <c r="BG28" s="7">
        <v>2.7311700000000001</v>
      </c>
      <c r="BH28" s="7">
        <v>1</v>
      </c>
      <c r="BI28" s="7">
        <v>0.83056479999999999</v>
      </c>
      <c r="BJ28" s="7">
        <v>0.234185</v>
      </c>
      <c r="BK28" s="7">
        <v>0.76581500000000002</v>
      </c>
      <c r="BL28" s="7">
        <v>0.29117480000000001</v>
      </c>
      <c r="BM28" s="7">
        <v>3.9300000000000004E-15</v>
      </c>
      <c r="BN28" s="7">
        <v>2.4626450000000002</v>
      </c>
      <c r="BO28" s="7">
        <v>2.4626440000000001</v>
      </c>
      <c r="BP28" s="7">
        <v>0.99999990000000005</v>
      </c>
      <c r="BQ28" s="7">
        <v>0.44890160000000001</v>
      </c>
      <c r="BR28" s="7">
        <v>0.23529839999999999</v>
      </c>
      <c r="BS28" s="7">
        <v>0.76470150000000003</v>
      </c>
      <c r="BT28" s="7">
        <v>0.55497370000000001</v>
      </c>
      <c r="BU28" s="7">
        <v>0.69686530000000002</v>
      </c>
      <c r="BV28" s="7">
        <v>0.44306980000000001</v>
      </c>
      <c r="BW28" s="7">
        <v>1.954494</v>
      </c>
      <c r="BX28" s="7">
        <v>2.7607020000000002</v>
      </c>
      <c r="BY28" s="7">
        <v>1.41249</v>
      </c>
      <c r="BZ28" s="7">
        <v>0</v>
      </c>
      <c r="CA28" s="7">
        <v>0.61208739999999995</v>
      </c>
      <c r="CB28" s="7">
        <v>0.3879127</v>
      </c>
      <c r="CC28" s="7">
        <v>0.2557489</v>
      </c>
      <c r="CD28" s="7">
        <v>0.74425110000000005</v>
      </c>
      <c r="CE28" s="7">
        <v>4.0183249999999999</v>
      </c>
      <c r="CF28" s="7">
        <v>3.336859</v>
      </c>
      <c r="CG28" s="7">
        <v>2.2269950000000001</v>
      </c>
      <c r="CH28" s="7">
        <v>2.6256390000000001</v>
      </c>
      <c r="CI28" s="7">
        <v>1.3433200000000001</v>
      </c>
      <c r="CJ28" s="7">
        <v>1.1294550000000001</v>
      </c>
      <c r="CK28" s="7">
        <v>0.84079400000000004</v>
      </c>
      <c r="CL28" s="7">
        <v>0.98312319999999997</v>
      </c>
      <c r="CM28" s="7">
        <v>0.56350199999999995</v>
      </c>
      <c r="CN28" s="7">
        <v>0.60514999999999997</v>
      </c>
      <c r="CO28" s="7">
        <v>0.53786230000000002</v>
      </c>
      <c r="CP28" s="7">
        <v>8.8421999999999997E-3</v>
      </c>
      <c r="CQ28" s="7">
        <v>1.0352500000000001E-2</v>
      </c>
      <c r="CR28" s="7">
        <v>9.0069E-3</v>
      </c>
      <c r="CS28" s="7">
        <v>1.3166260000000001</v>
      </c>
      <c r="CT28" s="7">
        <v>1.4605444538200629</v>
      </c>
      <c r="CU28" s="7">
        <v>1.2143911093771234</v>
      </c>
      <c r="CV28" s="7">
        <v>0.93300810000000001</v>
      </c>
      <c r="CW28" s="7">
        <v>1.2724070000000001</v>
      </c>
      <c r="CX28" s="7">
        <v>1.277641</v>
      </c>
      <c r="CY28" s="7">
        <v>1.3312338245423465</v>
      </c>
      <c r="CZ28" s="6"/>
      <c r="DI28" s="33"/>
      <c r="DJ28" s="11"/>
    </row>
    <row r="29" spans="1:114" customFormat="1" x14ac:dyDescent="0.3">
      <c r="A29" s="5">
        <v>1974</v>
      </c>
      <c r="B29" s="3">
        <v>213898</v>
      </c>
      <c r="C29" s="3">
        <v>1545243</v>
      </c>
      <c r="D29" s="12">
        <v>2.78005206930604</v>
      </c>
      <c r="E29" s="2">
        <v>2.2267498679308302</v>
      </c>
      <c r="F29" s="3">
        <v>930161</v>
      </c>
      <c r="G29" s="3">
        <v>274526</v>
      </c>
      <c r="H29" s="3">
        <v>265205</v>
      </c>
      <c r="I29" s="3">
        <v>76166</v>
      </c>
      <c r="J29" s="3">
        <v>-815</v>
      </c>
      <c r="K29" s="3">
        <f t="shared" si="4"/>
        <v>1548858.03</v>
      </c>
      <c r="L29" s="3">
        <f t="shared" si="5"/>
        <v>514992.99</v>
      </c>
      <c r="M29" s="3">
        <f t="shared" si="6"/>
        <v>1033865.04</v>
      </c>
      <c r="N29" s="10">
        <v>2.2835109233856201</v>
      </c>
      <c r="O29" s="10">
        <v>1.9699662923812866</v>
      </c>
      <c r="P29" s="10">
        <v>2.5173575878143311</v>
      </c>
      <c r="Q29" s="9">
        <v>206592.83</v>
      </c>
      <c r="R29" s="9">
        <v>308400.15999999997</v>
      </c>
      <c r="S29" s="9">
        <v>130111.16</v>
      </c>
      <c r="T29" s="9">
        <v>903753.88</v>
      </c>
      <c r="U29" s="3">
        <v>839624.3125</v>
      </c>
      <c r="V29" s="3">
        <v>328322.8125</v>
      </c>
      <c r="W29" s="3">
        <v>511301.53125</v>
      </c>
      <c r="X29" s="2">
        <v>0.56495797634124756</v>
      </c>
      <c r="Y29" s="2">
        <v>2.7034358978271484</v>
      </c>
      <c r="Z29" s="2">
        <v>2.5641734600067139</v>
      </c>
      <c r="AA29" s="2">
        <v>2.767728328704834</v>
      </c>
      <c r="AB29" s="2">
        <v>3.2913753986358643</v>
      </c>
      <c r="AC29" s="2">
        <v>3.1576354503631592</v>
      </c>
      <c r="AD29" s="2">
        <v>3.3333835601806641</v>
      </c>
      <c r="AE29" s="2">
        <v>1.4881918430328369</v>
      </c>
      <c r="AF29" s="2">
        <v>1.2593812942504883</v>
      </c>
      <c r="AG29" s="2">
        <v>1.7033238410949707</v>
      </c>
      <c r="AH29" s="2">
        <v>0.64820319414138794</v>
      </c>
      <c r="AI29" s="2">
        <v>0.52160453796386719</v>
      </c>
      <c r="AJ29" s="3">
        <f t="shared" si="7"/>
        <v>1208541</v>
      </c>
      <c r="AK29" s="3">
        <v>464502</v>
      </c>
      <c r="AL29" s="3">
        <v>744039</v>
      </c>
      <c r="AM29" s="2">
        <v>2.6466765648600798</v>
      </c>
      <c r="AN29" s="2">
        <v>2.2139543665271302</v>
      </c>
      <c r="AO29" s="2">
        <v>2.3473314776399001</v>
      </c>
      <c r="AP29" s="2">
        <v>1.8154266187591599</v>
      </c>
      <c r="AQ29" s="2">
        <v>2.85087390047152</v>
      </c>
      <c r="AR29" s="2">
        <v>2.6837464303102498</v>
      </c>
      <c r="AS29" s="3">
        <v>336702</v>
      </c>
      <c r="AT29" s="10">
        <v>3.3819599109131402</v>
      </c>
      <c r="AU29" s="10">
        <v>2.2957144131305101</v>
      </c>
      <c r="AV29" s="6"/>
      <c r="AW29" s="7">
        <f t="shared" si="0"/>
        <v>0.61357404763751089</v>
      </c>
      <c r="AX29" s="7">
        <f t="shared" si="1"/>
        <v>0.38642595236248911</v>
      </c>
      <c r="AY29" s="7">
        <f t="shared" si="2"/>
        <v>0.25442324145535161</v>
      </c>
      <c r="AZ29" s="7">
        <f t="shared" si="3"/>
        <v>0.74557675854464833</v>
      </c>
      <c r="BA29" s="7">
        <v>5.471902</v>
      </c>
      <c r="BB29" s="7">
        <v>0.58946299999999996</v>
      </c>
      <c r="BC29" s="7">
        <v>0.41053699999999999</v>
      </c>
      <c r="BD29" s="7">
        <v>0.64724230000000005</v>
      </c>
      <c r="BE29" s="7">
        <v>0</v>
      </c>
      <c r="BF29" s="7">
        <v>2.6951269999999998</v>
      </c>
      <c r="BG29" s="7">
        <v>2.6951269999999998</v>
      </c>
      <c r="BH29" s="7">
        <v>1</v>
      </c>
      <c r="BI29" s="7">
        <v>0.83056479999999999</v>
      </c>
      <c r="BJ29" s="7">
        <v>0.2432619</v>
      </c>
      <c r="BK29" s="7">
        <v>0.75673809999999997</v>
      </c>
      <c r="BL29" s="7">
        <v>0.29117480000000001</v>
      </c>
      <c r="BM29" s="7">
        <v>3.9300000000000004E-15</v>
      </c>
      <c r="BN29" s="7">
        <v>2.47235</v>
      </c>
      <c r="BO29" s="7">
        <v>2.47235</v>
      </c>
      <c r="BP29" s="7">
        <v>1</v>
      </c>
      <c r="BQ29" s="7">
        <v>0.44890160000000001</v>
      </c>
      <c r="BR29" s="7">
        <v>0.2427349</v>
      </c>
      <c r="BS29" s="7">
        <v>0.75726510000000002</v>
      </c>
      <c r="BT29" s="7">
        <v>0.55497370000000001</v>
      </c>
      <c r="BU29" s="7">
        <v>0.69686530000000002</v>
      </c>
      <c r="BV29" s="7">
        <v>0.44306980000000001</v>
      </c>
      <c r="BW29" s="7">
        <v>1.94868</v>
      </c>
      <c r="BX29" s="7">
        <v>2.7775509999999999</v>
      </c>
      <c r="BY29" s="7">
        <v>1.4253499999999999</v>
      </c>
      <c r="BZ29" s="7">
        <v>0</v>
      </c>
      <c r="CA29" s="7">
        <v>0.61369379999999996</v>
      </c>
      <c r="CB29" s="7">
        <v>0.38630619999999999</v>
      </c>
      <c r="CC29" s="7">
        <v>0.25731890000000002</v>
      </c>
      <c r="CD29" s="7">
        <v>0.74268109999999998</v>
      </c>
      <c r="CE29" s="7">
        <v>3.782127</v>
      </c>
      <c r="CF29" s="7">
        <v>3.304888</v>
      </c>
      <c r="CG29" s="7">
        <v>2.104441</v>
      </c>
      <c r="CH29" s="7">
        <v>2.6884890000000001</v>
      </c>
      <c r="CI29" s="7">
        <v>1.277868</v>
      </c>
      <c r="CJ29" s="7">
        <v>1.096568</v>
      </c>
      <c r="CK29" s="7">
        <v>0.85812250000000001</v>
      </c>
      <c r="CL29" s="7">
        <v>0.9645011</v>
      </c>
      <c r="CM29" s="7">
        <v>0.56350199999999995</v>
      </c>
      <c r="CN29" s="7">
        <v>0.60514999999999997</v>
      </c>
      <c r="CO29" s="7">
        <v>0.53786230000000002</v>
      </c>
      <c r="CP29" s="7">
        <v>-2.4578300000000001E-2</v>
      </c>
      <c r="CQ29" s="7">
        <v>-6.9586400000000007E-2</v>
      </c>
      <c r="CR29" s="7">
        <v>-2.2823000000000001E-3</v>
      </c>
      <c r="CS29" s="7">
        <v>1.2846599999999999</v>
      </c>
      <c r="CT29" s="7">
        <v>1.3623107603809068</v>
      </c>
      <c r="CU29" s="7">
        <v>1.2115946006270102</v>
      </c>
      <c r="CV29" s="7">
        <v>0.93403879999999995</v>
      </c>
      <c r="CW29" s="7">
        <v>1.219622</v>
      </c>
      <c r="CX29" s="7">
        <v>1.2525299999999999</v>
      </c>
      <c r="CY29" s="7">
        <v>1.2820162593951665</v>
      </c>
      <c r="CZ29" s="6"/>
      <c r="DI29" s="33"/>
      <c r="DJ29" s="11"/>
    </row>
    <row r="30" spans="1:114" customFormat="1" x14ac:dyDescent="0.3">
      <c r="A30" s="5">
        <v>1975</v>
      </c>
      <c r="B30" s="3">
        <v>215981</v>
      </c>
      <c r="C30" s="3">
        <v>1684904</v>
      </c>
      <c r="D30" s="12">
        <v>2.7743962653739098</v>
      </c>
      <c r="E30" s="2">
        <v>2.4329559766317201</v>
      </c>
      <c r="F30" s="3">
        <v>1030547</v>
      </c>
      <c r="G30" s="3">
        <v>257253</v>
      </c>
      <c r="H30" s="3">
        <v>296725</v>
      </c>
      <c r="I30" s="3">
        <v>84403</v>
      </c>
      <c r="J30" s="3">
        <v>15977</v>
      </c>
      <c r="K30" s="3">
        <f t="shared" si="4"/>
        <v>1688951.97</v>
      </c>
      <c r="L30" s="3">
        <f t="shared" si="5"/>
        <v>550303</v>
      </c>
      <c r="M30" s="3">
        <f t="shared" si="6"/>
        <v>1138648.97</v>
      </c>
      <c r="N30" s="10">
        <v>2.488713264465332</v>
      </c>
      <c r="O30" s="10">
        <v>2.2042195796966553</v>
      </c>
      <c r="P30" s="10">
        <v>2.7072834968566895</v>
      </c>
      <c r="Q30" s="9">
        <v>210504.97</v>
      </c>
      <c r="R30" s="9">
        <v>339798.03</v>
      </c>
      <c r="S30" s="9">
        <v>137405.03</v>
      </c>
      <c r="T30" s="9">
        <v>1001243.94</v>
      </c>
      <c r="U30" s="3">
        <v>911870.0625</v>
      </c>
      <c r="V30" s="3">
        <v>342504.875</v>
      </c>
      <c r="W30" s="3">
        <v>569365.1875</v>
      </c>
      <c r="X30" s="2">
        <v>0.55705857276916504</v>
      </c>
      <c r="Y30" s="2">
        <v>2.6943776607513428</v>
      </c>
      <c r="Z30" s="2">
        <v>2.444838285446167</v>
      </c>
      <c r="AA30" s="2">
        <v>2.8210113048553467</v>
      </c>
      <c r="AB30" s="2">
        <v>3.4009368419647217</v>
      </c>
      <c r="AC30" s="2">
        <v>3.2862989902496338</v>
      </c>
      <c r="AD30" s="2">
        <v>3.4348804950714111</v>
      </c>
      <c r="AE30" s="2">
        <v>1.4485042095184326</v>
      </c>
      <c r="AF30" s="2">
        <v>1.1641682386398315</v>
      </c>
      <c r="AG30" s="2">
        <v>1.7119184732437134</v>
      </c>
      <c r="AH30" s="2">
        <v>0.63530838489532471</v>
      </c>
      <c r="AI30" s="2">
        <v>0.51739805936813354</v>
      </c>
      <c r="AJ30" s="3">
        <f t="shared" si="7"/>
        <v>1336992</v>
      </c>
      <c r="AK30" s="3">
        <v>498568</v>
      </c>
      <c r="AL30" s="3">
        <v>838424</v>
      </c>
      <c r="AM30" s="2">
        <v>2.6943440493317299</v>
      </c>
      <c r="AN30" s="2">
        <v>2.4059350868918501</v>
      </c>
      <c r="AO30" s="2">
        <v>2.4204028092843299</v>
      </c>
      <c r="AP30" s="2">
        <v>1.8897409991744301</v>
      </c>
      <c r="AQ30" s="2">
        <v>2.9536463583685499</v>
      </c>
      <c r="AR30" s="2">
        <v>2.9189657101101698</v>
      </c>
      <c r="AS30" s="3">
        <v>347912</v>
      </c>
      <c r="AT30" s="10">
        <v>3.13488307349665</v>
      </c>
      <c r="AU30" s="10">
        <v>2.5591083953447402</v>
      </c>
      <c r="AV30" s="6"/>
      <c r="AW30" s="7">
        <f t="shared" si="0"/>
        <v>0.60505581903365813</v>
      </c>
      <c r="AX30" s="7">
        <f t="shared" si="1"/>
        <v>0.39494418096634187</v>
      </c>
      <c r="AY30" s="7">
        <f t="shared" si="2"/>
        <v>0.25338359096993812</v>
      </c>
      <c r="AZ30" s="7">
        <f t="shared" si="3"/>
        <v>0.74661640903006188</v>
      </c>
      <c r="BA30" s="7">
        <v>5.9688129999999999</v>
      </c>
      <c r="BB30" s="7">
        <v>0.59901610000000005</v>
      </c>
      <c r="BC30" s="7">
        <v>0.4009839</v>
      </c>
      <c r="BD30" s="7">
        <v>0.64724230000000005</v>
      </c>
      <c r="BE30" s="7">
        <v>0</v>
      </c>
      <c r="BF30" s="7">
        <v>2.6960229999999998</v>
      </c>
      <c r="BG30" s="7">
        <v>2.6960229999999998</v>
      </c>
      <c r="BH30" s="7">
        <v>1</v>
      </c>
      <c r="BI30" s="7">
        <v>0.83056479999999999</v>
      </c>
      <c r="BJ30" s="7">
        <v>0.25062960000000001</v>
      </c>
      <c r="BK30" s="7">
        <v>0.74937039999999999</v>
      </c>
      <c r="BL30" s="7">
        <v>0.29117480000000001</v>
      </c>
      <c r="BM30" s="7">
        <v>3.9300000000000004E-15</v>
      </c>
      <c r="BN30" s="7">
        <v>2.5074399999999999</v>
      </c>
      <c r="BO30" s="7">
        <v>2.5074399999999999</v>
      </c>
      <c r="BP30" s="7">
        <v>1</v>
      </c>
      <c r="BQ30" s="7">
        <v>0.44890160000000001</v>
      </c>
      <c r="BR30" s="7">
        <v>0.2475735</v>
      </c>
      <c r="BS30" s="7">
        <v>0.75242640000000005</v>
      </c>
      <c r="BT30" s="7">
        <v>0.55497370000000001</v>
      </c>
      <c r="BU30" s="7">
        <v>0.69686530000000002</v>
      </c>
      <c r="BV30" s="7">
        <v>0.44306980000000001</v>
      </c>
      <c r="BW30" s="7">
        <v>1.9564779999999999</v>
      </c>
      <c r="BX30" s="7">
        <v>2.826492</v>
      </c>
      <c r="BY30" s="7">
        <v>1.4446840000000001</v>
      </c>
      <c r="BZ30" s="7">
        <v>0</v>
      </c>
      <c r="CA30" s="7">
        <v>0.6093153</v>
      </c>
      <c r="CB30" s="7">
        <v>0.3906848</v>
      </c>
      <c r="CC30" s="7">
        <v>0.2539034</v>
      </c>
      <c r="CD30" s="7">
        <v>0.7460966</v>
      </c>
      <c r="CE30" s="7">
        <v>3.4442210000000002</v>
      </c>
      <c r="CF30" s="7">
        <v>3.2453609999999999</v>
      </c>
      <c r="CG30" s="7">
        <v>2.0631080000000002</v>
      </c>
      <c r="CH30" s="7">
        <v>2.7572920000000001</v>
      </c>
      <c r="CI30" s="7">
        <v>1.2282280000000001</v>
      </c>
      <c r="CJ30" s="7">
        <v>1.0579529999999999</v>
      </c>
      <c r="CK30" s="7">
        <v>0.86136590000000002</v>
      </c>
      <c r="CL30" s="7">
        <v>0.94033409999999995</v>
      </c>
      <c r="CM30" s="7">
        <v>0.56350199999999995</v>
      </c>
      <c r="CN30" s="7">
        <v>0.60514999999999997</v>
      </c>
      <c r="CO30" s="7">
        <v>0.53786230000000002</v>
      </c>
      <c r="CP30" s="7">
        <v>-2.4179000000000002E-3</v>
      </c>
      <c r="CQ30" s="7">
        <v>-2.0791299999999999E-2</v>
      </c>
      <c r="CR30" s="7">
        <v>3.1399000000000002E-3</v>
      </c>
      <c r="CS30" s="7">
        <v>1.281558</v>
      </c>
      <c r="CT30" s="7">
        <v>1.334175159539716</v>
      </c>
      <c r="CU30" s="7">
        <v>1.215385021448911</v>
      </c>
      <c r="CV30" s="7">
        <v>0.92316759999999998</v>
      </c>
      <c r="CW30" s="7">
        <v>1.1913279999999999</v>
      </c>
      <c r="CX30" s="7">
        <v>1.2483789999999999</v>
      </c>
      <c r="CY30" s="7">
        <v>1.2552172680792419</v>
      </c>
      <c r="CZ30" s="6"/>
      <c r="DI30" s="33"/>
      <c r="DJ30" s="11"/>
    </row>
    <row r="31" spans="1:114" customFormat="1" x14ac:dyDescent="0.3">
      <c r="A31" s="5">
        <v>1976</v>
      </c>
      <c r="B31" s="3">
        <v>218086</v>
      </c>
      <c r="C31" s="3">
        <v>1873412</v>
      </c>
      <c r="D31" s="12">
        <v>2.92387108358021</v>
      </c>
      <c r="E31" s="2">
        <v>2.5668628115674901</v>
      </c>
      <c r="F31" s="3">
        <v>1147666</v>
      </c>
      <c r="G31" s="3">
        <v>323224</v>
      </c>
      <c r="H31" s="3">
        <v>314508</v>
      </c>
      <c r="I31" s="3">
        <v>89645</v>
      </c>
      <c r="J31" s="3">
        <v>-1631</v>
      </c>
      <c r="K31" s="3">
        <f t="shared" si="4"/>
        <v>1877616.03</v>
      </c>
      <c r="L31" s="3">
        <f t="shared" si="5"/>
        <v>618265.01</v>
      </c>
      <c r="M31" s="3">
        <f t="shared" si="6"/>
        <v>1259351.02</v>
      </c>
      <c r="N31" s="10">
        <v>2.6396589279174805</v>
      </c>
      <c r="O31" s="10">
        <v>2.3098785877227783</v>
      </c>
      <c r="P31" s="10">
        <v>2.8889338970184326</v>
      </c>
      <c r="Q31" s="9">
        <v>240986.98</v>
      </c>
      <c r="R31" s="9">
        <v>377278.03</v>
      </c>
      <c r="S31" s="9">
        <v>154763.01999999999</v>
      </c>
      <c r="T31" s="9">
        <v>1104588</v>
      </c>
      <c r="U31" s="3">
        <v>1030431.75</v>
      </c>
      <c r="V31" s="3">
        <v>388488.5625</v>
      </c>
      <c r="W31" s="3">
        <v>641943.1875</v>
      </c>
      <c r="X31" s="2">
        <v>0.56077021360397339</v>
      </c>
      <c r="Y31" s="2">
        <v>2.8324153423309326</v>
      </c>
      <c r="Z31" s="2">
        <v>2.6209979057312012</v>
      </c>
      <c r="AA31" s="2">
        <v>2.9364693164825439</v>
      </c>
      <c r="AB31" s="2">
        <v>3.4965701103210449</v>
      </c>
      <c r="AC31" s="2">
        <v>3.4023220539093018</v>
      </c>
      <c r="AD31" s="2">
        <v>3.5218832492828369</v>
      </c>
      <c r="AE31" s="2">
        <v>1.4901098012924194</v>
      </c>
      <c r="AF31" s="2">
        <v>1.2079548835754395</v>
      </c>
      <c r="AG31" s="2">
        <v>1.751971960067749</v>
      </c>
      <c r="AH31" s="2">
        <v>0.63121324777603149</v>
      </c>
      <c r="AI31" s="2">
        <v>0.52539479732513428</v>
      </c>
      <c r="AJ31" s="3">
        <f t="shared" si="7"/>
        <v>1477659</v>
      </c>
      <c r="AK31" s="3">
        <v>560273</v>
      </c>
      <c r="AL31" s="3">
        <v>917386</v>
      </c>
      <c r="AM31" s="2">
        <v>2.8209855878968102</v>
      </c>
      <c r="AN31" s="2">
        <v>2.53969293272741</v>
      </c>
      <c r="AO31" s="2">
        <v>2.5062652872306299</v>
      </c>
      <c r="AP31" s="2">
        <v>2.0508702649551398</v>
      </c>
      <c r="AQ31" s="2">
        <v>3.0305457941927401</v>
      </c>
      <c r="AR31" s="2">
        <v>3.1128274293345699</v>
      </c>
      <c r="AS31" s="3">
        <v>395754</v>
      </c>
      <c r="AT31" s="10">
        <v>3.3866926503340702</v>
      </c>
      <c r="AU31" s="10">
        <v>2.6945742040441298</v>
      </c>
      <c r="AV31" s="6"/>
      <c r="AW31" s="7">
        <f t="shared" si="0"/>
        <v>0.60893740998104862</v>
      </c>
      <c r="AX31" s="7">
        <f t="shared" si="1"/>
        <v>0.39106259001895133</v>
      </c>
      <c r="AY31" s="7">
        <f t="shared" si="2"/>
        <v>0.25459658455089901</v>
      </c>
      <c r="AZ31" s="7">
        <f t="shared" si="3"/>
        <v>0.74540341544910105</v>
      </c>
      <c r="BA31" s="7">
        <v>6.5550100000000002</v>
      </c>
      <c r="BB31" s="7">
        <v>0.59465590000000002</v>
      </c>
      <c r="BC31" s="7">
        <v>0.40534409999999998</v>
      </c>
      <c r="BD31" s="7">
        <v>0.64724230000000005</v>
      </c>
      <c r="BE31" s="7">
        <v>0</v>
      </c>
      <c r="BF31" s="7">
        <v>2.8321360000000002</v>
      </c>
      <c r="BG31" s="7">
        <v>2.8321360000000002</v>
      </c>
      <c r="BH31" s="7">
        <v>1</v>
      </c>
      <c r="BI31" s="7">
        <v>0.83056479999999999</v>
      </c>
      <c r="BJ31" s="7">
        <v>0.24724170000000001</v>
      </c>
      <c r="BK31" s="7">
        <v>0.75275829999999999</v>
      </c>
      <c r="BL31" s="7">
        <v>0.29117480000000001</v>
      </c>
      <c r="BM31" s="7">
        <v>3.9300000000000004E-15</v>
      </c>
      <c r="BN31" s="7">
        <v>2.6174789999999999</v>
      </c>
      <c r="BO31" s="7">
        <v>2.6174789999999999</v>
      </c>
      <c r="BP31" s="7">
        <v>1</v>
      </c>
      <c r="BQ31" s="7">
        <v>0.44890160000000001</v>
      </c>
      <c r="BR31" s="7">
        <v>0.2405987</v>
      </c>
      <c r="BS31" s="7">
        <v>0.75940129999999995</v>
      </c>
      <c r="BT31" s="7">
        <v>0.55497370000000001</v>
      </c>
      <c r="BU31" s="7">
        <v>0.69686530000000002</v>
      </c>
      <c r="BV31" s="7">
        <v>0.44306980000000001</v>
      </c>
      <c r="BW31" s="7">
        <v>2.011997</v>
      </c>
      <c r="BX31" s="7">
        <v>2.9644819999999998</v>
      </c>
      <c r="BY31" s="7">
        <v>1.473403</v>
      </c>
      <c r="BZ31" s="7">
        <v>0</v>
      </c>
      <c r="CA31" s="7">
        <v>0.60699579999999997</v>
      </c>
      <c r="CB31" s="7">
        <v>0.39300420000000003</v>
      </c>
      <c r="CC31" s="7">
        <v>0.2539903</v>
      </c>
      <c r="CD31" s="7">
        <v>0.74600979999999995</v>
      </c>
      <c r="CE31" s="7">
        <v>3.762613</v>
      </c>
      <c r="CF31" s="7">
        <v>3.4255170000000001</v>
      </c>
      <c r="CG31" s="7">
        <v>2.1936059999999999</v>
      </c>
      <c r="CH31" s="7">
        <v>2.8606880000000001</v>
      </c>
      <c r="CI31" s="7">
        <v>1.2506870000000001</v>
      </c>
      <c r="CJ31" s="7">
        <v>1.0721499999999999</v>
      </c>
      <c r="CK31" s="7">
        <v>0.85724909999999999</v>
      </c>
      <c r="CL31" s="7">
        <v>0.94264890000000001</v>
      </c>
      <c r="CM31" s="7">
        <v>0.56350199999999995</v>
      </c>
      <c r="CN31" s="7">
        <v>0.60514999999999997</v>
      </c>
      <c r="CO31" s="7">
        <v>0.53786230000000002</v>
      </c>
      <c r="CP31" s="7">
        <v>2.1900300000000001E-2</v>
      </c>
      <c r="CQ31" s="7">
        <v>3.3625799999999997E-2</v>
      </c>
      <c r="CR31" s="7">
        <v>1.61618E-2</v>
      </c>
      <c r="CS31" s="7">
        <v>1.3099339999999999</v>
      </c>
      <c r="CT31" s="7">
        <v>1.3798026704703565</v>
      </c>
      <c r="CU31" s="7">
        <v>1.2351858535284104</v>
      </c>
      <c r="CV31" s="7">
        <v>0.92532159999999997</v>
      </c>
      <c r="CW31" s="7">
        <v>1.2268509999999999</v>
      </c>
      <c r="CX31" s="7">
        <v>1.2747269999999999</v>
      </c>
      <c r="CY31" s="7">
        <v>1.2886050135412737</v>
      </c>
      <c r="CZ31" s="6"/>
      <c r="DI31" s="33"/>
      <c r="DJ31" s="11"/>
    </row>
    <row r="32" spans="1:114" customFormat="1" x14ac:dyDescent="0.3">
      <c r="A32" s="5">
        <v>1977</v>
      </c>
      <c r="B32" s="3">
        <v>220289</v>
      </c>
      <c r="C32" s="3">
        <v>2081826</v>
      </c>
      <c r="D32" s="12">
        <v>3.0590717299578101</v>
      </c>
      <c r="E32" s="2">
        <v>2.7263546434910202</v>
      </c>
      <c r="F32" s="3">
        <v>1273975</v>
      </c>
      <c r="G32" s="3">
        <v>396613</v>
      </c>
      <c r="H32" s="3">
        <v>341169</v>
      </c>
      <c r="I32" s="3">
        <v>93162</v>
      </c>
      <c r="J32" s="3">
        <v>-23094</v>
      </c>
      <c r="K32" s="3">
        <f t="shared" si="4"/>
        <v>2085925.9300000002</v>
      </c>
      <c r="L32" s="3">
        <f t="shared" si="5"/>
        <v>692693</v>
      </c>
      <c r="M32" s="3">
        <f t="shared" si="6"/>
        <v>1393232.9300000002</v>
      </c>
      <c r="N32" s="10">
        <v>2.8187859058380127</v>
      </c>
      <c r="O32" s="10">
        <v>2.4762172698974609</v>
      </c>
      <c r="P32" s="10">
        <v>3.0789017677307129</v>
      </c>
      <c r="Q32" s="9">
        <v>284645.69</v>
      </c>
      <c r="R32" s="9">
        <v>408047.31</v>
      </c>
      <c r="S32" s="9">
        <v>182797.31</v>
      </c>
      <c r="T32" s="9">
        <v>1210435.6200000001</v>
      </c>
      <c r="U32" s="3">
        <v>1149704</v>
      </c>
      <c r="V32" s="3">
        <v>437670.375</v>
      </c>
      <c r="W32" s="3">
        <v>712033.625</v>
      </c>
      <c r="X32" s="2">
        <v>0.56536847352981567</v>
      </c>
      <c r="Y32" s="2">
        <v>2.9506149291992188</v>
      </c>
      <c r="Z32" s="2">
        <v>2.7403571605682373</v>
      </c>
      <c r="AA32" s="2">
        <v>3.0533459186553955</v>
      </c>
      <c r="AB32" s="2">
        <v>3.6051239967346191</v>
      </c>
      <c r="AC32" s="2">
        <v>3.5186254978179932</v>
      </c>
      <c r="AD32" s="2">
        <v>3.6268877983093262</v>
      </c>
      <c r="AE32" s="2">
        <v>1.5474871397018433</v>
      </c>
      <c r="AF32" s="2">
        <v>1.2612452507019043</v>
      </c>
      <c r="AG32" s="2">
        <v>1.8134630918502808</v>
      </c>
      <c r="AH32" s="2">
        <v>0.63586848974227905</v>
      </c>
      <c r="AI32" s="2">
        <v>0.5295560359954834</v>
      </c>
      <c r="AJ32" s="3">
        <f t="shared" si="7"/>
        <v>1614374</v>
      </c>
      <c r="AK32" s="3">
        <v>598489</v>
      </c>
      <c r="AL32" s="3">
        <v>1015885</v>
      </c>
      <c r="AM32" s="2">
        <v>2.9080792520532999</v>
      </c>
      <c r="AN32" s="2">
        <v>2.6915723922705901</v>
      </c>
      <c r="AO32" s="2">
        <v>2.5549982856947802</v>
      </c>
      <c r="AP32" s="2">
        <v>2.1489736631091998</v>
      </c>
      <c r="AQ32" s="2">
        <v>3.1309558720653299</v>
      </c>
      <c r="AR32" s="2">
        <v>3.3365019930067499</v>
      </c>
      <c r="AS32" s="3">
        <v>467452</v>
      </c>
      <c r="AT32" s="10">
        <v>3.73663697104677</v>
      </c>
      <c r="AU32" s="10">
        <v>2.8846739706924902</v>
      </c>
      <c r="AV32" s="6"/>
      <c r="AW32" s="7">
        <f t="shared" si="0"/>
        <v>0.60894203143484871</v>
      </c>
      <c r="AX32" s="7">
        <f t="shared" si="1"/>
        <v>0.39105796856515124</v>
      </c>
      <c r="AY32" s="7">
        <f t="shared" si="2"/>
        <v>0.25211715393254097</v>
      </c>
      <c r="AZ32" s="7">
        <f t="shared" si="3"/>
        <v>0.74788284606745903</v>
      </c>
      <c r="BA32" s="7">
        <v>7.0955170000000001</v>
      </c>
      <c r="BB32" s="7">
        <v>0.59606559999999997</v>
      </c>
      <c r="BC32" s="7">
        <v>0.40393440000000003</v>
      </c>
      <c r="BD32" s="7">
        <v>0.64724230000000005</v>
      </c>
      <c r="BE32" s="7">
        <v>0</v>
      </c>
      <c r="BF32" s="7">
        <v>2.895467</v>
      </c>
      <c r="BG32" s="7">
        <v>2.895467</v>
      </c>
      <c r="BH32" s="7">
        <v>1</v>
      </c>
      <c r="BI32" s="7">
        <v>0.83056479999999999</v>
      </c>
      <c r="BJ32" s="7">
        <v>0.24833240000000001</v>
      </c>
      <c r="BK32" s="7">
        <v>0.75166759999999999</v>
      </c>
      <c r="BL32" s="7">
        <v>0.29117480000000001</v>
      </c>
      <c r="BM32" s="7">
        <v>3.9300000000000004E-15</v>
      </c>
      <c r="BN32" s="7">
        <v>2.6814580000000001</v>
      </c>
      <c r="BO32" s="7">
        <v>2.6814580000000001</v>
      </c>
      <c r="BP32" s="7">
        <v>1</v>
      </c>
      <c r="BQ32" s="7">
        <v>0.44890160000000001</v>
      </c>
      <c r="BR32" s="7">
        <v>0.23950630000000001</v>
      </c>
      <c r="BS32" s="7">
        <v>0.7604938</v>
      </c>
      <c r="BT32" s="7">
        <v>0.55497370000000001</v>
      </c>
      <c r="BU32" s="7">
        <v>0.69686530000000002</v>
      </c>
      <c r="BV32" s="7">
        <v>0.44306980000000001</v>
      </c>
      <c r="BW32" s="7">
        <v>2.042805</v>
      </c>
      <c r="BX32" s="7">
        <v>3.0457239999999999</v>
      </c>
      <c r="BY32" s="7">
        <v>1.4909520000000001</v>
      </c>
      <c r="BZ32" s="7">
        <v>0</v>
      </c>
      <c r="CA32" s="7">
        <v>0.60893900000000001</v>
      </c>
      <c r="CB32" s="7">
        <v>0.39106099999999999</v>
      </c>
      <c r="CC32" s="7">
        <v>0.25335679999999999</v>
      </c>
      <c r="CD32" s="7">
        <v>0.74664319999999995</v>
      </c>
      <c r="CE32" s="7">
        <v>4.145772</v>
      </c>
      <c r="CF32" s="7">
        <v>3.7964159999999998</v>
      </c>
      <c r="CG32" s="7">
        <v>2.2155640000000001</v>
      </c>
      <c r="CH32" s="7">
        <v>2.9446270000000001</v>
      </c>
      <c r="CI32" s="7">
        <v>1.2433890000000001</v>
      </c>
      <c r="CJ32" s="7">
        <v>1.0673760000000001</v>
      </c>
      <c r="CK32" s="7">
        <v>0.85844089999999995</v>
      </c>
      <c r="CL32" s="7">
        <v>0.93323009999999995</v>
      </c>
      <c r="CM32" s="7">
        <v>0.56350199999999995</v>
      </c>
      <c r="CN32" s="7">
        <v>0.60514999999999997</v>
      </c>
      <c r="CO32" s="7">
        <v>0.53786230000000002</v>
      </c>
      <c r="CP32" s="7">
        <v>6.2478999999999998E-3</v>
      </c>
      <c r="CQ32" s="7">
        <v>5.5345999999999998E-3</v>
      </c>
      <c r="CR32" s="7">
        <v>6.7673999999999998E-3</v>
      </c>
      <c r="CS32" s="7">
        <v>1.318144</v>
      </c>
      <c r="CT32" s="7">
        <v>1.3874692376239497</v>
      </c>
      <c r="CU32" s="7">
        <v>1.2435773805758583</v>
      </c>
      <c r="CV32" s="7">
        <v>0.92449000000000003</v>
      </c>
      <c r="CW32" s="7">
        <v>1.2331270000000001</v>
      </c>
      <c r="CX32" s="7">
        <v>1.282958</v>
      </c>
      <c r="CY32" s="7">
        <v>1.2917105208393211</v>
      </c>
      <c r="CZ32" s="6"/>
      <c r="DI32" s="33"/>
      <c r="DJ32" s="11"/>
    </row>
    <row r="33" spans="1:114" customFormat="1" x14ac:dyDescent="0.3">
      <c r="A33" s="5">
        <v>1978</v>
      </c>
      <c r="B33" s="3">
        <v>222629</v>
      </c>
      <c r="C33" s="3">
        <v>2351599</v>
      </c>
      <c r="D33" s="12">
        <v>3.2283867492593599</v>
      </c>
      <c r="E33" s="2">
        <v>2.9181344066134001</v>
      </c>
      <c r="F33" s="3">
        <v>1422252</v>
      </c>
      <c r="G33" s="3">
        <v>478377</v>
      </c>
      <c r="H33" s="3">
        <v>370770</v>
      </c>
      <c r="I33" s="3">
        <v>105567</v>
      </c>
      <c r="J33" s="3">
        <v>-25367</v>
      </c>
      <c r="K33" s="3">
        <f t="shared" si="4"/>
        <v>2356548.9699999997</v>
      </c>
      <c r="L33" s="3">
        <f t="shared" si="5"/>
        <v>782327</v>
      </c>
      <c r="M33" s="3">
        <f t="shared" si="6"/>
        <v>1574221.97</v>
      </c>
      <c r="N33" s="10">
        <v>3.0304915904998779</v>
      </c>
      <c r="O33" s="10">
        <v>2.6883664131164551</v>
      </c>
      <c r="P33" s="10">
        <v>3.2936384677886963</v>
      </c>
      <c r="Q33" s="9">
        <v>338409.91</v>
      </c>
      <c r="R33" s="9">
        <v>443917.09</v>
      </c>
      <c r="S33" s="9">
        <v>219743.09</v>
      </c>
      <c r="T33" s="9">
        <v>1354478.88</v>
      </c>
      <c r="U33" s="3">
        <v>1298036.25</v>
      </c>
      <c r="V33" s="3">
        <v>495253.75</v>
      </c>
      <c r="W33" s="3">
        <v>802782.5625</v>
      </c>
      <c r="X33" s="2">
        <v>0.56608659029006958</v>
      </c>
      <c r="Y33" s="2">
        <v>3.0999574661254883</v>
      </c>
      <c r="Z33" s="2">
        <v>2.8520467281341553</v>
      </c>
      <c r="AA33" s="2">
        <v>3.2233760356903076</v>
      </c>
      <c r="AB33" s="2">
        <v>3.7799568176269531</v>
      </c>
      <c r="AC33" s="2">
        <v>3.6835041046142578</v>
      </c>
      <c r="AD33" s="2">
        <v>3.8051121234893799</v>
      </c>
      <c r="AE33" s="2">
        <v>1.6213527917861938</v>
      </c>
      <c r="AF33" s="2">
        <v>1.330358624458313</v>
      </c>
      <c r="AG33" s="2">
        <v>1.8921774625778198</v>
      </c>
      <c r="AH33" s="2">
        <v>0.63796389102935791</v>
      </c>
      <c r="AI33" s="2">
        <v>0.52935957908630371</v>
      </c>
      <c r="AJ33" s="3">
        <f t="shared" si="7"/>
        <v>1793448</v>
      </c>
      <c r="AK33" s="3">
        <v>661856</v>
      </c>
      <c r="AL33" s="3">
        <v>1131592</v>
      </c>
      <c r="AM33" s="2">
        <v>3.02570277645194</v>
      </c>
      <c r="AN33" s="2">
        <v>2.8738903191133298</v>
      </c>
      <c r="AO33" s="2">
        <v>2.6633315266584501</v>
      </c>
      <c r="AP33" s="2">
        <v>2.2798370843329101</v>
      </c>
      <c r="AQ33" s="2">
        <v>3.2491382222603198</v>
      </c>
      <c r="AR33" s="2">
        <v>3.5813393024237299</v>
      </c>
      <c r="AS33" s="3">
        <v>558153</v>
      </c>
      <c r="AT33" s="10">
        <v>4.1347438752783896</v>
      </c>
      <c r="AU33" s="10">
        <v>3.1127573753721598</v>
      </c>
      <c r="AV33" s="6"/>
      <c r="AW33" s="7">
        <f t="shared" si="0"/>
        <v>0.60630312835369504</v>
      </c>
      <c r="AX33" s="7">
        <f t="shared" si="1"/>
        <v>0.39369687164630485</v>
      </c>
      <c r="AY33" s="7">
        <f t="shared" si="2"/>
        <v>0.2468405720459883</v>
      </c>
      <c r="AZ33" s="7">
        <f t="shared" si="3"/>
        <v>0.7531594279540117</v>
      </c>
      <c r="BA33" s="7">
        <v>7.7948389999999996</v>
      </c>
      <c r="BB33" s="7">
        <v>0.59961960000000003</v>
      </c>
      <c r="BC33" s="7">
        <v>0.40038040000000003</v>
      </c>
      <c r="BD33" s="7">
        <v>0.64724230000000005</v>
      </c>
      <c r="BE33" s="7">
        <v>0</v>
      </c>
      <c r="BF33" s="7">
        <v>2.9786030000000001</v>
      </c>
      <c r="BG33" s="7">
        <v>2.9786030000000001</v>
      </c>
      <c r="BH33" s="7">
        <v>1</v>
      </c>
      <c r="BI33" s="7">
        <v>0.83056479999999999</v>
      </c>
      <c r="BJ33" s="7">
        <v>0.25110189999999999</v>
      </c>
      <c r="BK33" s="7">
        <v>0.74889810000000001</v>
      </c>
      <c r="BL33" s="7">
        <v>0.29117480000000001</v>
      </c>
      <c r="BM33" s="7">
        <v>3.9300000000000004E-15</v>
      </c>
      <c r="BN33" s="7">
        <v>2.772681</v>
      </c>
      <c r="BO33" s="7">
        <v>2.772681</v>
      </c>
      <c r="BP33" s="7">
        <v>1</v>
      </c>
      <c r="BQ33" s="7">
        <v>0.44890160000000001</v>
      </c>
      <c r="BR33" s="7">
        <v>0.23844290000000001</v>
      </c>
      <c r="BS33" s="7">
        <v>0.76155709999999999</v>
      </c>
      <c r="BT33" s="7">
        <v>0.55497370000000001</v>
      </c>
      <c r="BU33" s="7">
        <v>0.69686530000000002</v>
      </c>
      <c r="BV33" s="7">
        <v>0.44306980000000001</v>
      </c>
      <c r="BW33" s="7">
        <v>2.0797300000000001</v>
      </c>
      <c r="BX33" s="7">
        <v>3.1654059999999999</v>
      </c>
      <c r="BY33" s="7">
        <v>1.522027</v>
      </c>
      <c r="BZ33" s="7">
        <v>0</v>
      </c>
      <c r="CA33" s="7">
        <v>0.60762249999999995</v>
      </c>
      <c r="CB33" s="7">
        <v>0.39237749999999999</v>
      </c>
      <c r="CC33" s="7">
        <v>0.2494789</v>
      </c>
      <c r="CD33" s="7">
        <v>0.75052110000000005</v>
      </c>
      <c r="CE33" s="7">
        <v>4.5397939999999997</v>
      </c>
      <c r="CF33" s="7">
        <v>4.2660910000000003</v>
      </c>
      <c r="CG33" s="7">
        <v>2.2182550000000001</v>
      </c>
      <c r="CH33" s="7">
        <v>3.077623</v>
      </c>
      <c r="CI33" s="7">
        <v>1.2251449999999999</v>
      </c>
      <c r="CJ33" s="7">
        <v>1.058127</v>
      </c>
      <c r="CK33" s="7">
        <v>0.86367519999999998</v>
      </c>
      <c r="CL33" s="7">
        <v>0.92339380000000004</v>
      </c>
      <c r="CM33" s="7">
        <v>0.56350199999999995</v>
      </c>
      <c r="CN33" s="7">
        <v>0.60514999999999997</v>
      </c>
      <c r="CO33" s="7">
        <v>0.53786230000000002</v>
      </c>
      <c r="CP33" s="7">
        <v>2.4285999999999999E-3</v>
      </c>
      <c r="CQ33" s="7">
        <v>-1.0102699999999999E-2</v>
      </c>
      <c r="CR33" s="7">
        <v>9.3091000000000007E-3</v>
      </c>
      <c r="CS33" s="7">
        <v>1.3213490000000001</v>
      </c>
      <c r="CT33" s="7">
        <v>1.3735294600300088</v>
      </c>
      <c r="CU33" s="7">
        <v>1.2552034441076565</v>
      </c>
      <c r="CV33" s="7">
        <v>0.92474789999999996</v>
      </c>
      <c r="CW33" s="7">
        <v>1.2300150000000001</v>
      </c>
      <c r="CX33" s="7">
        <v>1.2881629999999999</v>
      </c>
      <c r="CY33" s="7">
        <v>1.2903441692860464</v>
      </c>
      <c r="CZ33" s="6"/>
      <c r="DI33" s="33"/>
      <c r="DJ33" s="11"/>
    </row>
    <row r="34" spans="1:114" customFormat="1" x14ac:dyDescent="0.3">
      <c r="A34" s="5">
        <v>1979</v>
      </c>
      <c r="B34" s="3">
        <v>225106</v>
      </c>
      <c r="C34" s="3">
        <v>2627333</v>
      </c>
      <c r="D34" s="12">
        <v>3.3306400933656501</v>
      </c>
      <c r="E34" s="2">
        <v>3.1602031056090301</v>
      </c>
      <c r="F34" s="3">
        <v>1585420</v>
      </c>
      <c r="G34" s="3">
        <v>539657</v>
      </c>
      <c r="H34" s="3">
        <v>404705</v>
      </c>
      <c r="I34" s="3">
        <v>120097</v>
      </c>
      <c r="J34" s="3">
        <v>-22545</v>
      </c>
      <c r="K34" s="3">
        <f t="shared" si="4"/>
        <v>2632153.0699999998</v>
      </c>
      <c r="L34" s="3">
        <f t="shared" si="5"/>
        <v>876793</v>
      </c>
      <c r="M34" s="3">
        <f t="shared" si="6"/>
        <v>1755360.0699999998</v>
      </c>
      <c r="N34" s="10">
        <v>3.2847518920898438</v>
      </c>
      <c r="O34" s="10">
        <v>2.9946317672729492</v>
      </c>
      <c r="P34" s="10">
        <v>3.5203170776367188</v>
      </c>
      <c r="Q34" s="9">
        <v>385626.31</v>
      </c>
      <c r="R34" s="9">
        <v>491166.69</v>
      </c>
      <c r="S34" s="9">
        <v>256144.69</v>
      </c>
      <c r="T34" s="9">
        <v>1499215.38</v>
      </c>
      <c r="U34" s="3">
        <v>1481996.5</v>
      </c>
      <c r="V34" s="3">
        <v>559856.9375</v>
      </c>
      <c r="W34" s="3">
        <v>922139.5</v>
      </c>
      <c r="X34" s="2">
        <v>0.57225543260574341</v>
      </c>
      <c r="Y34" s="2">
        <v>3.194270133972168</v>
      </c>
      <c r="Z34" s="2">
        <v>2.8714587688446045</v>
      </c>
      <c r="AA34" s="2">
        <v>3.3611650466918945</v>
      </c>
      <c r="AB34" s="2">
        <v>3.9663212299346924</v>
      </c>
      <c r="AC34" s="2">
        <v>3.8551688194274902</v>
      </c>
      <c r="AD34" s="2">
        <v>3.9968090057373047</v>
      </c>
      <c r="AE34" s="2">
        <v>1.6745506525039673</v>
      </c>
      <c r="AF34" s="2">
        <v>1.3723134994506836</v>
      </c>
      <c r="AG34" s="2">
        <v>1.9557384252548218</v>
      </c>
      <c r="AH34" s="2">
        <v>0.64097237586975098</v>
      </c>
      <c r="AI34" s="2">
        <v>0.53702962398529053</v>
      </c>
      <c r="AJ34" s="3">
        <f t="shared" si="7"/>
        <v>1985564</v>
      </c>
      <c r="AK34" s="3">
        <v>730401</v>
      </c>
      <c r="AL34" s="3">
        <v>1255163</v>
      </c>
      <c r="AM34" s="2">
        <v>3.0976212741968001</v>
      </c>
      <c r="AN34" s="2">
        <v>3.1078762682734502</v>
      </c>
      <c r="AO34" s="2">
        <v>2.7627466540380801</v>
      </c>
      <c r="AP34" s="2">
        <v>2.4254137255708099</v>
      </c>
      <c r="AQ34" s="2">
        <v>3.33016386907634</v>
      </c>
      <c r="AR34" s="2">
        <v>3.8757728078396001</v>
      </c>
      <c r="AS34" s="3">
        <v>641769</v>
      </c>
      <c r="AT34" s="10">
        <v>4.3704064587973201</v>
      </c>
      <c r="AU34" s="10">
        <v>3.3860824263406002</v>
      </c>
      <c r="AV34" s="6"/>
      <c r="AW34" s="7">
        <f t="shared" ref="AW34:AW65" si="8">Q34/(Q34+S34)</f>
        <v>0.60087836627083491</v>
      </c>
      <c r="AX34" s="7">
        <f t="shared" ref="AX34:AX65" si="9">S34/(S34+Q34)</f>
        <v>0.39912163372916509</v>
      </c>
      <c r="AY34" s="7">
        <f t="shared" ref="AY34:AY65" si="10">R34/(R34+T34)</f>
        <v>0.24677005355057285</v>
      </c>
      <c r="AZ34" s="7">
        <f t="shared" ref="AZ34:AZ65" si="11">T34/(T34+R34)</f>
        <v>0.7532299464494272</v>
      </c>
      <c r="BA34" s="7">
        <v>8.5284259999999996</v>
      </c>
      <c r="BB34" s="7">
        <v>0.60949960000000003</v>
      </c>
      <c r="BC34" s="7">
        <v>0.39050040000000003</v>
      </c>
      <c r="BD34" s="7">
        <v>0.64724230000000005</v>
      </c>
      <c r="BE34" s="7">
        <v>0</v>
      </c>
      <c r="BF34" s="7">
        <v>3.0069240000000002</v>
      </c>
      <c r="BG34" s="7">
        <v>3.0069240000000002</v>
      </c>
      <c r="BH34" s="7">
        <v>1</v>
      </c>
      <c r="BI34" s="7">
        <v>0.83056479999999999</v>
      </c>
      <c r="BJ34" s="7">
        <v>0.2589535</v>
      </c>
      <c r="BK34" s="7">
        <v>0.74104650000000005</v>
      </c>
      <c r="BL34" s="7">
        <v>0.29117480000000001</v>
      </c>
      <c r="BM34" s="7">
        <v>3.9300000000000004E-15</v>
      </c>
      <c r="BN34" s="7">
        <v>2.8397739999999998</v>
      </c>
      <c r="BO34" s="7">
        <v>2.8397739999999998</v>
      </c>
      <c r="BP34" s="7">
        <v>1</v>
      </c>
      <c r="BQ34" s="7">
        <v>0.44890160000000001</v>
      </c>
      <c r="BR34" s="7">
        <v>0.24224580000000001</v>
      </c>
      <c r="BS34" s="7">
        <v>0.75775420000000004</v>
      </c>
      <c r="BT34" s="7">
        <v>0.55497370000000001</v>
      </c>
      <c r="BU34" s="7">
        <v>0.69686530000000002</v>
      </c>
      <c r="BV34" s="7">
        <v>0.44306980000000001</v>
      </c>
      <c r="BW34" s="7">
        <v>2.0984129999999999</v>
      </c>
      <c r="BX34" s="7">
        <v>3.2599909999999999</v>
      </c>
      <c r="BY34" s="7">
        <v>1.5535509999999999</v>
      </c>
      <c r="BZ34" s="7">
        <v>0</v>
      </c>
      <c r="CA34" s="7">
        <v>0.60359070000000004</v>
      </c>
      <c r="CB34" s="7">
        <v>0.39640920000000002</v>
      </c>
      <c r="CC34" s="7">
        <v>0.24680540000000001</v>
      </c>
      <c r="CD34" s="7">
        <v>0.75319460000000005</v>
      </c>
      <c r="CE34" s="7">
        <v>4.6441179999999997</v>
      </c>
      <c r="CF34" s="7">
        <v>4.6525749999999997</v>
      </c>
      <c r="CG34" s="7">
        <v>2.2024140000000001</v>
      </c>
      <c r="CH34" s="7">
        <v>3.1857920000000002</v>
      </c>
      <c r="CI34" s="7">
        <v>1.175543</v>
      </c>
      <c r="CJ34" s="7">
        <v>1.039647</v>
      </c>
      <c r="CK34" s="7">
        <v>0.88439800000000002</v>
      </c>
      <c r="CL34" s="7">
        <v>0.91794849999999995</v>
      </c>
      <c r="CM34" s="7">
        <v>0.56350199999999995</v>
      </c>
      <c r="CN34" s="7">
        <v>0.60514999999999997</v>
      </c>
      <c r="CO34" s="7">
        <v>0.53786230000000002</v>
      </c>
      <c r="CP34" s="7">
        <v>-9.2289999999999994E-3</v>
      </c>
      <c r="CQ34" s="7">
        <v>-3.05957E-2</v>
      </c>
      <c r="CR34" s="7">
        <v>1.7863E-3</v>
      </c>
      <c r="CS34" s="7">
        <v>1.30921</v>
      </c>
      <c r="CT34" s="7">
        <v>1.3321290012172116</v>
      </c>
      <c r="CU34" s="7">
        <v>1.2574343011826239</v>
      </c>
      <c r="CV34" s="7">
        <v>0.93154840000000005</v>
      </c>
      <c r="CW34" s="7">
        <v>1.2162040000000001</v>
      </c>
      <c r="CX34" s="7">
        <v>1.2789790000000001</v>
      </c>
      <c r="CY34" s="7">
        <v>1.2739707988824231</v>
      </c>
      <c r="CZ34" s="6"/>
      <c r="DI34" s="33"/>
      <c r="DJ34" s="11"/>
    </row>
    <row r="35" spans="1:114" customFormat="1" x14ac:dyDescent="0.3">
      <c r="A35" s="5">
        <v>1980</v>
      </c>
      <c r="B35" s="3">
        <v>227726</v>
      </c>
      <c r="C35" s="3">
        <v>2857307</v>
      </c>
      <c r="D35" s="12">
        <v>3.32202172546907</v>
      </c>
      <c r="E35" s="2">
        <v>3.4457361349752902</v>
      </c>
      <c r="F35" s="3">
        <v>1750667</v>
      </c>
      <c r="G35" s="3">
        <v>530098</v>
      </c>
      <c r="H35" s="3">
        <v>453650</v>
      </c>
      <c r="I35" s="3">
        <v>135948</v>
      </c>
      <c r="J35" s="3">
        <v>-13056</v>
      </c>
      <c r="K35" s="3">
        <f t="shared" si="4"/>
        <v>2862517.94</v>
      </c>
      <c r="L35" s="3">
        <f t="shared" si="5"/>
        <v>932086</v>
      </c>
      <c r="M35" s="3">
        <f t="shared" si="6"/>
        <v>1930431.94</v>
      </c>
      <c r="N35" s="10">
        <v>3.6030135154724121</v>
      </c>
      <c r="O35" s="10">
        <v>3.3257157802581787</v>
      </c>
      <c r="P35" s="10">
        <v>3.837428092956543</v>
      </c>
      <c r="Q35" s="9">
        <v>406977.56</v>
      </c>
      <c r="R35" s="9">
        <v>525108.43999999994</v>
      </c>
      <c r="S35" s="9">
        <v>265406.44</v>
      </c>
      <c r="T35" s="9">
        <v>1665025.5</v>
      </c>
      <c r="U35" s="3">
        <v>1646776.125</v>
      </c>
      <c r="V35" s="3">
        <v>590986.625</v>
      </c>
      <c r="W35" s="3">
        <v>1055789.5</v>
      </c>
      <c r="X35" s="2">
        <v>0.58434569835662842</v>
      </c>
      <c r="Y35" s="2">
        <v>3.1723487377166748</v>
      </c>
      <c r="Z35" s="2">
        <v>2.733159065246582</v>
      </c>
      <c r="AA35" s="2">
        <v>3.4101638793945313</v>
      </c>
      <c r="AB35" s="2">
        <v>4.1551823616027832</v>
      </c>
      <c r="AC35" s="2">
        <v>4.039771556854248</v>
      </c>
      <c r="AD35" s="2">
        <v>4.1866898536682129</v>
      </c>
      <c r="AE35" s="2">
        <v>1.6618548631668091</v>
      </c>
      <c r="AF35" s="2">
        <v>1.3201251029968262</v>
      </c>
      <c r="AG35" s="2">
        <v>1.9764987230300903</v>
      </c>
      <c r="AH35" s="2">
        <v>0.64307034015655518</v>
      </c>
      <c r="AI35" s="2">
        <v>0.55473971366882324</v>
      </c>
      <c r="AJ35" s="3">
        <f t="shared" si="7"/>
        <v>2184931</v>
      </c>
      <c r="AK35" s="3">
        <v>775321</v>
      </c>
      <c r="AL35" s="3">
        <v>1409610</v>
      </c>
      <c r="AM35" s="2">
        <v>3.1301074885217601</v>
      </c>
      <c r="AN35" s="2">
        <v>3.38443537594063</v>
      </c>
      <c r="AO35" s="2">
        <v>2.8464394112038902</v>
      </c>
      <c r="AP35" s="2">
        <v>2.4988784785688498</v>
      </c>
      <c r="AQ35" s="2">
        <v>3.3901363160479998</v>
      </c>
      <c r="AR35" s="2">
        <v>4.2756839755284997</v>
      </c>
      <c r="AS35" s="3">
        <v>672378</v>
      </c>
      <c r="AT35" s="10">
        <v>4.1827672605790598</v>
      </c>
      <c r="AU35" s="10">
        <v>3.7067254083531802</v>
      </c>
      <c r="AV35" s="6"/>
      <c r="AW35" s="7">
        <f t="shared" si="8"/>
        <v>0.60527549733485631</v>
      </c>
      <c r="AX35" s="7">
        <f t="shared" si="9"/>
        <v>0.39472450266514375</v>
      </c>
      <c r="AY35" s="7">
        <f t="shared" si="10"/>
        <v>0.23976087964738813</v>
      </c>
      <c r="AZ35" s="7">
        <f t="shared" si="11"/>
        <v>0.76023912035261187</v>
      </c>
      <c r="BA35" s="7">
        <v>9.3010920000000006</v>
      </c>
      <c r="BB35" s="7">
        <v>0.61392040000000003</v>
      </c>
      <c r="BC35" s="7">
        <v>0.38607960000000002</v>
      </c>
      <c r="BD35" s="7">
        <v>0.64724230000000005</v>
      </c>
      <c r="BE35" s="7">
        <v>0</v>
      </c>
      <c r="BF35" s="7">
        <v>3.008915</v>
      </c>
      <c r="BG35" s="7">
        <v>3.008915</v>
      </c>
      <c r="BH35" s="7">
        <v>1</v>
      </c>
      <c r="BI35" s="7">
        <v>0.83056479999999999</v>
      </c>
      <c r="BJ35" s="7">
        <v>0.26254110000000003</v>
      </c>
      <c r="BK35" s="7">
        <v>0.73745879999999997</v>
      </c>
      <c r="BL35" s="7">
        <v>0.29117480000000001</v>
      </c>
      <c r="BM35" s="7">
        <v>3.9300000000000004E-15</v>
      </c>
      <c r="BN35" s="7">
        <v>2.8602780000000001</v>
      </c>
      <c r="BO35" s="7">
        <v>2.8602780000000001</v>
      </c>
      <c r="BP35" s="7">
        <v>0.99999990000000005</v>
      </c>
      <c r="BQ35" s="7">
        <v>0.44890160000000001</v>
      </c>
      <c r="BR35" s="7">
        <v>0.24534349999999999</v>
      </c>
      <c r="BS35" s="7">
        <v>0.75465649999999995</v>
      </c>
      <c r="BT35" s="7">
        <v>0.55497370000000001</v>
      </c>
      <c r="BU35" s="7">
        <v>0.69686530000000002</v>
      </c>
      <c r="BV35" s="7">
        <v>0.44306980000000001</v>
      </c>
      <c r="BW35" s="7">
        <v>2.1113390000000001</v>
      </c>
      <c r="BX35" s="7">
        <v>3.2860149999999999</v>
      </c>
      <c r="BY35" s="7">
        <v>1.556365</v>
      </c>
      <c r="BZ35" s="7">
        <v>0</v>
      </c>
      <c r="CA35" s="7">
        <v>0.60307690000000003</v>
      </c>
      <c r="CB35" s="7">
        <v>0.39692309999999997</v>
      </c>
      <c r="CC35" s="7">
        <v>0.2432655</v>
      </c>
      <c r="CD35" s="7">
        <v>0.75673449999999998</v>
      </c>
      <c r="CE35" s="7">
        <v>4.4132949999999997</v>
      </c>
      <c r="CF35" s="7">
        <v>4.4224019999999999</v>
      </c>
      <c r="CG35" s="7">
        <v>2.125858</v>
      </c>
      <c r="CH35" s="7">
        <v>3.2544089999999999</v>
      </c>
      <c r="CI35" s="7">
        <v>1.1538649999999999</v>
      </c>
      <c r="CJ35" s="7">
        <v>1.0352950000000001</v>
      </c>
      <c r="CK35" s="7">
        <v>0.8972405</v>
      </c>
      <c r="CL35" s="7">
        <v>0.91319779999999995</v>
      </c>
      <c r="CM35" s="7">
        <v>0.56350199999999995</v>
      </c>
      <c r="CN35" s="7">
        <v>0.60514999999999997</v>
      </c>
      <c r="CO35" s="7">
        <v>0.53786230000000002</v>
      </c>
      <c r="CP35" s="7">
        <v>-2.2902599999999999E-2</v>
      </c>
      <c r="CQ35" s="7">
        <v>-4.79307E-2</v>
      </c>
      <c r="CR35" s="7">
        <v>-1.17371E-2</v>
      </c>
      <c r="CS35" s="14">
        <v>1.2795669999999999</v>
      </c>
      <c r="CT35" s="7">
        <v>1.2697138496695868</v>
      </c>
      <c r="CU35" s="7">
        <v>1.2427327571229168</v>
      </c>
      <c r="CV35" s="7">
        <v>0.9381195</v>
      </c>
      <c r="CW35" s="7">
        <v>1.182855</v>
      </c>
      <c r="CX35" s="7">
        <v>1.251172</v>
      </c>
      <c r="CY35" s="7">
        <v>1.2454677912531757</v>
      </c>
      <c r="CZ35" s="6"/>
      <c r="DI35" s="33"/>
      <c r="DJ35" s="11"/>
    </row>
    <row r="36" spans="1:114" customFormat="1" x14ac:dyDescent="0.3">
      <c r="A36" s="5">
        <v>1981</v>
      </c>
      <c r="B36" s="3">
        <v>230008</v>
      </c>
      <c r="C36" s="3">
        <v>3207041</v>
      </c>
      <c r="D36" s="12">
        <v>3.4063201364574902</v>
      </c>
      <c r="E36" s="2">
        <v>3.7717824095244299</v>
      </c>
      <c r="F36" s="3">
        <v>1933951</v>
      </c>
      <c r="G36" s="3">
        <v>631229</v>
      </c>
      <c r="H36" s="3">
        <v>507041</v>
      </c>
      <c r="I36" s="3">
        <v>147340</v>
      </c>
      <c r="J36" s="3">
        <v>-12520</v>
      </c>
      <c r="K36" s="3">
        <f t="shared" si="4"/>
        <v>3210981</v>
      </c>
      <c r="L36" s="3">
        <f t="shared" si="5"/>
        <v>1054534</v>
      </c>
      <c r="M36" s="3">
        <f t="shared" si="6"/>
        <v>2156447</v>
      </c>
      <c r="N36" s="10">
        <v>3.9321982860565186</v>
      </c>
      <c r="O36" s="10">
        <v>3.6717977523803711</v>
      </c>
      <c r="P36" s="10">
        <v>4.1641941070556641</v>
      </c>
      <c r="Q36" s="9">
        <v>449156.25</v>
      </c>
      <c r="R36" s="9">
        <v>605377.75</v>
      </c>
      <c r="S36" s="9">
        <v>299605.75</v>
      </c>
      <c r="T36" s="9">
        <v>1856841.25</v>
      </c>
      <c r="U36" s="3">
        <v>1814615.125</v>
      </c>
      <c r="V36" s="3">
        <v>648645.4375</v>
      </c>
      <c r="W36" s="3">
        <v>1165969.75</v>
      </c>
      <c r="X36" s="2">
        <v>0.58572179079055786</v>
      </c>
      <c r="Y36" s="2">
        <v>3.2517344951629639</v>
      </c>
      <c r="Z36" s="2">
        <v>2.7829663753509521</v>
      </c>
      <c r="AA36" s="2">
        <v>3.507000207901001</v>
      </c>
      <c r="AB36" s="2">
        <v>4.3158254623413086</v>
      </c>
      <c r="AC36" s="2">
        <v>4.1842570304870605</v>
      </c>
      <c r="AD36" s="2">
        <v>4.3535366058349609</v>
      </c>
      <c r="AE36" s="2">
        <v>1.6838330030441284</v>
      </c>
      <c r="AF36" s="2">
        <v>1.3217947483062744</v>
      </c>
      <c r="AG36" s="2">
        <v>2.0159521102905273</v>
      </c>
      <c r="AH36" s="2">
        <v>0.63501548767089844</v>
      </c>
      <c r="AI36" s="2">
        <v>0.56140708923339844</v>
      </c>
      <c r="AJ36" s="3">
        <f t="shared" si="7"/>
        <v>2458282</v>
      </c>
      <c r="AK36" s="3">
        <v>876569</v>
      </c>
      <c r="AL36" s="3">
        <v>1581713</v>
      </c>
      <c r="AM36" s="2">
        <v>3.21560416027347</v>
      </c>
      <c r="AN36" s="2">
        <v>3.7066116900022501</v>
      </c>
      <c r="AO36" s="2">
        <v>2.8570628873055499</v>
      </c>
      <c r="AP36" s="2">
        <v>2.8146982383597901</v>
      </c>
      <c r="AQ36" s="2">
        <v>3.4487343791846898</v>
      </c>
      <c r="AR36" s="2">
        <v>4.7161946920352502</v>
      </c>
      <c r="AS36" s="3">
        <v>748760</v>
      </c>
      <c r="AT36" s="10">
        <v>4.2625278396436501</v>
      </c>
      <c r="AU36" s="10">
        <v>4.0505689301558698</v>
      </c>
      <c r="AV36" s="6"/>
      <c r="AW36" s="7">
        <f t="shared" si="8"/>
        <v>0.59986517745291557</v>
      </c>
      <c r="AX36" s="7">
        <f t="shared" si="9"/>
        <v>0.40013482254708438</v>
      </c>
      <c r="AY36" s="7">
        <f t="shared" si="10"/>
        <v>0.24586673646820206</v>
      </c>
      <c r="AZ36" s="7">
        <f t="shared" si="11"/>
        <v>0.75413326353179799</v>
      </c>
      <c r="BA36" s="7">
        <v>10.3165</v>
      </c>
      <c r="BB36" s="7">
        <v>0.61800710000000003</v>
      </c>
      <c r="BC36" s="7">
        <v>0.38199290000000002</v>
      </c>
      <c r="BD36" s="7">
        <v>0.64724230000000005</v>
      </c>
      <c r="BE36" s="7">
        <v>0</v>
      </c>
      <c r="BF36" s="7">
        <v>3.0734509999999999</v>
      </c>
      <c r="BG36" s="7">
        <v>3.0734509999999999</v>
      </c>
      <c r="BH36" s="7">
        <v>1</v>
      </c>
      <c r="BI36" s="7">
        <v>0.83056479999999999</v>
      </c>
      <c r="BJ36" s="7">
        <v>0.26589970000000002</v>
      </c>
      <c r="BK36" s="7">
        <v>0.73410030000000004</v>
      </c>
      <c r="BL36" s="7">
        <v>0.29117480000000001</v>
      </c>
      <c r="BM36" s="7">
        <v>3.9300000000000004E-15</v>
      </c>
      <c r="BN36" s="7">
        <v>2.9394339999999999</v>
      </c>
      <c r="BO36" s="7">
        <v>2.9394339999999999</v>
      </c>
      <c r="BP36" s="7">
        <v>1</v>
      </c>
      <c r="BQ36" s="7">
        <v>0.44890160000000001</v>
      </c>
      <c r="BR36" s="7">
        <v>0.24531639999999999</v>
      </c>
      <c r="BS36" s="7">
        <v>0.75468360000000001</v>
      </c>
      <c r="BT36" s="7">
        <v>0.55497370000000001</v>
      </c>
      <c r="BU36" s="7">
        <v>0.69686530000000002</v>
      </c>
      <c r="BV36" s="7">
        <v>0.44306980000000001</v>
      </c>
      <c r="BW36" s="7">
        <v>2.1421260000000002</v>
      </c>
      <c r="BX36" s="7">
        <v>3.3925239999999999</v>
      </c>
      <c r="BY36" s="7">
        <v>1.583718</v>
      </c>
      <c r="BZ36" s="7">
        <v>0</v>
      </c>
      <c r="CA36" s="7">
        <v>0.60257039999999995</v>
      </c>
      <c r="CB36" s="7">
        <v>0.39742959999999999</v>
      </c>
      <c r="CC36" s="7">
        <v>0.2428138</v>
      </c>
      <c r="CD36" s="7">
        <v>0.75718620000000003</v>
      </c>
      <c r="CE36" s="7">
        <v>4.4116289999999996</v>
      </c>
      <c r="CF36" s="7">
        <v>4.600543</v>
      </c>
      <c r="CG36" s="7">
        <v>2.2120250000000001</v>
      </c>
      <c r="CH36" s="7">
        <v>3.3327909999999998</v>
      </c>
      <c r="CI36" s="7">
        <v>1.1341019999999999</v>
      </c>
      <c r="CJ36" s="7">
        <v>1.028079</v>
      </c>
      <c r="CK36" s="7">
        <v>0.90651369999999998</v>
      </c>
      <c r="CL36" s="7">
        <v>0.91522009999999998</v>
      </c>
      <c r="CM36" s="7">
        <v>0.56350199999999995</v>
      </c>
      <c r="CN36" s="7">
        <v>0.60514999999999997</v>
      </c>
      <c r="CO36" s="7">
        <v>0.53786230000000002</v>
      </c>
      <c r="CP36" s="7">
        <v>7.5540000000000004E-4</v>
      </c>
      <c r="CQ36" s="7">
        <v>2.0081000000000001E-3</v>
      </c>
      <c r="CR36" s="7">
        <v>-1.9430000000000001E-4</v>
      </c>
      <c r="CS36" s="7">
        <v>1.2805340000000001</v>
      </c>
      <c r="CT36" s="7">
        <v>1.2722378044350893</v>
      </c>
      <c r="CU36" s="7">
        <v>1.2424756356060795</v>
      </c>
      <c r="CV36" s="7">
        <v>0.94132970000000005</v>
      </c>
      <c r="CW36" s="7">
        <v>1.1883520000000001</v>
      </c>
      <c r="CX36" s="7">
        <v>1.251719</v>
      </c>
      <c r="CY36" s="7">
        <v>1.2481973865532514</v>
      </c>
      <c r="CZ36" s="6"/>
      <c r="DI36" s="33"/>
      <c r="DJ36" s="11"/>
    </row>
    <row r="37" spans="1:114" customFormat="1" x14ac:dyDescent="0.3">
      <c r="A37" s="5">
        <v>1982</v>
      </c>
      <c r="B37" s="3">
        <v>232218</v>
      </c>
      <c r="C37" s="3">
        <v>3343789</v>
      </c>
      <c r="D37" s="12">
        <v>3.34491426519436</v>
      </c>
      <c r="E37" s="2">
        <v>4.0048057385214202</v>
      </c>
      <c r="F37" s="3">
        <v>2071256</v>
      </c>
      <c r="G37" s="3">
        <v>581034</v>
      </c>
      <c r="H37" s="3">
        <v>554529</v>
      </c>
      <c r="I37" s="3">
        <v>156944</v>
      </c>
      <c r="J37" s="3">
        <v>-19974</v>
      </c>
      <c r="K37" s="3">
        <f t="shared" si="4"/>
        <v>3345027.93</v>
      </c>
      <c r="L37" s="3">
        <f t="shared" si="5"/>
        <v>1047201</v>
      </c>
      <c r="M37" s="3">
        <f t="shared" si="6"/>
        <v>2297826.9300000002</v>
      </c>
      <c r="N37" s="10">
        <v>4.176292896270752</v>
      </c>
      <c r="O37" s="10">
        <v>3.8480374813079834</v>
      </c>
      <c r="P37" s="10">
        <v>4.4510231018066406</v>
      </c>
      <c r="Q37" s="9">
        <v>445842.69</v>
      </c>
      <c r="R37" s="9">
        <v>601358.31000000006</v>
      </c>
      <c r="S37" s="9">
        <v>307051.31</v>
      </c>
      <c r="T37" s="9">
        <v>1990775.62</v>
      </c>
      <c r="U37" s="3">
        <v>1911405.75</v>
      </c>
      <c r="V37" s="3">
        <v>653979.5</v>
      </c>
      <c r="W37" s="3">
        <v>1257426.25</v>
      </c>
      <c r="X37" s="2">
        <v>0.5844694972038269</v>
      </c>
      <c r="Y37" s="2">
        <v>3.1902256011962891</v>
      </c>
      <c r="Z37" s="2">
        <v>2.6431910991668701</v>
      </c>
      <c r="AA37" s="2">
        <v>3.494511604309082</v>
      </c>
      <c r="AB37" s="2">
        <v>4.4880046844482422</v>
      </c>
      <c r="AC37" s="2">
        <v>4.3826475143432617</v>
      </c>
      <c r="AD37" s="2">
        <v>4.5140995979309082</v>
      </c>
      <c r="AE37" s="2">
        <v>1.6490050554275513</v>
      </c>
      <c r="AF37" s="2">
        <v>1.2284587621688843</v>
      </c>
      <c r="AG37" s="2">
        <v>2.0306253433227539</v>
      </c>
      <c r="AH37" s="2">
        <v>0.63146084547042847</v>
      </c>
      <c r="AI37" s="2">
        <v>0.56197571754455566</v>
      </c>
      <c r="AJ37" s="3">
        <f t="shared" si="7"/>
        <v>2590897</v>
      </c>
      <c r="AK37" s="3">
        <v>856384</v>
      </c>
      <c r="AL37" s="3">
        <v>1734513</v>
      </c>
      <c r="AM37" s="2">
        <v>3.1885254410612802</v>
      </c>
      <c r="AN37" s="2">
        <v>3.93974921505083</v>
      </c>
      <c r="AO37" s="2">
        <v>2.8308332587324401</v>
      </c>
      <c r="AP37" s="2">
        <v>2.7753629653416101</v>
      </c>
      <c r="AQ37" s="2">
        <v>3.51130053387375</v>
      </c>
      <c r="AR37" s="2">
        <v>5.0796447920502299</v>
      </c>
      <c r="AS37" s="3">
        <v>752891</v>
      </c>
      <c r="AT37" s="10">
        <v>4.0509465478841804</v>
      </c>
      <c r="AU37" s="10">
        <v>4.2856451913212004</v>
      </c>
      <c r="AV37" s="6"/>
      <c r="AW37" s="7">
        <f t="shared" si="8"/>
        <v>0.592171925928484</v>
      </c>
      <c r="AX37" s="7">
        <f t="shared" si="9"/>
        <v>0.40782807407151606</v>
      </c>
      <c r="AY37" s="7">
        <f t="shared" si="10"/>
        <v>0.23199353360572694</v>
      </c>
      <c r="AZ37" s="7">
        <f t="shared" si="11"/>
        <v>0.76800646639427306</v>
      </c>
      <c r="BA37" s="7">
        <v>10.76493</v>
      </c>
      <c r="BB37" s="7">
        <v>0.61333879999999996</v>
      </c>
      <c r="BC37" s="7">
        <v>0.38666119999999998</v>
      </c>
      <c r="BD37" s="7">
        <v>0.64724230000000005</v>
      </c>
      <c r="BE37" s="7">
        <v>0</v>
      </c>
      <c r="BF37" s="7">
        <v>3.0662289999999999</v>
      </c>
      <c r="BG37" s="7">
        <v>3.0662289999999999</v>
      </c>
      <c r="BH37" s="7">
        <v>1</v>
      </c>
      <c r="BI37" s="7">
        <v>0.83056479999999999</v>
      </c>
      <c r="BJ37" s="7">
        <v>0.26206639999999998</v>
      </c>
      <c r="BK37" s="7">
        <v>0.73793359999999997</v>
      </c>
      <c r="BL37" s="7">
        <v>0.29117480000000001</v>
      </c>
      <c r="BM37" s="7">
        <v>3.9300000000000004E-15</v>
      </c>
      <c r="BN37" s="7">
        <v>2.9122499999999998</v>
      </c>
      <c r="BO37" s="7">
        <v>2.9122499999999998</v>
      </c>
      <c r="BP37" s="7">
        <v>1</v>
      </c>
      <c r="BQ37" s="7">
        <v>0.44890160000000001</v>
      </c>
      <c r="BR37" s="7">
        <v>0.24521950000000001</v>
      </c>
      <c r="BS37" s="7">
        <v>0.75478049999999997</v>
      </c>
      <c r="BT37" s="7">
        <v>0.55497370000000001</v>
      </c>
      <c r="BU37" s="7">
        <v>0.69686530000000002</v>
      </c>
      <c r="BV37" s="7">
        <v>0.44306980000000001</v>
      </c>
      <c r="BW37" s="7">
        <v>2.1525080000000001</v>
      </c>
      <c r="BX37" s="7">
        <v>3.3441190000000001</v>
      </c>
      <c r="BY37" s="7">
        <v>1.5535920000000001</v>
      </c>
      <c r="BZ37" s="7">
        <v>0</v>
      </c>
      <c r="CA37" s="7">
        <v>0.59601859999999995</v>
      </c>
      <c r="CB37" s="7">
        <v>0.40398139999999999</v>
      </c>
      <c r="CC37" s="7">
        <v>0.23893010000000001</v>
      </c>
      <c r="CD37" s="7">
        <v>0.76106989999999997</v>
      </c>
      <c r="CE37" s="7">
        <v>4.1785170000000003</v>
      </c>
      <c r="CF37" s="7">
        <v>4.4110329999999998</v>
      </c>
      <c r="CG37" s="7">
        <v>2.098157</v>
      </c>
      <c r="CH37" s="7">
        <v>3.345243</v>
      </c>
      <c r="CI37" s="7">
        <v>1.1567000000000001</v>
      </c>
      <c r="CJ37" s="7">
        <v>1.038608</v>
      </c>
      <c r="CK37" s="7">
        <v>0.89790610000000004</v>
      </c>
      <c r="CL37" s="7">
        <v>0.91941110000000004</v>
      </c>
      <c r="CM37" s="7">
        <v>0.56350199999999995</v>
      </c>
      <c r="CN37" s="7">
        <v>0.60514999999999997</v>
      </c>
      <c r="CO37" s="7">
        <v>0.53786230000000002</v>
      </c>
      <c r="CP37" s="7">
        <v>-2.4395E-2</v>
      </c>
      <c r="CQ37" s="7">
        <v>-3.0485399999999999E-2</v>
      </c>
      <c r="CR37" s="7">
        <v>-2.3462799999999999E-2</v>
      </c>
      <c r="CS37" s="7">
        <v>1.249673</v>
      </c>
      <c r="CT37" s="7">
        <v>1.2339415549374935</v>
      </c>
      <c r="CU37" s="7">
        <v>1.2136399770840434</v>
      </c>
      <c r="CV37" s="7">
        <v>0.93985249999999998</v>
      </c>
      <c r="CW37" s="7">
        <v>1.1537550000000001</v>
      </c>
      <c r="CX37" s="7">
        <v>1.2202299999999999</v>
      </c>
      <c r="CY37" s="7">
        <v>1.2224386365448474</v>
      </c>
      <c r="CZ37" s="6"/>
      <c r="DI37" s="33"/>
      <c r="DJ37" s="11"/>
    </row>
    <row r="38" spans="1:114" customFormat="1" x14ac:dyDescent="0.3">
      <c r="A38" s="5">
        <v>1983</v>
      </c>
      <c r="B38" s="3">
        <v>234333</v>
      </c>
      <c r="C38" s="3">
        <v>3634038</v>
      </c>
      <c r="D38" s="12">
        <v>3.49824939402101</v>
      </c>
      <c r="E38" s="2">
        <v>4.1616569425261902</v>
      </c>
      <c r="F38" s="3">
        <v>2281605</v>
      </c>
      <c r="G38" s="3">
        <v>637518</v>
      </c>
      <c r="H38" s="3">
        <v>595393</v>
      </c>
      <c r="I38" s="3">
        <v>171164</v>
      </c>
      <c r="J38" s="3">
        <v>-51642</v>
      </c>
      <c r="K38" s="3">
        <f t="shared" si="4"/>
        <v>3638136</v>
      </c>
      <c r="L38" s="3">
        <f t="shared" si="5"/>
        <v>1092915</v>
      </c>
      <c r="M38" s="3">
        <f t="shared" si="6"/>
        <v>2545221</v>
      </c>
      <c r="N38" s="10">
        <v>4.3330984115600586</v>
      </c>
      <c r="O38" s="10">
        <v>3.8769104480743408</v>
      </c>
      <c r="P38" s="10">
        <v>4.6798324584960938</v>
      </c>
      <c r="Q38" s="9">
        <v>463797.25</v>
      </c>
      <c r="R38" s="9">
        <v>629117.75</v>
      </c>
      <c r="S38" s="9">
        <v>350633.75</v>
      </c>
      <c r="T38" s="9">
        <v>2194587.25</v>
      </c>
      <c r="U38" s="3">
        <v>2042380.5</v>
      </c>
      <c r="V38" s="3">
        <v>670899.4375</v>
      </c>
      <c r="W38" s="3">
        <v>1371481.125</v>
      </c>
      <c r="X38" s="2">
        <v>0.58256047964096069</v>
      </c>
      <c r="Y38" s="2">
        <v>3.3432269096374512</v>
      </c>
      <c r="Z38" s="2">
        <v>2.7578587532043457</v>
      </c>
      <c r="AA38" s="2">
        <v>3.6693527698516846</v>
      </c>
      <c r="AB38" s="2">
        <v>4.6554460525512695</v>
      </c>
      <c r="AC38" s="2">
        <v>4.5598320960998535</v>
      </c>
      <c r="AD38" s="2">
        <v>4.677121639251709</v>
      </c>
      <c r="AE38" s="2">
        <v>1.6745383739471436</v>
      </c>
      <c r="AF38" s="2">
        <v>1.2418984174728394</v>
      </c>
      <c r="AG38" s="2">
        <v>2.0667381286621094</v>
      </c>
      <c r="AH38" s="2">
        <v>0.62785494327545166</v>
      </c>
      <c r="AI38" s="2">
        <v>0.56207191944122314</v>
      </c>
      <c r="AJ38" s="3">
        <f t="shared" si="7"/>
        <v>2819604</v>
      </c>
      <c r="AK38" s="3">
        <v>909404</v>
      </c>
      <c r="AL38" s="3">
        <v>1910200</v>
      </c>
      <c r="AM38" s="2">
        <v>3.3103905568915302</v>
      </c>
      <c r="AN38" s="2">
        <v>4.1296874701986601</v>
      </c>
      <c r="AO38" s="2">
        <v>2.88579045848177</v>
      </c>
      <c r="AP38" s="2">
        <v>2.8910632981544899</v>
      </c>
      <c r="AQ38" s="2">
        <v>3.6585037622685599</v>
      </c>
      <c r="AR38" s="2">
        <v>5.3690706928073899</v>
      </c>
      <c r="AS38" s="3">
        <v>814433</v>
      </c>
      <c r="AT38" s="10">
        <v>4.3449331848552299</v>
      </c>
      <c r="AU38" s="10">
        <v>4.3222798290951499</v>
      </c>
      <c r="AV38" s="6"/>
      <c r="AW38" s="7">
        <f t="shared" si="8"/>
        <v>0.56947396403132988</v>
      </c>
      <c r="AX38" s="7">
        <f t="shared" si="9"/>
        <v>0.43052603596867017</v>
      </c>
      <c r="AY38" s="7">
        <f t="shared" si="10"/>
        <v>0.22279868116534837</v>
      </c>
      <c r="AZ38" s="7">
        <f t="shared" si="11"/>
        <v>0.7772013188346516</v>
      </c>
      <c r="BA38" s="7">
        <v>11.61702</v>
      </c>
      <c r="BB38" s="7">
        <v>0.60317580000000004</v>
      </c>
      <c r="BC38" s="7">
        <v>0.39682420000000002</v>
      </c>
      <c r="BD38" s="7">
        <v>0.64724230000000005</v>
      </c>
      <c r="BE38" s="7">
        <v>0</v>
      </c>
      <c r="BF38" s="7">
        <v>3.2592880000000002</v>
      </c>
      <c r="BG38" s="7">
        <v>3.2592889999999999</v>
      </c>
      <c r="BH38" s="7">
        <v>1</v>
      </c>
      <c r="BI38" s="7">
        <v>0.83056479999999999</v>
      </c>
      <c r="BJ38" s="7">
        <v>0.25390200000000002</v>
      </c>
      <c r="BK38" s="7">
        <v>0.74609800000000004</v>
      </c>
      <c r="BL38" s="7">
        <v>0.29117480000000001</v>
      </c>
      <c r="BM38" s="7">
        <v>3.9300000000000004E-15</v>
      </c>
      <c r="BN38" s="7">
        <v>3.049706</v>
      </c>
      <c r="BO38" s="7">
        <v>3.049706</v>
      </c>
      <c r="BP38" s="7">
        <v>1</v>
      </c>
      <c r="BQ38" s="7">
        <v>0.44890160000000001</v>
      </c>
      <c r="BR38" s="7">
        <v>0.23462150000000001</v>
      </c>
      <c r="BS38" s="7">
        <v>0.76537849999999996</v>
      </c>
      <c r="BT38" s="7">
        <v>0.55497370000000001</v>
      </c>
      <c r="BU38" s="7">
        <v>0.69686530000000002</v>
      </c>
      <c r="BV38" s="7">
        <v>0.44306980000000001</v>
      </c>
      <c r="BW38" s="7">
        <v>2.2260369999999998</v>
      </c>
      <c r="BX38" s="7">
        <v>3.5122710000000001</v>
      </c>
      <c r="BY38" s="7">
        <v>1.577814</v>
      </c>
      <c r="BZ38" s="7">
        <v>0</v>
      </c>
      <c r="CA38" s="7">
        <v>0.58082279999999997</v>
      </c>
      <c r="CB38" s="7">
        <v>0.41917720000000003</v>
      </c>
      <c r="CC38" s="7">
        <v>0.22739619999999999</v>
      </c>
      <c r="CD38" s="7">
        <v>0.77260390000000001</v>
      </c>
      <c r="CE38" s="7">
        <v>4.3144410000000004</v>
      </c>
      <c r="CF38" s="7">
        <v>4.7908869999999997</v>
      </c>
      <c r="CG38" s="7">
        <v>2.1779570000000001</v>
      </c>
      <c r="CH38" s="7">
        <v>3.506284</v>
      </c>
      <c r="CI38" s="7">
        <v>1.207104</v>
      </c>
      <c r="CJ38" s="7">
        <v>1.0827610000000001</v>
      </c>
      <c r="CK38" s="7">
        <v>0.89699079999999998</v>
      </c>
      <c r="CL38" s="7">
        <v>0.95557899999999996</v>
      </c>
      <c r="CM38" s="7">
        <v>0.56350199999999995</v>
      </c>
      <c r="CN38" s="7">
        <v>0.60514999999999997</v>
      </c>
      <c r="CO38" s="7">
        <v>0.53786230000000002</v>
      </c>
      <c r="CP38" s="7">
        <v>2.2197700000000001E-2</v>
      </c>
      <c r="CQ38" s="7">
        <v>1.9036600000000001E-2</v>
      </c>
      <c r="CR38" s="7">
        <v>2.3402699999999999E-2</v>
      </c>
      <c r="CS38" s="7">
        <v>1.2777229999999999</v>
      </c>
      <c r="CT38" s="7">
        <v>1.2576329065241358</v>
      </c>
      <c r="CU38" s="7">
        <v>1.2423627993273765</v>
      </c>
      <c r="CV38" s="7">
        <v>0.95582959999999995</v>
      </c>
      <c r="CW38" s="7">
        <v>1.1977800000000001</v>
      </c>
      <c r="CX38" s="7">
        <v>1.2475529999999999</v>
      </c>
      <c r="CY38" s="7">
        <v>1.2861730333415045</v>
      </c>
      <c r="CZ38" s="6"/>
      <c r="DI38" s="33"/>
      <c r="DJ38" s="11"/>
    </row>
    <row r="39" spans="1:114" customFormat="1" x14ac:dyDescent="0.3">
      <c r="A39" s="5">
        <v>1984</v>
      </c>
      <c r="B39" s="3">
        <v>236394</v>
      </c>
      <c r="C39" s="3">
        <v>4037613</v>
      </c>
      <c r="D39" s="12">
        <v>3.75141395098303</v>
      </c>
      <c r="E39" s="2">
        <v>4.3117868270302404</v>
      </c>
      <c r="F39" s="3">
        <v>2492340</v>
      </c>
      <c r="G39" s="3">
        <v>820089</v>
      </c>
      <c r="H39" s="3">
        <v>634728</v>
      </c>
      <c r="I39" s="3">
        <v>193182</v>
      </c>
      <c r="J39" s="3">
        <v>-102727</v>
      </c>
      <c r="K39" s="3">
        <f t="shared" si="4"/>
        <v>4040673</v>
      </c>
      <c r="L39" s="3">
        <f t="shared" si="5"/>
        <v>1229789</v>
      </c>
      <c r="M39" s="3">
        <f t="shared" si="6"/>
        <v>2810884</v>
      </c>
      <c r="N39" s="10">
        <v>4.4909582138061523</v>
      </c>
      <c r="O39" s="10">
        <v>3.9630751609802246</v>
      </c>
      <c r="P39" s="10">
        <v>4.880190372467041</v>
      </c>
      <c r="Q39" s="9">
        <v>539739.75</v>
      </c>
      <c r="R39" s="9">
        <v>690049.25</v>
      </c>
      <c r="S39" s="9">
        <v>408133.25</v>
      </c>
      <c r="T39" s="9">
        <v>2402750.75</v>
      </c>
      <c r="U39" s="3">
        <v>2272605.25</v>
      </c>
      <c r="V39" s="3">
        <v>760622.4375</v>
      </c>
      <c r="W39" s="3">
        <v>1511982.875</v>
      </c>
      <c r="X39" s="2">
        <v>0.57829076051712036</v>
      </c>
      <c r="Y39" s="2">
        <v>3.5793313980102539</v>
      </c>
      <c r="Z39" s="2">
        <v>3.0325381755828857</v>
      </c>
      <c r="AA39" s="2">
        <v>3.88210129737854</v>
      </c>
      <c r="AB39" s="2">
        <v>4.8542585372924805</v>
      </c>
      <c r="AC39" s="2">
        <v>4.6733393669128418</v>
      </c>
      <c r="AD39" s="2">
        <v>4.9088864326477051</v>
      </c>
      <c r="AE39" s="2">
        <v>1.7689400911331177</v>
      </c>
      <c r="AF39" s="2">
        <v>1.3339046239852905</v>
      </c>
      <c r="AG39" s="2">
        <v>2.1653163433074951</v>
      </c>
      <c r="AH39" s="2">
        <v>0.6228710412979126</v>
      </c>
      <c r="AI39" s="2">
        <v>0.55845403671264648</v>
      </c>
      <c r="AJ39" s="3">
        <f t="shared" si="7"/>
        <v>3089746</v>
      </c>
      <c r="AK39" s="3">
        <v>1024075</v>
      </c>
      <c r="AL39" s="3">
        <v>2065671</v>
      </c>
      <c r="AM39" s="2">
        <v>3.47674829984564</v>
      </c>
      <c r="AN39" s="2">
        <v>4.3088146902494202</v>
      </c>
      <c r="AO39" s="2">
        <v>2.94906717220662</v>
      </c>
      <c r="AP39" s="2">
        <v>3.18575690281207</v>
      </c>
      <c r="AQ39" s="2">
        <v>3.7596189913344502</v>
      </c>
      <c r="AR39" s="2">
        <v>5.6499044765600797</v>
      </c>
      <c r="AS39" s="3">
        <v>947866</v>
      </c>
      <c r="AT39" s="10">
        <v>4.99707683741648</v>
      </c>
      <c r="AU39" s="10">
        <v>4.3739270756594797</v>
      </c>
      <c r="AV39" s="6"/>
      <c r="AW39" s="7">
        <f t="shared" si="8"/>
        <v>0.56942201117660274</v>
      </c>
      <c r="AX39" s="7">
        <f t="shared" si="9"/>
        <v>0.43057798882339721</v>
      </c>
      <c r="AY39" s="7">
        <f t="shared" si="10"/>
        <v>0.22311473422141748</v>
      </c>
      <c r="AZ39" s="7">
        <f t="shared" si="11"/>
        <v>0.77688526577858252</v>
      </c>
      <c r="BA39" s="7">
        <v>12.591390000000001</v>
      </c>
      <c r="BB39" s="7">
        <v>0.59839339999999996</v>
      </c>
      <c r="BC39" s="7">
        <v>0.40160659999999998</v>
      </c>
      <c r="BD39" s="7">
        <v>0.64724230000000005</v>
      </c>
      <c r="BE39" s="7">
        <v>0</v>
      </c>
      <c r="BF39" s="7">
        <v>3.4586060000000001</v>
      </c>
      <c r="BG39" s="7">
        <v>3.4586060000000001</v>
      </c>
      <c r="BH39" s="7">
        <v>1</v>
      </c>
      <c r="BI39" s="7">
        <v>0.83056479999999999</v>
      </c>
      <c r="BJ39" s="7">
        <v>0.25014310000000001</v>
      </c>
      <c r="BK39" s="7">
        <v>0.74985679999999999</v>
      </c>
      <c r="BL39" s="7">
        <v>0.29117480000000001</v>
      </c>
      <c r="BM39" s="7">
        <v>3.9300000000000004E-15</v>
      </c>
      <c r="BN39" s="7">
        <v>3.2137790000000002</v>
      </c>
      <c r="BO39" s="7">
        <v>3.2137790000000002</v>
      </c>
      <c r="BP39" s="7">
        <v>1</v>
      </c>
      <c r="BQ39" s="7">
        <v>0.44890160000000001</v>
      </c>
      <c r="BR39" s="7">
        <v>0.22647729999999999</v>
      </c>
      <c r="BS39" s="7">
        <v>0.77352270000000001</v>
      </c>
      <c r="BT39" s="7">
        <v>0.55497370000000001</v>
      </c>
      <c r="BU39" s="7">
        <v>0.69686530000000002</v>
      </c>
      <c r="BV39" s="7">
        <v>0.44306980000000001</v>
      </c>
      <c r="BW39" s="7">
        <v>2.2983950000000002</v>
      </c>
      <c r="BX39" s="7">
        <v>3.7218629999999999</v>
      </c>
      <c r="BY39" s="7">
        <v>1.6193310000000001</v>
      </c>
      <c r="BZ39" s="7">
        <v>0</v>
      </c>
      <c r="CA39" s="7">
        <v>0.56944790000000001</v>
      </c>
      <c r="CB39" s="7">
        <v>0.43055209999999999</v>
      </c>
      <c r="CC39" s="7">
        <v>0.22295680000000001</v>
      </c>
      <c r="CD39" s="7">
        <v>0.77704320000000004</v>
      </c>
      <c r="CE39" s="7">
        <v>4.9116850000000003</v>
      </c>
      <c r="CF39" s="7">
        <v>5.3475250000000001</v>
      </c>
      <c r="CG39" s="7">
        <v>2.3329240000000002</v>
      </c>
      <c r="CH39" s="7">
        <v>3.674903</v>
      </c>
      <c r="CI39" s="7">
        <v>1.2314149999999999</v>
      </c>
      <c r="CJ39" s="7">
        <v>1.1157699999999999</v>
      </c>
      <c r="CK39" s="7">
        <v>0.90608739999999999</v>
      </c>
      <c r="CL39" s="7">
        <v>0.9852417</v>
      </c>
      <c r="CM39" s="7">
        <v>0.56350199999999995</v>
      </c>
      <c r="CN39" s="7">
        <v>0.60514999999999997</v>
      </c>
      <c r="CO39" s="7">
        <v>0.53786230000000002</v>
      </c>
      <c r="CP39" s="7">
        <v>1.9081600000000001E-2</v>
      </c>
      <c r="CQ39" s="7">
        <v>4.3939699999999998E-2</v>
      </c>
      <c r="CR39" s="7">
        <v>8.9940999999999997E-3</v>
      </c>
      <c r="CS39" s="7">
        <v>1.302338</v>
      </c>
      <c r="CT39" s="7">
        <v>1.3141653280511603</v>
      </c>
      <c r="CU39" s="7">
        <v>1.2535856624038773</v>
      </c>
      <c r="CV39" s="7">
        <v>0.97384789999999999</v>
      </c>
      <c r="CW39" s="7">
        <v>1.2592509999999999</v>
      </c>
      <c r="CX39" s="7">
        <v>1.271425</v>
      </c>
      <c r="CY39" s="7">
        <v>1.3439101140044269</v>
      </c>
      <c r="CZ39" s="6"/>
      <c r="DI39" s="33"/>
      <c r="DJ39" s="11"/>
    </row>
    <row r="40" spans="1:114" customFormat="1" x14ac:dyDescent="0.3">
      <c r="A40" s="5">
        <v>1985</v>
      </c>
      <c r="B40" s="3">
        <v>238506</v>
      </c>
      <c r="C40" s="3">
        <v>4338979</v>
      </c>
      <c r="D40" s="12">
        <v>3.9078014184397198</v>
      </c>
      <c r="E40" s="2">
        <v>4.4481829643872004</v>
      </c>
      <c r="F40" s="3">
        <v>2712830</v>
      </c>
      <c r="G40" s="3">
        <v>829650</v>
      </c>
      <c r="H40" s="3">
        <v>690640</v>
      </c>
      <c r="I40" s="3">
        <v>219876</v>
      </c>
      <c r="J40" s="3">
        <v>-114018</v>
      </c>
      <c r="K40" s="3">
        <f t="shared" si="4"/>
        <v>4346744.7699999996</v>
      </c>
      <c r="L40" s="3">
        <f t="shared" si="5"/>
        <v>1280537.9300000002</v>
      </c>
      <c r="M40" s="3">
        <f t="shared" si="6"/>
        <v>3066206.84</v>
      </c>
      <c r="N40" s="10">
        <v>4.6316547393798828</v>
      </c>
      <c r="O40" s="10">
        <v>3.9274370670318604</v>
      </c>
      <c r="P40" s="10">
        <v>5.1217985153198242</v>
      </c>
      <c r="Q40" s="9">
        <v>575881.62</v>
      </c>
      <c r="R40" s="9">
        <v>704656.31</v>
      </c>
      <c r="S40" s="9">
        <v>451817.34</v>
      </c>
      <c r="T40" s="9">
        <v>2614389.5</v>
      </c>
      <c r="U40" s="3">
        <v>2468433.25</v>
      </c>
      <c r="V40" s="3">
        <v>806297.5625</v>
      </c>
      <c r="W40" s="3">
        <v>1662135.625</v>
      </c>
      <c r="X40" s="2">
        <v>0.58164787292480469</v>
      </c>
      <c r="Y40" s="2">
        <v>3.7367382049560547</v>
      </c>
      <c r="Z40" s="2">
        <v>3.1847002506256104</v>
      </c>
      <c r="AA40" s="2">
        <v>4.0423216819763184</v>
      </c>
      <c r="AB40" s="2">
        <v>5.0852212905883789</v>
      </c>
      <c r="AC40" s="2">
        <v>4.8268799781799316</v>
      </c>
      <c r="AD40" s="2">
        <v>5.1692371368408203</v>
      </c>
      <c r="AE40" s="2">
        <v>1.8069400787353516</v>
      </c>
      <c r="AF40" s="2">
        <v>1.3505531549453735</v>
      </c>
      <c r="AG40" s="2">
        <v>2.2215232849121094</v>
      </c>
      <c r="AH40" s="2">
        <v>0.63135182857513428</v>
      </c>
      <c r="AI40" s="2">
        <v>0.55990046262741089</v>
      </c>
      <c r="AJ40" s="3">
        <f t="shared" si="7"/>
        <v>3311276</v>
      </c>
      <c r="AK40" s="3">
        <v>1043627</v>
      </c>
      <c r="AL40" s="3">
        <v>2267649</v>
      </c>
      <c r="AM40" s="2">
        <v>3.5917769484438402</v>
      </c>
      <c r="AN40" s="2">
        <v>4.4698639239902302</v>
      </c>
      <c r="AO40" s="2">
        <v>3.0822665651273802</v>
      </c>
      <c r="AP40" s="2">
        <v>3.1062803148117601</v>
      </c>
      <c r="AQ40" s="2">
        <v>3.9424151096721101</v>
      </c>
      <c r="AR40" s="2">
        <v>5.9147619397915596</v>
      </c>
      <c r="AS40" s="3">
        <v>1027702</v>
      </c>
      <c r="AT40" s="10">
        <v>5.3471603563474304</v>
      </c>
      <c r="AU40" s="10">
        <v>4.4318455146013704</v>
      </c>
      <c r="AV40" s="6"/>
      <c r="AW40" s="7">
        <f t="shared" si="8"/>
        <v>0.56036022455447465</v>
      </c>
      <c r="AX40" s="7">
        <f t="shared" si="9"/>
        <v>0.43963977544552546</v>
      </c>
      <c r="AY40" s="7">
        <f t="shared" si="10"/>
        <v>0.21230689491447544</v>
      </c>
      <c r="AZ40" s="7">
        <f t="shared" si="11"/>
        <v>0.78769310508552459</v>
      </c>
      <c r="BA40" s="7">
        <v>13.40691</v>
      </c>
      <c r="BB40" s="7">
        <v>0.58453560000000004</v>
      </c>
      <c r="BC40" s="7">
        <v>0.41546440000000001</v>
      </c>
      <c r="BD40" s="7">
        <v>0.64724230000000005</v>
      </c>
      <c r="BE40" s="7">
        <v>0</v>
      </c>
      <c r="BF40" s="7">
        <v>3.6624029999999999</v>
      </c>
      <c r="BG40" s="7">
        <v>3.6624029999999999</v>
      </c>
      <c r="BH40" s="7">
        <v>1</v>
      </c>
      <c r="BI40" s="7">
        <v>0.83056479999999999</v>
      </c>
      <c r="BJ40" s="7">
        <v>0.2395399</v>
      </c>
      <c r="BK40" s="7">
        <v>0.76046009999999997</v>
      </c>
      <c r="BL40" s="7">
        <v>0.29117480000000001</v>
      </c>
      <c r="BM40" s="7">
        <v>3.9300000000000004E-15</v>
      </c>
      <c r="BN40" s="7">
        <v>3.3361540000000001</v>
      </c>
      <c r="BO40" s="7">
        <v>3.3361540000000001</v>
      </c>
      <c r="BP40" s="7">
        <v>1</v>
      </c>
      <c r="BQ40" s="7">
        <v>0.44890160000000001</v>
      </c>
      <c r="BR40" s="7">
        <v>0.21586759999999999</v>
      </c>
      <c r="BS40" s="7">
        <v>0.78413239999999995</v>
      </c>
      <c r="BT40" s="7">
        <v>0.55497370000000001</v>
      </c>
      <c r="BU40" s="7">
        <v>0.69686530000000002</v>
      </c>
      <c r="BV40" s="7">
        <v>0.44306980000000001</v>
      </c>
      <c r="BW40" s="7">
        <v>2.374806</v>
      </c>
      <c r="BX40" s="7">
        <v>3.8619690000000002</v>
      </c>
      <c r="BY40" s="7">
        <v>1.626225</v>
      </c>
      <c r="BZ40" s="7">
        <v>0</v>
      </c>
      <c r="CA40" s="7">
        <v>0.56489109999999998</v>
      </c>
      <c r="CB40" s="7">
        <v>0.43510890000000002</v>
      </c>
      <c r="CC40" s="7">
        <v>0.21771099999999999</v>
      </c>
      <c r="CD40" s="7">
        <v>0.78228900000000001</v>
      </c>
      <c r="CE40" s="7">
        <v>5.2881830000000001</v>
      </c>
      <c r="CF40" s="7">
        <v>5.6406999999999998</v>
      </c>
      <c r="CG40" s="7">
        <v>2.4064519999999998</v>
      </c>
      <c r="CH40" s="7">
        <v>3.813977</v>
      </c>
      <c r="CI40" s="7">
        <v>1.3041069999999999</v>
      </c>
      <c r="CJ40" s="7">
        <v>1.155694</v>
      </c>
      <c r="CK40" s="7">
        <v>0.88619599999999998</v>
      </c>
      <c r="CL40" s="7">
        <v>1.008694</v>
      </c>
      <c r="CM40" s="7">
        <v>0.56350199999999995</v>
      </c>
      <c r="CN40" s="7">
        <v>0.60514999999999997</v>
      </c>
      <c r="CO40" s="7">
        <v>0.53786230000000002</v>
      </c>
      <c r="CP40" s="7">
        <v>1.07709E-2</v>
      </c>
      <c r="CQ40" s="7">
        <v>2.78582E-2</v>
      </c>
      <c r="CR40" s="7">
        <v>3.4445999999999999E-3</v>
      </c>
      <c r="CS40" s="7">
        <v>1.316441</v>
      </c>
      <c r="CT40" s="7">
        <v>1.3512727183196291</v>
      </c>
      <c r="CU40" s="7">
        <v>1.2578897168506402</v>
      </c>
      <c r="CV40" s="7">
        <v>0.97653719999999999</v>
      </c>
      <c r="CW40" s="7">
        <v>1.286834</v>
      </c>
      <c r="CX40" s="7">
        <v>1.2845329999999999</v>
      </c>
      <c r="CY40" s="7">
        <v>1.3814887499240927</v>
      </c>
      <c r="CZ40" s="6"/>
      <c r="DI40" s="33"/>
      <c r="DJ40" s="11"/>
    </row>
    <row r="41" spans="1:114" customFormat="1" x14ac:dyDescent="0.3">
      <c r="A41" s="5">
        <v>1986</v>
      </c>
      <c r="B41" s="3">
        <v>240683</v>
      </c>
      <c r="C41" s="3">
        <v>4579631</v>
      </c>
      <c r="D41" s="12">
        <v>4.04318161414849</v>
      </c>
      <c r="E41" s="2">
        <v>4.53768994050853</v>
      </c>
      <c r="F41" s="3">
        <v>2886278</v>
      </c>
      <c r="G41" s="3">
        <v>849146</v>
      </c>
      <c r="H41" s="3">
        <v>737989</v>
      </c>
      <c r="I41" s="3">
        <v>238087</v>
      </c>
      <c r="J41" s="3">
        <v>-131869</v>
      </c>
      <c r="K41" s="3">
        <f t="shared" si="4"/>
        <v>4590168.0600000005</v>
      </c>
      <c r="L41" s="3">
        <f t="shared" si="5"/>
        <v>1293185</v>
      </c>
      <c r="M41" s="3">
        <f t="shared" si="6"/>
        <v>3296983.06</v>
      </c>
      <c r="N41" s="10">
        <v>4.7225813865661621</v>
      </c>
      <c r="O41" s="10">
        <v>3.8808143138885498</v>
      </c>
      <c r="P41" s="10">
        <v>5.2907686233520508</v>
      </c>
      <c r="Q41" s="9">
        <v>594227.43999999994</v>
      </c>
      <c r="R41" s="9">
        <v>698957.56</v>
      </c>
      <c r="S41" s="9">
        <v>486431.56</v>
      </c>
      <c r="T41" s="9">
        <v>2810551.5</v>
      </c>
      <c r="U41" s="3">
        <v>2613823</v>
      </c>
      <c r="V41" s="3">
        <v>832855.625</v>
      </c>
      <c r="W41" s="3">
        <v>1780967.25</v>
      </c>
      <c r="X41" s="2">
        <v>0.58472657203674316</v>
      </c>
      <c r="Y41" s="2">
        <v>3.8736491203308105</v>
      </c>
      <c r="Z41" s="2">
        <v>3.2635104656219482</v>
      </c>
      <c r="AA41" s="2">
        <v>4.2105350494384766</v>
      </c>
      <c r="AB41" s="2">
        <v>5.3226032257080078</v>
      </c>
      <c r="AC41" s="2">
        <v>4.9581489562988281</v>
      </c>
      <c r="AD41" s="2">
        <v>5.4448566436767578</v>
      </c>
      <c r="AE41" s="2">
        <v>1.8209192752838135</v>
      </c>
      <c r="AF41" s="2">
        <v>1.325040340423584</v>
      </c>
      <c r="AG41" s="2">
        <v>2.2674472332000732</v>
      </c>
      <c r="AH41" s="2">
        <v>0.64356178045272827</v>
      </c>
      <c r="AI41" s="2">
        <v>0.56038719415664673</v>
      </c>
      <c r="AJ41" s="3">
        <f t="shared" si="7"/>
        <v>3498970</v>
      </c>
      <c r="AK41" s="3">
        <v>1063639</v>
      </c>
      <c r="AL41" s="3">
        <v>2435331</v>
      </c>
      <c r="AM41" s="2">
        <v>3.7197709965820001</v>
      </c>
      <c r="AN41" s="2">
        <v>4.5607056055030002</v>
      </c>
      <c r="AO41" s="2">
        <v>3.2054795924431301</v>
      </c>
      <c r="AP41" s="2">
        <v>3.0441550589992801</v>
      </c>
      <c r="AQ41" s="2">
        <v>4.0996228632340204</v>
      </c>
      <c r="AR41" s="2">
        <v>6.1085464132436202</v>
      </c>
      <c r="AS41" s="3">
        <v>1080662</v>
      </c>
      <c r="AT41" s="10">
        <v>5.5153118040089</v>
      </c>
      <c r="AU41" s="10">
        <v>4.5181477657850602</v>
      </c>
      <c r="AV41" s="6"/>
      <c r="AW41" s="7">
        <f t="shared" si="8"/>
        <v>0.54987506697302291</v>
      </c>
      <c r="AX41" s="7">
        <f t="shared" si="9"/>
        <v>0.45012493302697704</v>
      </c>
      <c r="AY41" s="7">
        <f t="shared" si="10"/>
        <v>0.19916106442534731</v>
      </c>
      <c r="AZ41" s="7">
        <f t="shared" si="11"/>
        <v>0.80083893557465269</v>
      </c>
      <c r="BA41" s="7">
        <v>14.0661</v>
      </c>
      <c r="BB41" s="7">
        <v>0.57371399999999995</v>
      </c>
      <c r="BC41" s="7">
        <v>0.426286</v>
      </c>
      <c r="BD41" s="7">
        <v>0.64724230000000005</v>
      </c>
      <c r="BE41" s="7">
        <v>0</v>
      </c>
      <c r="BF41" s="7">
        <v>3.8514840000000001</v>
      </c>
      <c r="BG41" s="7">
        <v>3.8514840000000001</v>
      </c>
      <c r="BH41" s="7">
        <v>1</v>
      </c>
      <c r="BI41" s="7">
        <v>0.83056479999999999</v>
      </c>
      <c r="BJ41" s="7">
        <v>0.23154569999999999</v>
      </c>
      <c r="BK41" s="7">
        <v>0.76845430000000003</v>
      </c>
      <c r="BL41" s="7">
        <v>0.29117480000000001</v>
      </c>
      <c r="BM41" s="7">
        <v>3.9300000000000004E-15</v>
      </c>
      <c r="BN41" s="7">
        <v>3.4552740000000002</v>
      </c>
      <c r="BO41" s="7">
        <v>3.4552740000000002</v>
      </c>
      <c r="BP41" s="7">
        <v>1</v>
      </c>
      <c r="BQ41" s="7">
        <v>0.44890160000000001</v>
      </c>
      <c r="BR41" s="7">
        <v>0.2074936</v>
      </c>
      <c r="BS41" s="7">
        <v>0.79250640000000006</v>
      </c>
      <c r="BT41" s="7">
        <v>0.55497370000000001</v>
      </c>
      <c r="BU41" s="7">
        <v>0.69686530000000002</v>
      </c>
      <c r="BV41" s="7">
        <v>0.44306980000000001</v>
      </c>
      <c r="BW41" s="7">
        <v>2.445811</v>
      </c>
      <c r="BX41" s="7">
        <v>4.0005249999999997</v>
      </c>
      <c r="BY41" s="7">
        <v>1.635664</v>
      </c>
      <c r="BZ41" s="7">
        <v>0</v>
      </c>
      <c r="CA41" s="7">
        <v>0.55511739999999998</v>
      </c>
      <c r="CB41" s="7">
        <v>0.44488250000000001</v>
      </c>
      <c r="CC41" s="7">
        <v>0.2057341</v>
      </c>
      <c r="CD41" s="7">
        <v>0.79426589999999997</v>
      </c>
      <c r="CE41" s="7">
        <v>5.5222040000000003</v>
      </c>
      <c r="CF41" s="7">
        <v>5.878889</v>
      </c>
      <c r="CG41" s="7">
        <v>2.418771</v>
      </c>
      <c r="CH41" s="7">
        <v>3.9743040000000001</v>
      </c>
      <c r="CI41" s="7">
        <v>1.3633139999999999</v>
      </c>
      <c r="CJ41" s="7">
        <v>1.171041</v>
      </c>
      <c r="CK41" s="7">
        <v>0.85896640000000002</v>
      </c>
      <c r="CL41" s="7">
        <v>1.0095810000000001</v>
      </c>
      <c r="CM41" s="7">
        <v>0.56350199999999995</v>
      </c>
      <c r="CN41" s="7">
        <v>0.60514999999999997</v>
      </c>
      <c r="CO41" s="7">
        <v>0.53786230000000002</v>
      </c>
      <c r="CP41" s="7">
        <v>1.17264E-2</v>
      </c>
      <c r="CQ41" s="7">
        <v>2.3479799999999999E-2</v>
      </c>
      <c r="CR41" s="7">
        <v>6.5659999999999998E-3</v>
      </c>
      <c r="CS41" s="7">
        <v>1.331969</v>
      </c>
      <c r="CT41" s="7">
        <v>1.3833341133285872</v>
      </c>
      <c r="CU41" s="7">
        <v>1.2661500043537266</v>
      </c>
      <c r="CV41" s="7">
        <v>0.96541399999999999</v>
      </c>
      <c r="CW41" s="7">
        <v>1.2942469999999999</v>
      </c>
      <c r="CX41" s="7">
        <v>1.2990200000000001</v>
      </c>
      <c r="CY41" s="7">
        <v>1.3966587140344453</v>
      </c>
      <c r="CZ41" s="6"/>
      <c r="DI41" s="33"/>
      <c r="DJ41" s="11"/>
    </row>
    <row r="42" spans="1:114" customFormat="1" x14ac:dyDescent="0.3">
      <c r="A42" s="5">
        <v>1987</v>
      </c>
      <c r="B42" s="3">
        <v>242843</v>
      </c>
      <c r="C42" s="3">
        <v>4855215</v>
      </c>
      <c r="D42" s="12">
        <v>4.1827812191399598</v>
      </c>
      <c r="E42" s="2">
        <v>4.6501921357971003</v>
      </c>
      <c r="F42" s="3">
        <v>3076279</v>
      </c>
      <c r="G42" s="3">
        <v>892176</v>
      </c>
      <c r="H42" s="3">
        <v>776893</v>
      </c>
      <c r="I42" s="3">
        <v>254637</v>
      </c>
      <c r="J42" s="3">
        <v>-144770</v>
      </c>
      <c r="K42" s="3">
        <f t="shared" si="4"/>
        <v>4870225.9399999995</v>
      </c>
      <c r="L42" s="3">
        <f t="shared" si="5"/>
        <v>1370745</v>
      </c>
      <c r="M42" s="3">
        <f t="shared" si="6"/>
        <v>3499480.94</v>
      </c>
      <c r="N42" s="10">
        <v>4.8716411590576172</v>
      </c>
      <c r="O42" s="10">
        <v>3.9077723026275635</v>
      </c>
      <c r="P42" s="10">
        <v>5.5109705924987793</v>
      </c>
      <c r="Q42" s="9">
        <v>616982.31000000006</v>
      </c>
      <c r="R42" s="9">
        <v>753762.69</v>
      </c>
      <c r="S42" s="9">
        <v>502688.69</v>
      </c>
      <c r="T42" s="9">
        <v>2996792.25</v>
      </c>
      <c r="U42" s="3">
        <v>2806064.5</v>
      </c>
      <c r="V42" s="3">
        <v>864301.3125</v>
      </c>
      <c r="W42" s="3">
        <v>1941763</v>
      </c>
      <c r="X42" s="2">
        <v>0.587807297706604</v>
      </c>
      <c r="Y42" s="2">
        <v>3.9964404106140137</v>
      </c>
      <c r="Z42" s="2">
        <v>3.4412012100219727</v>
      </c>
      <c r="AA42" s="2">
        <v>4.3061141967773438</v>
      </c>
      <c r="AB42" s="2">
        <v>5.5711402893066406</v>
      </c>
      <c r="AC42" s="2">
        <v>5.0682663917541504</v>
      </c>
      <c r="AD42" s="2">
        <v>5.7438869476318359</v>
      </c>
      <c r="AE42" s="2">
        <v>1.8855457305908203</v>
      </c>
      <c r="AF42" s="2">
        <v>1.34930419921875</v>
      </c>
      <c r="AG42" s="2">
        <v>2.3659131526947021</v>
      </c>
      <c r="AH42" s="2">
        <v>0.6426156759262085</v>
      </c>
      <c r="AI42" s="2">
        <v>0.565784752368927</v>
      </c>
      <c r="AJ42" s="3">
        <f t="shared" si="7"/>
        <v>3735551</v>
      </c>
      <c r="AK42" s="3">
        <v>1134232</v>
      </c>
      <c r="AL42" s="3">
        <v>2601319</v>
      </c>
      <c r="AM42" s="2">
        <v>3.8674623705971101</v>
      </c>
      <c r="AN42" s="2">
        <v>4.6831354784397003</v>
      </c>
      <c r="AO42" s="2">
        <v>3.3034933875684298</v>
      </c>
      <c r="AP42" s="2">
        <v>3.1498798440833502</v>
      </c>
      <c r="AQ42" s="2">
        <v>4.2473832707343302</v>
      </c>
      <c r="AR42" s="2">
        <v>6.2979027242451604</v>
      </c>
      <c r="AS42" s="3">
        <v>1119664</v>
      </c>
      <c r="AT42" s="10">
        <v>5.6128897550111301</v>
      </c>
      <c r="AU42" s="10">
        <v>4.5998304370603398</v>
      </c>
      <c r="AV42" s="6"/>
      <c r="AW42" s="7">
        <f t="shared" si="8"/>
        <v>0.55103893018574213</v>
      </c>
      <c r="AX42" s="7">
        <f t="shared" si="9"/>
        <v>0.44896106981425793</v>
      </c>
      <c r="AY42" s="7">
        <f t="shared" si="10"/>
        <v>0.20097364311639704</v>
      </c>
      <c r="AZ42" s="7">
        <f t="shared" si="11"/>
        <v>0.79902635688360291</v>
      </c>
      <c r="BA42" s="7">
        <v>14.96224</v>
      </c>
      <c r="BB42" s="7">
        <v>0.56541439999999998</v>
      </c>
      <c r="BC42" s="7">
        <v>0.43458560000000002</v>
      </c>
      <c r="BD42" s="7">
        <v>0.64724230000000005</v>
      </c>
      <c r="BE42" s="7">
        <v>0</v>
      </c>
      <c r="BF42" s="7">
        <v>4.0457229999999997</v>
      </c>
      <c r="BG42" s="7">
        <v>4.0457229999999997</v>
      </c>
      <c r="BH42" s="7">
        <v>1</v>
      </c>
      <c r="BI42" s="7">
        <v>0.83056479999999999</v>
      </c>
      <c r="BJ42" s="7">
        <v>0.22557669999999999</v>
      </c>
      <c r="BK42" s="7">
        <v>0.77442330000000004</v>
      </c>
      <c r="BL42" s="7">
        <v>0.29117480000000001</v>
      </c>
      <c r="BM42" s="7">
        <v>3.9300000000000004E-15</v>
      </c>
      <c r="BN42" s="7">
        <v>3.587869</v>
      </c>
      <c r="BO42" s="7">
        <v>3.587869</v>
      </c>
      <c r="BP42" s="7">
        <v>1</v>
      </c>
      <c r="BQ42" s="7">
        <v>0.44890160000000001</v>
      </c>
      <c r="BR42" s="7">
        <v>0.20030919999999999</v>
      </c>
      <c r="BS42" s="7">
        <v>0.79969080000000003</v>
      </c>
      <c r="BT42" s="7">
        <v>0.55497370000000001</v>
      </c>
      <c r="BU42" s="7">
        <v>0.69686530000000002</v>
      </c>
      <c r="BV42" s="7">
        <v>0.44306980000000001</v>
      </c>
      <c r="BW42" s="7">
        <v>2.5166089999999999</v>
      </c>
      <c r="BX42" s="7">
        <v>4.1593939999999998</v>
      </c>
      <c r="BY42" s="7">
        <v>1.6527769999999999</v>
      </c>
      <c r="BZ42" s="7">
        <v>0</v>
      </c>
      <c r="CA42" s="7">
        <v>0.55045679999999997</v>
      </c>
      <c r="CB42" s="7">
        <v>0.44954319999999998</v>
      </c>
      <c r="CC42" s="7">
        <v>0.20006740000000001</v>
      </c>
      <c r="CD42" s="7">
        <v>0.79993259999999999</v>
      </c>
      <c r="CE42" s="7">
        <v>5.6940580000000001</v>
      </c>
      <c r="CF42" s="7">
        <v>5.8325670000000001</v>
      </c>
      <c r="CG42" s="7">
        <v>2.601515</v>
      </c>
      <c r="CH42" s="7">
        <v>4.0857400000000004</v>
      </c>
      <c r="CI42" s="7">
        <v>1.4102589999999999</v>
      </c>
      <c r="CJ42" s="7">
        <v>1.1981090000000001</v>
      </c>
      <c r="CK42" s="7">
        <v>0.84956670000000001</v>
      </c>
      <c r="CL42" s="7">
        <v>1.018176</v>
      </c>
      <c r="CM42" s="7">
        <v>0.56350199999999995</v>
      </c>
      <c r="CN42" s="7">
        <v>0.60514999999999997</v>
      </c>
      <c r="CO42" s="7">
        <v>0.53786230000000002</v>
      </c>
      <c r="CP42" s="7">
        <v>-8.3660999999999996E-3</v>
      </c>
      <c r="CQ42" s="7">
        <v>3.3203499999999997E-2</v>
      </c>
      <c r="CR42" s="7">
        <v>-2.4845200000000001E-2</v>
      </c>
      <c r="CS42" s="7">
        <v>1.320873</v>
      </c>
      <c r="CT42" s="7">
        <v>1.4300331124900085</v>
      </c>
      <c r="CU42" s="7">
        <v>1.2350709458220739</v>
      </c>
      <c r="CV42" s="7">
        <v>0.96949269999999999</v>
      </c>
      <c r="CW42" s="7">
        <v>1.3142720000000001</v>
      </c>
      <c r="CX42" s="7">
        <v>1.2869710000000001</v>
      </c>
      <c r="CY42" s="7">
        <v>1.3990716455776517</v>
      </c>
      <c r="CZ42" s="6"/>
      <c r="DI42" s="33"/>
      <c r="DJ42" s="11"/>
    </row>
    <row r="43" spans="1:114" customFormat="1" x14ac:dyDescent="0.3">
      <c r="A43" s="5">
        <v>1988</v>
      </c>
      <c r="B43" s="3">
        <v>245061</v>
      </c>
      <c r="C43" s="3">
        <v>5236438</v>
      </c>
      <c r="D43" s="12">
        <v>4.3575724930424604</v>
      </c>
      <c r="E43" s="2">
        <v>4.8141423239239503</v>
      </c>
      <c r="F43" s="3">
        <v>3330012</v>
      </c>
      <c r="G43" s="3">
        <v>936963</v>
      </c>
      <c r="H43" s="3">
        <v>820454</v>
      </c>
      <c r="I43" s="3">
        <v>258401</v>
      </c>
      <c r="J43" s="3">
        <v>-109393</v>
      </c>
      <c r="K43" s="3">
        <f t="shared" si="4"/>
        <v>5252639.0600000005</v>
      </c>
      <c r="L43" s="3">
        <f t="shared" si="5"/>
        <v>1469433</v>
      </c>
      <c r="M43" s="3">
        <f t="shared" si="6"/>
        <v>3783206.06</v>
      </c>
      <c r="N43" s="10">
        <v>5.045649528503418</v>
      </c>
      <c r="O43" s="10">
        <v>4.0140585899353027</v>
      </c>
      <c r="P43" s="10">
        <v>5.7266683578491211</v>
      </c>
      <c r="Q43" s="9">
        <v>650462.93999999994</v>
      </c>
      <c r="R43" s="9">
        <v>818970.06</v>
      </c>
      <c r="S43" s="9">
        <v>526416.06000000006</v>
      </c>
      <c r="T43" s="9">
        <v>3256790</v>
      </c>
      <c r="U43" s="3">
        <v>3071243.25</v>
      </c>
      <c r="V43" s="3">
        <v>933561.625</v>
      </c>
      <c r="W43" s="3">
        <v>2137681.5</v>
      </c>
      <c r="X43" s="2">
        <v>0.59457463026046753</v>
      </c>
      <c r="Y43" s="2">
        <v>4.163815975189209</v>
      </c>
      <c r="Z43" s="2">
        <v>3.5917632579803467</v>
      </c>
      <c r="AA43" s="2">
        <v>4.483245849609375</v>
      </c>
      <c r="AB43" s="2">
        <v>5.7736272811889648</v>
      </c>
      <c r="AC43" s="2">
        <v>5.0646696090698242</v>
      </c>
      <c r="AD43" s="2">
        <v>6.0273118019104004</v>
      </c>
      <c r="AE43" s="2">
        <v>1.9368704557418823</v>
      </c>
      <c r="AF43" s="2">
        <v>1.4036611318588257</v>
      </c>
      <c r="AG43" s="2">
        <v>2.4168086051940918</v>
      </c>
      <c r="AH43" s="2">
        <v>0.63763296604156494</v>
      </c>
      <c r="AI43" s="2">
        <v>0.57738131284713745</v>
      </c>
      <c r="AJ43" s="3">
        <f t="shared" si="7"/>
        <v>4059555</v>
      </c>
      <c r="AK43" s="3">
        <v>1235720</v>
      </c>
      <c r="AL43" s="3">
        <v>2823835</v>
      </c>
      <c r="AM43" s="2">
        <v>4.0506179222562402</v>
      </c>
      <c r="AN43" s="2">
        <v>4.8592070560748102</v>
      </c>
      <c r="AO43" s="2">
        <v>3.5354468404611699</v>
      </c>
      <c r="AP43" s="2">
        <v>3.2065742275798499</v>
      </c>
      <c r="AQ43" s="2">
        <v>4.4199650185272601</v>
      </c>
      <c r="AR43" s="2">
        <v>6.5696808454038997</v>
      </c>
      <c r="AS43" s="3">
        <v>1176882</v>
      </c>
      <c r="AT43" s="10">
        <v>5.7426224944320703</v>
      </c>
      <c r="AU43" s="10">
        <v>4.7256687133979298</v>
      </c>
      <c r="AV43" s="6"/>
      <c r="AW43" s="7">
        <f t="shared" si="8"/>
        <v>0.55270162862962113</v>
      </c>
      <c r="AX43" s="7">
        <f t="shared" si="9"/>
        <v>0.44729837137037881</v>
      </c>
      <c r="AY43" s="7">
        <f t="shared" si="10"/>
        <v>0.20093676957028722</v>
      </c>
      <c r="AZ43" s="7">
        <f t="shared" si="11"/>
        <v>0.79906323042971272</v>
      </c>
      <c r="BA43" s="7">
        <v>16.12745</v>
      </c>
      <c r="BB43" s="7">
        <v>0.56257230000000003</v>
      </c>
      <c r="BC43" s="7">
        <v>0.43742769999999997</v>
      </c>
      <c r="BD43" s="7">
        <v>0.64724230000000005</v>
      </c>
      <c r="BE43" s="7">
        <v>0</v>
      </c>
      <c r="BF43" s="7">
        <v>4.2625650000000004</v>
      </c>
      <c r="BG43" s="7">
        <v>4.2625650000000004</v>
      </c>
      <c r="BH43" s="7">
        <v>1</v>
      </c>
      <c r="BI43" s="7">
        <v>0.83056479999999999</v>
      </c>
      <c r="BJ43" s="7">
        <v>0.22356409999999999</v>
      </c>
      <c r="BK43" s="7">
        <v>0.77643600000000002</v>
      </c>
      <c r="BL43" s="7">
        <v>0.29117480000000001</v>
      </c>
      <c r="BM43" s="7">
        <v>3.9300000000000004E-15</v>
      </c>
      <c r="BN43" s="7">
        <v>3.765371</v>
      </c>
      <c r="BO43" s="7">
        <v>3.765371</v>
      </c>
      <c r="BP43" s="7">
        <v>1</v>
      </c>
      <c r="BQ43" s="7">
        <v>0.44890160000000001</v>
      </c>
      <c r="BR43" s="7">
        <v>0.19470699999999999</v>
      </c>
      <c r="BS43" s="7">
        <v>0.80529300000000004</v>
      </c>
      <c r="BT43" s="7">
        <v>0.55497370000000001</v>
      </c>
      <c r="BU43" s="7">
        <v>0.69686530000000002</v>
      </c>
      <c r="BV43" s="7">
        <v>0.44306980000000001</v>
      </c>
      <c r="BW43" s="7">
        <v>2.5903580000000002</v>
      </c>
      <c r="BX43" s="7">
        <v>4.3843560000000004</v>
      </c>
      <c r="BY43" s="7">
        <v>1.6925669999999999</v>
      </c>
      <c r="BZ43" s="7">
        <v>0</v>
      </c>
      <c r="CA43" s="7">
        <v>0.55187019999999998</v>
      </c>
      <c r="CB43" s="7">
        <v>0.44812970000000002</v>
      </c>
      <c r="CC43" s="7">
        <v>0.2009552</v>
      </c>
      <c r="CD43" s="7">
        <v>0.7990448</v>
      </c>
      <c r="CE43" s="7">
        <v>5.8441539999999996</v>
      </c>
      <c r="CF43" s="7">
        <v>5.8778550000000003</v>
      </c>
      <c r="CG43" s="7">
        <v>2.7542900000000001</v>
      </c>
      <c r="CH43" s="7">
        <v>4.2769560000000002</v>
      </c>
      <c r="CI43" s="7">
        <v>1.4266529999999999</v>
      </c>
      <c r="CJ43" s="7">
        <v>1.2118519999999999</v>
      </c>
      <c r="CK43" s="7">
        <v>0.84943690000000005</v>
      </c>
      <c r="CL43" s="7">
        <v>1.02834</v>
      </c>
      <c r="CM43" s="7">
        <v>0.56350199999999995</v>
      </c>
      <c r="CN43" s="7">
        <v>0.60514999999999997</v>
      </c>
      <c r="CO43" s="7">
        <v>0.53786230000000002</v>
      </c>
      <c r="CP43" s="7">
        <v>1.0311000000000001E-2</v>
      </c>
      <c r="CQ43" s="7">
        <v>2.0877099999999999E-2</v>
      </c>
      <c r="CR43" s="7">
        <v>7.2940000000000001E-3</v>
      </c>
      <c r="CS43" s="7">
        <v>1.3345629999999999</v>
      </c>
      <c r="CT43" s="7">
        <v>1.4602403702159634</v>
      </c>
      <c r="CU43" s="7">
        <v>1.2440905270277276</v>
      </c>
      <c r="CV43" s="7">
        <v>0.97437830000000003</v>
      </c>
      <c r="CW43" s="7">
        <v>1.3416619999999999</v>
      </c>
      <c r="CX43" s="7">
        <v>1.300988</v>
      </c>
      <c r="CY43" s="7">
        <v>1.424309193257024</v>
      </c>
      <c r="CZ43" s="6"/>
      <c r="DI43" s="33"/>
      <c r="DJ43" s="11"/>
    </row>
    <row r="44" spans="1:114" customFormat="1" x14ac:dyDescent="0.3">
      <c r="A44" s="5">
        <v>1989</v>
      </c>
      <c r="B44" s="3">
        <v>247387</v>
      </c>
      <c r="C44" s="3">
        <v>5641580</v>
      </c>
      <c r="D44" s="12">
        <v>4.5175509471227198</v>
      </c>
      <c r="E44" s="2">
        <v>5.0029397464674501</v>
      </c>
      <c r="F44" s="3">
        <v>3576758</v>
      </c>
      <c r="G44" s="3">
        <v>999701</v>
      </c>
      <c r="H44" s="3">
        <v>881429</v>
      </c>
      <c r="I44" s="3">
        <v>270433</v>
      </c>
      <c r="J44" s="3">
        <v>-86741</v>
      </c>
      <c r="K44" s="3">
        <f t="shared" si="4"/>
        <v>5657695.9399999995</v>
      </c>
      <c r="L44" s="3">
        <f t="shared" si="5"/>
        <v>1568689</v>
      </c>
      <c r="M44" s="3">
        <f t="shared" si="6"/>
        <v>4089006.94</v>
      </c>
      <c r="N44" s="10">
        <v>5.245577335357666</v>
      </c>
      <c r="O44" s="10">
        <v>4.2202563285827637</v>
      </c>
      <c r="P44" s="10">
        <v>5.9272198677062988</v>
      </c>
      <c r="Q44" s="9">
        <v>683804.81</v>
      </c>
      <c r="R44" s="9">
        <v>884884.19</v>
      </c>
      <c r="S44" s="9">
        <v>558633.18999999994</v>
      </c>
      <c r="T44" s="9">
        <v>3530373.75</v>
      </c>
      <c r="U44" s="3">
        <v>3220815.25</v>
      </c>
      <c r="V44" s="3">
        <v>975114.625</v>
      </c>
      <c r="W44" s="3">
        <v>2245700.5</v>
      </c>
      <c r="X44" s="2">
        <v>0.59114116430282593</v>
      </c>
      <c r="Y44" s="2">
        <v>4.3102726936340332</v>
      </c>
      <c r="Z44" s="2">
        <v>3.6445736885070801</v>
      </c>
      <c r="AA44" s="2">
        <v>4.6776981353759766</v>
      </c>
      <c r="AB44" s="2">
        <v>5.9772543907165527</v>
      </c>
      <c r="AC44" s="2">
        <v>5.1489987373352051</v>
      </c>
      <c r="AD44" s="2">
        <v>6.2785520553588867</v>
      </c>
      <c r="AE44" s="2">
        <v>1.9893332719802856</v>
      </c>
      <c r="AF44" s="2">
        <v>1.4126372337341309</v>
      </c>
      <c r="AG44" s="2">
        <v>2.5043678283691406</v>
      </c>
      <c r="AH44" s="2">
        <v>0.63330680131912231</v>
      </c>
      <c r="AI44" s="2">
        <v>0.57448750734329224</v>
      </c>
      <c r="AJ44" s="3">
        <f t="shared" si="7"/>
        <v>4399138</v>
      </c>
      <c r="AK44" s="3">
        <v>1341456</v>
      </c>
      <c r="AL44" s="3">
        <v>3057682</v>
      </c>
      <c r="AM44" s="2">
        <v>4.2079524753031103</v>
      </c>
      <c r="AN44" s="2">
        <v>5.0687982641598097</v>
      </c>
      <c r="AO44" s="2">
        <v>3.68635665148819</v>
      </c>
      <c r="AP44" s="2">
        <v>3.3384479940800502</v>
      </c>
      <c r="AQ44" s="2">
        <v>4.5718717095032497</v>
      </c>
      <c r="AR44" s="2">
        <v>6.8773649171550799</v>
      </c>
      <c r="AS44" s="3">
        <v>1242441</v>
      </c>
      <c r="AT44" s="10">
        <v>5.9109131403118003</v>
      </c>
      <c r="AU44" s="10">
        <v>4.8468749718170097</v>
      </c>
      <c r="AV44" s="6"/>
      <c r="AW44" s="7">
        <f t="shared" si="8"/>
        <v>0.55037338684103354</v>
      </c>
      <c r="AX44" s="7">
        <f t="shared" si="9"/>
        <v>0.44962661315896646</v>
      </c>
      <c r="AY44" s="7">
        <f t="shared" si="10"/>
        <v>0.20041506114136562</v>
      </c>
      <c r="AZ44" s="7">
        <f t="shared" si="11"/>
        <v>0.79958493885863446</v>
      </c>
      <c r="BA44" s="7">
        <v>17.290489999999998</v>
      </c>
      <c r="BB44" s="7">
        <v>0.56642499999999996</v>
      </c>
      <c r="BC44" s="7">
        <v>0.43357499999999999</v>
      </c>
      <c r="BD44" s="7">
        <v>0.64724230000000005</v>
      </c>
      <c r="BE44" s="7">
        <v>0</v>
      </c>
      <c r="BF44" s="7">
        <v>4.4179839999999997</v>
      </c>
      <c r="BG44" s="7">
        <v>4.4179849999999998</v>
      </c>
      <c r="BH44" s="7">
        <v>1</v>
      </c>
      <c r="BI44" s="7">
        <v>0.83056479999999999</v>
      </c>
      <c r="BJ44" s="7">
        <v>0.2262962</v>
      </c>
      <c r="BK44" s="7">
        <v>0.77370380000000005</v>
      </c>
      <c r="BL44" s="7">
        <v>0.29117480000000001</v>
      </c>
      <c r="BM44" s="7">
        <v>3.9300000000000004E-15</v>
      </c>
      <c r="BN44" s="7">
        <v>3.923486</v>
      </c>
      <c r="BO44" s="7">
        <v>3.923486</v>
      </c>
      <c r="BP44" s="7">
        <v>1</v>
      </c>
      <c r="BQ44" s="7">
        <v>0.44890160000000001</v>
      </c>
      <c r="BR44" s="7">
        <v>0.1930356</v>
      </c>
      <c r="BS44" s="7">
        <v>0.80696429999999997</v>
      </c>
      <c r="BT44" s="7">
        <v>0.55497370000000001</v>
      </c>
      <c r="BU44" s="7">
        <v>0.69686530000000002</v>
      </c>
      <c r="BV44" s="7">
        <v>0.44306980000000001</v>
      </c>
      <c r="BW44" s="7">
        <v>2.643656</v>
      </c>
      <c r="BX44" s="7">
        <v>4.5941099999999997</v>
      </c>
      <c r="BY44" s="7">
        <v>1.737787</v>
      </c>
      <c r="BZ44" s="7">
        <v>0</v>
      </c>
      <c r="CA44" s="7">
        <v>0.55153750000000001</v>
      </c>
      <c r="CB44" s="7">
        <v>0.44846249999999999</v>
      </c>
      <c r="CC44" s="7">
        <v>0.20067589999999999</v>
      </c>
      <c r="CD44" s="7">
        <v>0.79932409999999998</v>
      </c>
      <c r="CE44" s="7">
        <v>5.843534</v>
      </c>
      <c r="CF44" s="7">
        <v>6.0265409999999999</v>
      </c>
      <c r="CG44" s="7">
        <v>2.8279380000000001</v>
      </c>
      <c r="CH44" s="7">
        <v>4.4752099999999997</v>
      </c>
      <c r="CI44" s="7">
        <v>1.404469</v>
      </c>
      <c r="CJ44" s="7">
        <v>1.2229190000000001</v>
      </c>
      <c r="CK44" s="7">
        <v>0.8707336</v>
      </c>
      <c r="CL44" s="7">
        <v>1.0458620000000001</v>
      </c>
      <c r="CM44" s="7">
        <v>0.56350199999999995</v>
      </c>
      <c r="CN44" s="7">
        <v>0.60514999999999997</v>
      </c>
      <c r="CO44" s="7">
        <v>0.53786230000000002</v>
      </c>
      <c r="CP44" s="7">
        <v>4.3797000000000003E-3</v>
      </c>
      <c r="CQ44" s="7">
        <v>3.7961000000000002E-3</v>
      </c>
      <c r="CR44" s="7">
        <v>4.5789000000000003E-3</v>
      </c>
      <c r="CS44" s="7">
        <v>1.3404199999999999</v>
      </c>
      <c r="CT44" s="7">
        <v>1.4657843877146699</v>
      </c>
      <c r="CU44" s="7">
        <v>1.2497957944208951</v>
      </c>
      <c r="CV44" s="7">
        <v>0.99181220000000003</v>
      </c>
      <c r="CW44" s="7">
        <v>1.3712800000000001</v>
      </c>
      <c r="CX44" s="7">
        <v>1.306694</v>
      </c>
      <c r="CY44" s="7">
        <v>1.4512905354818049</v>
      </c>
      <c r="CZ44" s="6"/>
      <c r="DI44" s="33"/>
      <c r="DJ44" s="11"/>
    </row>
    <row r="45" spans="1:114" customFormat="1" x14ac:dyDescent="0.3">
      <c r="A45" s="5">
        <v>1990</v>
      </c>
      <c r="B45" s="3">
        <v>250181</v>
      </c>
      <c r="C45" s="3">
        <v>5963144</v>
      </c>
      <c r="D45" s="12">
        <v>4.6027471047670403</v>
      </c>
      <c r="E45" s="2">
        <v>5.1902199653448298</v>
      </c>
      <c r="F45" s="3">
        <v>3808994</v>
      </c>
      <c r="G45" s="3">
        <v>993448</v>
      </c>
      <c r="H45" s="3">
        <v>948186</v>
      </c>
      <c r="I45" s="3">
        <v>290370</v>
      </c>
      <c r="J45" s="3">
        <v>-77855</v>
      </c>
      <c r="K45" s="3">
        <f t="shared" si="4"/>
        <v>5979597.0600000005</v>
      </c>
      <c r="L45" s="3">
        <f t="shared" si="5"/>
        <v>1614440</v>
      </c>
      <c r="M45" s="3">
        <f t="shared" si="6"/>
        <v>4365157.0600000005</v>
      </c>
      <c r="N45" s="10">
        <v>5.4440970420837402</v>
      </c>
      <c r="O45" s="10">
        <v>4.332305908203125</v>
      </c>
      <c r="P45" s="10">
        <v>6.1775155067443848</v>
      </c>
      <c r="Q45" s="9">
        <v>686743.69</v>
      </c>
      <c r="R45" s="9">
        <v>927696.31</v>
      </c>
      <c r="S45" s="9">
        <v>582532.31000000006</v>
      </c>
      <c r="T45" s="9">
        <v>3782624.75</v>
      </c>
      <c r="U45" s="3">
        <v>3418432.25</v>
      </c>
      <c r="V45" s="3">
        <v>990332.875</v>
      </c>
      <c r="W45" s="3">
        <v>2428099.5</v>
      </c>
      <c r="X45" s="2">
        <v>0.58466672897338867</v>
      </c>
      <c r="Y45" s="2">
        <v>4.3902592658996582</v>
      </c>
      <c r="Z45" s="2">
        <v>3.6505122184753418</v>
      </c>
      <c r="AA45" s="2">
        <v>4.7953577041625977</v>
      </c>
      <c r="AB45" s="2">
        <v>6.194096565246582</v>
      </c>
      <c r="AC45" s="2">
        <v>5.2593202590942383</v>
      </c>
      <c r="AD45" s="2">
        <v>6.5381331443786621</v>
      </c>
      <c r="AE45" s="2">
        <v>2.014019250869751</v>
      </c>
      <c r="AF45" s="2">
        <v>1.4026949405670166</v>
      </c>
      <c r="AG45" s="2">
        <v>2.5562288761138916</v>
      </c>
      <c r="AH45" s="2">
        <v>0.6227683424949646</v>
      </c>
      <c r="AI45" s="2">
        <v>0.56995236873626709</v>
      </c>
      <c r="AJ45" s="3">
        <f t="shared" si="7"/>
        <v>4693871</v>
      </c>
      <c r="AK45" s="3">
        <v>1401041</v>
      </c>
      <c r="AL45" s="3">
        <v>3292830</v>
      </c>
      <c r="AM45" s="2">
        <v>4.3107390388154396</v>
      </c>
      <c r="AN45" s="2">
        <v>5.2794375653380401</v>
      </c>
      <c r="AO45" s="2">
        <v>3.7600470169455198</v>
      </c>
      <c r="AP45" s="2">
        <v>3.41840175315046</v>
      </c>
      <c r="AQ45" s="2">
        <v>4.7104917040175804</v>
      </c>
      <c r="AR45" s="2">
        <v>7.1883109267804501</v>
      </c>
      <c r="AS45" s="3">
        <v>1269272</v>
      </c>
      <c r="AT45" s="10">
        <v>5.9047884187082396</v>
      </c>
      <c r="AU45" s="10">
        <v>4.9566811083896498</v>
      </c>
      <c r="AV45" s="6"/>
      <c r="AW45" s="7">
        <f t="shared" si="8"/>
        <v>0.54105150495242949</v>
      </c>
      <c r="AX45" s="7">
        <f t="shared" si="9"/>
        <v>0.45894849504757046</v>
      </c>
      <c r="AY45" s="7">
        <f t="shared" si="10"/>
        <v>0.19694969794691658</v>
      </c>
      <c r="AZ45" s="7">
        <f t="shared" si="11"/>
        <v>0.80305030205308336</v>
      </c>
      <c r="BA45" s="7">
        <v>18.250080000000001</v>
      </c>
      <c r="BB45" s="7">
        <v>0.56269899999999995</v>
      </c>
      <c r="BC45" s="7">
        <v>0.437301</v>
      </c>
      <c r="BD45" s="7">
        <v>0.64724230000000005</v>
      </c>
      <c r="BE45" s="7">
        <v>0</v>
      </c>
      <c r="BF45" s="7">
        <v>4.5636510000000001</v>
      </c>
      <c r="BG45" s="7">
        <v>4.5636520000000003</v>
      </c>
      <c r="BH45" s="7">
        <v>1</v>
      </c>
      <c r="BI45" s="7">
        <v>0.83056479999999999</v>
      </c>
      <c r="BJ45" s="7">
        <v>0.22365350000000001</v>
      </c>
      <c r="BK45" s="7">
        <v>0.7763466</v>
      </c>
      <c r="BL45" s="7">
        <v>0.29117480000000001</v>
      </c>
      <c r="BM45" s="7">
        <v>3.9300000000000004E-15</v>
      </c>
      <c r="BN45" s="7">
        <v>4.0320419999999997</v>
      </c>
      <c r="BO45" s="7">
        <v>4.0320419999999997</v>
      </c>
      <c r="BP45" s="7">
        <v>1</v>
      </c>
      <c r="BQ45" s="7">
        <v>0.44890160000000001</v>
      </c>
      <c r="BR45" s="7">
        <v>0.18967110000000001</v>
      </c>
      <c r="BS45" s="7">
        <v>0.81032899999999997</v>
      </c>
      <c r="BT45" s="7">
        <v>0.55497370000000001</v>
      </c>
      <c r="BU45" s="7">
        <v>0.69686530000000002</v>
      </c>
      <c r="BV45" s="7">
        <v>0.44306980000000001</v>
      </c>
      <c r="BW45" s="7">
        <v>2.70099</v>
      </c>
      <c r="BX45" s="7">
        <v>4.7247680000000001</v>
      </c>
      <c r="BY45" s="7">
        <v>1.7492730000000001</v>
      </c>
      <c r="BZ45" s="7">
        <v>0</v>
      </c>
      <c r="CA45" s="7">
        <v>0.54571250000000004</v>
      </c>
      <c r="CB45" s="7">
        <v>0.45428760000000001</v>
      </c>
      <c r="CC45" s="7">
        <v>0.19868240000000001</v>
      </c>
      <c r="CD45" s="7">
        <v>0.80131759999999996</v>
      </c>
      <c r="CE45" s="7">
        <v>5.7168390000000002</v>
      </c>
      <c r="CF45" s="7">
        <v>6.0296969999999996</v>
      </c>
      <c r="CG45" s="7">
        <v>2.8896760000000001</v>
      </c>
      <c r="CH45" s="7">
        <v>4.6032400000000004</v>
      </c>
      <c r="CI45" s="7">
        <v>1.4259189999999999</v>
      </c>
      <c r="CJ45" s="7">
        <v>1.24631</v>
      </c>
      <c r="CK45" s="7">
        <v>0.87404009999999999</v>
      </c>
      <c r="CL45" s="7">
        <v>1.0651809999999999</v>
      </c>
      <c r="CM45" s="7">
        <v>0.56350199999999995</v>
      </c>
      <c r="CN45" s="7">
        <v>0.60514999999999997</v>
      </c>
      <c r="CO45" s="7">
        <v>0.53786230000000002</v>
      </c>
      <c r="CP45" s="7">
        <v>-4.1171999999999997E-3</v>
      </c>
      <c r="CQ45" s="7">
        <v>-3.6454E-3</v>
      </c>
      <c r="CR45" s="7">
        <v>-4.3912999999999999E-3</v>
      </c>
      <c r="CS45" s="7">
        <v>1.334913</v>
      </c>
      <c r="CT45" s="7">
        <v>1.4604236007435976</v>
      </c>
      <c r="CU45" s="7">
        <v>1.2443032390878828</v>
      </c>
      <c r="CV45" s="7">
        <v>1.0024569999999999</v>
      </c>
      <c r="CW45" s="7">
        <v>1.3805529999999999</v>
      </c>
      <c r="CX45" s="7">
        <v>1.30122</v>
      </c>
      <c r="CY45" s="7">
        <v>1.4664841605027277</v>
      </c>
      <c r="CZ45" s="6"/>
      <c r="DI45" s="33"/>
      <c r="DJ45" s="11"/>
    </row>
    <row r="46" spans="1:114" customFormat="1" x14ac:dyDescent="0.3">
      <c r="A46" s="5">
        <v>1991</v>
      </c>
      <c r="B46" s="3">
        <v>253530</v>
      </c>
      <c r="C46" s="3">
        <v>6158129</v>
      </c>
      <c r="D46" s="12">
        <v>4.5977197234940297</v>
      </c>
      <c r="E46" s="2">
        <v>5.3657924434390702</v>
      </c>
      <c r="F46" s="3">
        <v>3943449</v>
      </c>
      <c r="G46" s="3">
        <v>944344</v>
      </c>
      <c r="H46" s="3">
        <v>1004857</v>
      </c>
      <c r="I46" s="3">
        <v>294094</v>
      </c>
      <c r="J46" s="3">
        <v>-28614</v>
      </c>
      <c r="K46" s="3">
        <f t="shared" si="4"/>
        <v>6174111.8700000001</v>
      </c>
      <c r="L46" s="3">
        <f t="shared" si="5"/>
        <v>1597173</v>
      </c>
      <c r="M46" s="3">
        <f t="shared" si="6"/>
        <v>4576938.87</v>
      </c>
      <c r="N46" s="10">
        <v>5.6094317436218262</v>
      </c>
      <c r="O46" s="10">
        <v>4.3624062538146973</v>
      </c>
      <c r="P46" s="10">
        <v>6.4190654754638672</v>
      </c>
      <c r="Q46" s="9">
        <v>655835.38</v>
      </c>
      <c r="R46" s="9">
        <v>941337.62</v>
      </c>
      <c r="S46" s="9">
        <v>582999.62</v>
      </c>
      <c r="T46" s="9">
        <v>3993939.25</v>
      </c>
      <c r="U46" s="3">
        <v>3577624.5</v>
      </c>
      <c r="V46" s="3">
        <v>998328.8125</v>
      </c>
      <c r="W46" s="3">
        <v>2579295.75</v>
      </c>
      <c r="X46" s="2">
        <v>0.5903618335723877</v>
      </c>
      <c r="Y46" s="2">
        <v>4.3914918899536133</v>
      </c>
      <c r="Z46" s="2">
        <v>3.5812723636627197</v>
      </c>
      <c r="AA46" s="2">
        <v>4.8310394287109375</v>
      </c>
      <c r="AB46" s="2">
        <v>6.37615966796875</v>
      </c>
      <c r="AC46" s="2">
        <v>5.3583378791809082</v>
      </c>
      <c r="AD46" s="2">
        <v>6.752960205078125</v>
      </c>
      <c r="AE46" s="2">
        <v>1.9877479076385498</v>
      </c>
      <c r="AF46" s="2">
        <v>1.352910041809082</v>
      </c>
      <c r="AG46" s="2">
        <v>2.5460567474365234</v>
      </c>
      <c r="AH46" s="2">
        <v>0.6252598762512207</v>
      </c>
      <c r="AI46" s="2">
        <v>0.57756727933883667</v>
      </c>
      <c r="AJ46" s="3">
        <f t="shared" si="7"/>
        <v>4919298</v>
      </c>
      <c r="AK46" s="3">
        <v>1426455</v>
      </c>
      <c r="AL46" s="3">
        <v>3492843</v>
      </c>
      <c r="AM46" s="2">
        <v>4.3521975870974599</v>
      </c>
      <c r="AN46" s="2">
        <v>5.4802779825170003</v>
      </c>
      <c r="AO46" s="2">
        <v>3.7462381306627002</v>
      </c>
      <c r="AP46" s="2">
        <v>3.4932384283937501</v>
      </c>
      <c r="AQ46" s="2">
        <v>4.80401013080147</v>
      </c>
      <c r="AR46" s="2">
        <v>7.4765103323993403</v>
      </c>
      <c r="AS46" s="3">
        <v>1238832</v>
      </c>
      <c r="AT46" s="10">
        <v>5.6621659242761604</v>
      </c>
      <c r="AU46" s="10">
        <v>5.0451077171738001</v>
      </c>
      <c r="AV46" s="6"/>
      <c r="AW46" s="7">
        <f t="shared" si="8"/>
        <v>0.52939687690451109</v>
      </c>
      <c r="AX46" s="7">
        <f t="shared" si="9"/>
        <v>0.47060312309548891</v>
      </c>
      <c r="AY46" s="7">
        <f t="shared" si="10"/>
        <v>0.19073653713778371</v>
      </c>
      <c r="AZ46" s="7">
        <f t="shared" si="11"/>
        <v>0.80926346286221629</v>
      </c>
      <c r="BA46" s="7">
        <v>18.834689999999998</v>
      </c>
      <c r="BB46" s="7">
        <v>0.55494980000000005</v>
      </c>
      <c r="BC46" s="7">
        <v>0.44505020000000001</v>
      </c>
      <c r="BD46" s="7">
        <v>0.64724230000000005</v>
      </c>
      <c r="BE46" s="7">
        <v>0</v>
      </c>
      <c r="BF46" s="7">
        <v>4.6746800000000004</v>
      </c>
      <c r="BG46" s="7">
        <v>4.6746809999999996</v>
      </c>
      <c r="BH46" s="7">
        <v>1</v>
      </c>
      <c r="BI46" s="7">
        <v>0.83056479999999999</v>
      </c>
      <c r="BJ46" s="7">
        <v>0.2182432</v>
      </c>
      <c r="BK46" s="7">
        <v>0.78175680000000003</v>
      </c>
      <c r="BL46" s="7">
        <v>0.29117480000000001</v>
      </c>
      <c r="BM46" s="7">
        <v>3.9300000000000004E-15</v>
      </c>
      <c r="BN46" s="7">
        <v>4.0865039999999997</v>
      </c>
      <c r="BO46" s="7">
        <v>4.0865039999999997</v>
      </c>
      <c r="BP46" s="7">
        <v>1</v>
      </c>
      <c r="BQ46" s="7">
        <v>0.44890160000000001</v>
      </c>
      <c r="BR46" s="7">
        <v>0.18626580000000001</v>
      </c>
      <c r="BS46" s="7">
        <v>0.81373419999999996</v>
      </c>
      <c r="BT46" s="7">
        <v>0.55497370000000001</v>
      </c>
      <c r="BU46" s="7">
        <v>0.69686530000000002</v>
      </c>
      <c r="BV46" s="7">
        <v>0.44306980000000001</v>
      </c>
      <c r="BW46" s="7">
        <v>2.7549709999999998</v>
      </c>
      <c r="BX46" s="7">
        <v>4.7754310000000002</v>
      </c>
      <c r="BY46" s="7">
        <v>1.733387</v>
      </c>
      <c r="BZ46" s="7">
        <v>0</v>
      </c>
      <c r="CA46" s="7">
        <v>0.53522440000000004</v>
      </c>
      <c r="CB46" s="7">
        <v>0.46477550000000001</v>
      </c>
      <c r="CC46" s="7">
        <v>0.19384299999999999</v>
      </c>
      <c r="CD46" s="7">
        <v>0.80615689999999995</v>
      </c>
      <c r="CE46" s="7">
        <v>5.4218719999999996</v>
      </c>
      <c r="CF46" s="7">
        <v>5.807461</v>
      </c>
      <c r="CG46" s="7">
        <v>2.9066290000000001</v>
      </c>
      <c r="CH46" s="7">
        <v>4.6689769999999999</v>
      </c>
      <c r="CI46" s="7">
        <v>1.4714510000000001</v>
      </c>
      <c r="CJ46" s="7">
        <v>1.272376</v>
      </c>
      <c r="CK46" s="7">
        <v>0.86470860000000005</v>
      </c>
      <c r="CL46" s="7">
        <v>1.086333</v>
      </c>
      <c r="CM46" s="7">
        <v>0.56350199999999995</v>
      </c>
      <c r="CN46" s="7">
        <v>0.60514999999999997</v>
      </c>
      <c r="CO46" s="7">
        <v>0.53786230000000002</v>
      </c>
      <c r="CP46" s="7">
        <v>-4.9655000000000003E-3</v>
      </c>
      <c r="CQ46" s="7">
        <v>-6.9274000000000002E-3</v>
      </c>
      <c r="CR46" s="7">
        <v>-4.4514999999999997E-3</v>
      </c>
      <c r="CS46" s="7">
        <v>1.328301</v>
      </c>
      <c r="CT46" s="7">
        <v>1.450289523176991</v>
      </c>
      <c r="CU46" s="7">
        <v>1.2387470426221574</v>
      </c>
      <c r="CV46" s="7">
        <v>1.0063489999999999</v>
      </c>
      <c r="CW46" s="7">
        <v>1.3776740000000001</v>
      </c>
      <c r="CX46" s="7">
        <v>1.294608</v>
      </c>
      <c r="CY46" s="7">
        <v>1.4798240548188353</v>
      </c>
      <c r="CZ46" s="6"/>
      <c r="DI46" s="33"/>
      <c r="DJ46" s="11"/>
    </row>
    <row r="47" spans="1:114" customFormat="1" x14ac:dyDescent="0.3">
      <c r="A47" s="5">
        <v>1992</v>
      </c>
      <c r="B47" s="3">
        <v>256922</v>
      </c>
      <c r="C47" s="3">
        <v>6520327</v>
      </c>
      <c r="D47" s="12">
        <v>4.7597629948828404</v>
      </c>
      <c r="E47" s="2">
        <v>5.4879687382244304</v>
      </c>
      <c r="F47" s="3">
        <v>4197559</v>
      </c>
      <c r="G47" s="3">
        <v>1013006</v>
      </c>
      <c r="H47" s="3">
        <v>1048383</v>
      </c>
      <c r="I47" s="3">
        <v>296117</v>
      </c>
      <c r="J47" s="3">
        <v>-34738</v>
      </c>
      <c r="K47" s="3">
        <f t="shared" si="4"/>
        <v>6539266.25</v>
      </c>
      <c r="L47" s="3">
        <f t="shared" si="5"/>
        <v>1655451</v>
      </c>
      <c r="M47" s="3">
        <f t="shared" si="6"/>
        <v>4883815.25</v>
      </c>
      <c r="N47" s="10">
        <v>5.7447962760925293</v>
      </c>
      <c r="O47" s="10">
        <v>4.3813576698303223</v>
      </c>
      <c r="P47" s="10">
        <v>6.6191978454589844</v>
      </c>
      <c r="Q47" s="9">
        <v>678420.75</v>
      </c>
      <c r="R47" s="9">
        <v>977030.25</v>
      </c>
      <c r="S47" s="9">
        <v>614382.25</v>
      </c>
      <c r="T47" s="9">
        <v>4269433</v>
      </c>
      <c r="U47" s="3">
        <v>3740753.75</v>
      </c>
      <c r="V47" s="3">
        <v>1033005.0625</v>
      </c>
      <c r="W47" s="3">
        <v>2707748.75</v>
      </c>
      <c r="X47" s="2">
        <v>0.59106022119522095</v>
      </c>
      <c r="Y47" s="2">
        <v>4.5419178009033203</v>
      </c>
      <c r="Z47" s="2">
        <v>3.697364330291748</v>
      </c>
      <c r="AA47" s="2">
        <v>4.9996461868286133</v>
      </c>
      <c r="AB47" s="2">
        <v>6.5597171783447266</v>
      </c>
      <c r="AC47" s="2">
        <v>5.4644527435302734</v>
      </c>
      <c r="AD47" s="2">
        <v>6.9660825729370117</v>
      </c>
      <c r="AE47" s="2">
        <v>1.9932829141616821</v>
      </c>
      <c r="AF47" s="2">
        <v>1.3496688604354858</v>
      </c>
      <c r="AG47" s="2">
        <v>2.5582327842712402</v>
      </c>
      <c r="AH47" s="2">
        <v>0.6309356689453125</v>
      </c>
      <c r="AI47" s="2">
        <v>0.57706087827682495</v>
      </c>
      <c r="AJ47" s="3">
        <f t="shared" si="7"/>
        <v>5227532</v>
      </c>
      <c r="AK47" s="3">
        <v>1489977</v>
      </c>
      <c r="AL47" s="3">
        <v>3737555</v>
      </c>
      <c r="AM47" s="2">
        <v>4.4993507948987403</v>
      </c>
      <c r="AN47" s="2">
        <v>5.6331966304112298</v>
      </c>
      <c r="AO47" s="2">
        <v>3.8311416195445802</v>
      </c>
      <c r="AP47" s="2">
        <v>3.5679346541432602</v>
      </c>
      <c r="AQ47" s="2">
        <v>4.9642975663791598</v>
      </c>
      <c r="AR47" s="2">
        <v>7.7420072545352303</v>
      </c>
      <c r="AS47" s="3">
        <v>1292796</v>
      </c>
      <c r="AT47" s="10">
        <v>5.8943485523385197</v>
      </c>
      <c r="AU47" s="10">
        <v>5.0574873615929601</v>
      </c>
      <c r="AV47" s="6"/>
      <c r="AW47" s="7">
        <f t="shared" si="8"/>
        <v>0.52476730793477433</v>
      </c>
      <c r="AX47" s="7">
        <f t="shared" si="9"/>
        <v>0.47523269206522573</v>
      </c>
      <c r="AY47" s="7">
        <f t="shared" si="10"/>
        <v>0.18622645455488515</v>
      </c>
      <c r="AZ47" s="7">
        <f t="shared" si="11"/>
        <v>0.81377354544511482</v>
      </c>
      <c r="BA47" s="7">
        <v>19.76201</v>
      </c>
      <c r="BB47" s="7">
        <v>0.54842869999999999</v>
      </c>
      <c r="BC47" s="7">
        <v>0.45157130000000001</v>
      </c>
      <c r="BD47" s="7">
        <v>0.64724230000000005</v>
      </c>
      <c r="BE47" s="7">
        <v>0</v>
      </c>
      <c r="BF47" s="7">
        <v>4.8908050000000003</v>
      </c>
      <c r="BG47" s="7">
        <v>4.8908050000000003</v>
      </c>
      <c r="BH47" s="7">
        <v>1</v>
      </c>
      <c r="BI47" s="7">
        <v>0.83056479999999999</v>
      </c>
      <c r="BJ47" s="7">
        <v>0.2137781</v>
      </c>
      <c r="BK47" s="7">
        <v>0.78622190000000003</v>
      </c>
      <c r="BL47" s="7">
        <v>0.29117480000000001</v>
      </c>
      <c r="BM47" s="7">
        <v>3.9300000000000004E-15</v>
      </c>
      <c r="BN47" s="7">
        <v>4.2377609999999999</v>
      </c>
      <c r="BO47" s="7">
        <v>4.2377609999999999</v>
      </c>
      <c r="BP47" s="7">
        <v>1</v>
      </c>
      <c r="BQ47" s="7">
        <v>0.44890160000000001</v>
      </c>
      <c r="BR47" s="7">
        <v>0.18112120000000001</v>
      </c>
      <c r="BS47" s="7">
        <v>0.81887880000000002</v>
      </c>
      <c r="BT47" s="7">
        <v>0.55497370000000001</v>
      </c>
      <c r="BU47" s="7">
        <v>0.69686530000000002</v>
      </c>
      <c r="BV47" s="7">
        <v>0.44306980000000001</v>
      </c>
      <c r="BW47" s="7">
        <v>2.8360590000000001</v>
      </c>
      <c r="BX47" s="7">
        <v>4.9551939999999997</v>
      </c>
      <c r="BY47" s="7">
        <v>1.7472110000000001</v>
      </c>
      <c r="BZ47" s="7">
        <v>0</v>
      </c>
      <c r="CA47" s="7">
        <v>0.5270821</v>
      </c>
      <c r="CB47" s="7">
        <v>0.4729179</v>
      </c>
      <c r="CC47" s="7">
        <v>0.1884815</v>
      </c>
      <c r="CD47" s="7">
        <v>0.81151850000000003</v>
      </c>
      <c r="CE47" s="7">
        <v>5.5843100000000003</v>
      </c>
      <c r="CF47" s="7">
        <v>5.9350180000000003</v>
      </c>
      <c r="CG47" s="7">
        <v>3.0044110000000002</v>
      </c>
      <c r="CH47" s="7">
        <v>4.841126</v>
      </c>
      <c r="CI47" s="7">
        <v>1.510764</v>
      </c>
      <c r="CJ47" s="7">
        <v>1.308819</v>
      </c>
      <c r="CK47" s="7">
        <v>0.86632909999999996</v>
      </c>
      <c r="CL47" s="7">
        <v>1.1139159999999999</v>
      </c>
      <c r="CM47" s="7">
        <v>0.56350199999999995</v>
      </c>
      <c r="CN47" s="7">
        <v>0.60514999999999997</v>
      </c>
      <c r="CO47" s="7">
        <v>0.53786230000000002</v>
      </c>
      <c r="CP47" s="7">
        <v>1.97249E-2</v>
      </c>
      <c r="CQ47" s="7">
        <v>2.4693900000000001E-2</v>
      </c>
      <c r="CR47" s="7">
        <v>1.8054199999999999E-2</v>
      </c>
      <c r="CS47" s="7">
        <v>1.354762</v>
      </c>
      <c r="CT47" s="7">
        <v>1.4865272014737474</v>
      </c>
      <c r="CU47" s="7">
        <v>1.2612929555942809</v>
      </c>
      <c r="CV47" s="7">
        <v>1.020886</v>
      </c>
      <c r="CW47" s="7">
        <v>1.4288080000000001</v>
      </c>
      <c r="CX47" s="7">
        <v>1.3204629999999999</v>
      </c>
      <c r="CY47" s="7">
        <v>1.5418147636901136</v>
      </c>
      <c r="CZ47" s="6"/>
      <c r="DI47" s="33"/>
      <c r="DJ47" s="11"/>
    </row>
    <row r="48" spans="1:114" customFormat="1" x14ac:dyDescent="0.3">
      <c r="A48" s="5">
        <v>1993</v>
      </c>
      <c r="B48" s="3">
        <v>260282</v>
      </c>
      <c r="C48" s="3">
        <v>6858559</v>
      </c>
      <c r="D48" s="12">
        <v>4.8906544573121504</v>
      </c>
      <c r="E48" s="2">
        <v>5.6181519367964698</v>
      </c>
      <c r="F48" s="3">
        <v>4451984</v>
      </c>
      <c r="G48" s="3">
        <v>1106826</v>
      </c>
      <c r="H48" s="3">
        <v>1073040</v>
      </c>
      <c r="I48" s="3">
        <v>291883</v>
      </c>
      <c r="J48" s="3">
        <v>-65173</v>
      </c>
      <c r="K48" s="3">
        <f t="shared" si="4"/>
        <v>6878726</v>
      </c>
      <c r="L48" s="3">
        <f t="shared" si="5"/>
        <v>1710260</v>
      </c>
      <c r="M48" s="3">
        <f t="shared" si="6"/>
        <v>5168466</v>
      </c>
      <c r="N48" s="10">
        <v>5.8893170356750488</v>
      </c>
      <c r="O48" s="10">
        <v>4.4226169586181641</v>
      </c>
      <c r="P48" s="10">
        <v>6.8217277526855469</v>
      </c>
      <c r="Q48" s="9">
        <v>719057</v>
      </c>
      <c r="R48" s="9">
        <v>991203</v>
      </c>
      <c r="S48" s="9">
        <v>658841</v>
      </c>
      <c r="T48" s="9">
        <v>4509625</v>
      </c>
      <c r="U48" s="3">
        <v>3962040.5</v>
      </c>
      <c r="V48" s="3">
        <v>1065297.375</v>
      </c>
      <c r="W48" s="3">
        <v>2896743</v>
      </c>
      <c r="X48" s="2">
        <v>0.58930790424346924</v>
      </c>
      <c r="Y48" s="2">
        <v>4.6596827507019043</v>
      </c>
      <c r="Z48" s="2">
        <v>3.7805240154266357</v>
      </c>
      <c r="AA48" s="2">
        <v>5.1351704597473145</v>
      </c>
      <c r="AB48" s="2">
        <v>6.783973217010498</v>
      </c>
      <c r="AC48" s="2">
        <v>5.581937313079834</v>
      </c>
      <c r="AD48" s="2">
        <v>7.2307853698730469</v>
      </c>
      <c r="AE48" s="2">
        <v>2.038607120513916</v>
      </c>
      <c r="AF48" s="2">
        <v>1.3728379011154175</v>
      </c>
      <c r="AG48" s="2">
        <v>2.621762752532959</v>
      </c>
      <c r="AH48" s="2">
        <v>0.630013108253479</v>
      </c>
      <c r="AI48" s="2">
        <v>0.57537245750427246</v>
      </c>
      <c r="AJ48" s="3">
        <f t="shared" si="7"/>
        <v>5480664</v>
      </c>
      <c r="AK48" s="3">
        <v>1538123</v>
      </c>
      <c r="AL48" s="3">
        <v>3942541</v>
      </c>
      <c r="AM48" s="2">
        <v>4.5971257098698999</v>
      </c>
      <c r="AN48" s="2">
        <v>5.7803607905678502</v>
      </c>
      <c r="AO48" s="2">
        <v>3.8977810215459701</v>
      </c>
      <c r="AP48" s="2">
        <v>3.6202550088790999</v>
      </c>
      <c r="AQ48" s="2">
        <v>5.0752812321337597</v>
      </c>
      <c r="AR48" s="2">
        <v>7.9880337928047398</v>
      </c>
      <c r="AS48" s="3">
        <v>1377895</v>
      </c>
      <c r="AT48" s="10">
        <v>6.1947383073496596</v>
      </c>
      <c r="AU48" s="10">
        <v>5.1290127611196903</v>
      </c>
      <c r="AV48" s="6"/>
      <c r="AW48" s="7">
        <f t="shared" si="8"/>
        <v>0.52185067399763985</v>
      </c>
      <c r="AX48" s="7">
        <f t="shared" si="9"/>
        <v>0.4781493260023601</v>
      </c>
      <c r="AY48" s="7">
        <f t="shared" si="10"/>
        <v>0.18019160024636291</v>
      </c>
      <c r="AZ48" s="7">
        <f t="shared" si="11"/>
        <v>0.81980839975363706</v>
      </c>
      <c r="BA48" s="7">
        <v>20.446169999999999</v>
      </c>
      <c r="BB48" s="7">
        <v>0.54328089999999996</v>
      </c>
      <c r="BC48" s="7">
        <v>0.45671909999999999</v>
      </c>
      <c r="BD48" s="7">
        <v>0.64724230000000005</v>
      </c>
      <c r="BE48" s="7">
        <v>0</v>
      </c>
      <c r="BF48" s="7">
        <v>5.0308070000000003</v>
      </c>
      <c r="BG48" s="7">
        <v>5.0308080000000004</v>
      </c>
      <c r="BH48" s="7">
        <v>1</v>
      </c>
      <c r="BI48" s="7">
        <v>0.83056479999999999</v>
      </c>
      <c r="BJ48" s="7">
        <v>0.21030860000000001</v>
      </c>
      <c r="BK48" s="7">
        <v>0.78969140000000004</v>
      </c>
      <c r="BL48" s="7">
        <v>0.29117480000000001</v>
      </c>
      <c r="BM48" s="7">
        <v>3.9300000000000004E-15</v>
      </c>
      <c r="BN48" s="7">
        <v>4.3289580000000001</v>
      </c>
      <c r="BO48" s="7">
        <v>4.3289580000000001</v>
      </c>
      <c r="BP48" s="7">
        <v>1</v>
      </c>
      <c r="BQ48" s="7">
        <v>0.44890160000000001</v>
      </c>
      <c r="BR48" s="7">
        <v>0.1781336</v>
      </c>
      <c r="BS48" s="7">
        <v>0.8218664</v>
      </c>
      <c r="BT48" s="7">
        <v>0.55497370000000001</v>
      </c>
      <c r="BU48" s="7">
        <v>0.69686530000000002</v>
      </c>
      <c r="BV48" s="7">
        <v>0.44306980000000001</v>
      </c>
      <c r="BW48" s="7">
        <v>2.8963079999999999</v>
      </c>
      <c r="BX48" s="7">
        <v>5.0579780000000003</v>
      </c>
      <c r="BY48" s="7">
        <v>1.746354</v>
      </c>
      <c r="BZ48" s="7">
        <v>0</v>
      </c>
      <c r="CA48" s="7">
        <v>0.52330880000000002</v>
      </c>
      <c r="CB48" s="7">
        <v>0.47669119999999998</v>
      </c>
      <c r="CC48" s="7">
        <v>0.18320900000000001</v>
      </c>
      <c r="CD48" s="7">
        <v>0.81679100000000004</v>
      </c>
      <c r="CE48" s="7">
        <v>5.8635989999999998</v>
      </c>
      <c r="CF48" s="7">
        <v>6.1755630000000004</v>
      </c>
      <c r="CG48" s="7">
        <v>3.0185979999999999</v>
      </c>
      <c r="CH48" s="7">
        <v>4.9600929999999996</v>
      </c>
      <c r="CI48" s="7">
        <v>1.5424640000000001</v>
      </c>
      <c r="CJ48" s="7">
        <v>1.33005</v>
      </c>
      <c r="CK48" s="7">
        <v>0.86228899999999997</v>
      </c>
      <c r="CL48" s="7">
        <v>1.127062</v>
      </c>
      <c r="CM48" s="7">
        <v>0.56350199999999995</v>
      </c>
      <c r="CN48" s="7">
        <v>0.60514999999999997</v>
      </c>
      <c r="CO48" s="7">
        <v>0.53786230000000002</v>
      </c>
      <c r="CP48" s="7">
        <v>-1.7447000000000001E-3</v>
      </c>
      <c r="CQ48" s="7">
        <v>3.3660000000000001E-3</v>
      </c>
      <c r="CR48" s="7">
        <v>-3.356E-3</v>
      </c>
      <c r="CS48" s="7">
        <v>1.3524</v>
      </c>
      <c r="CT48" s="7">
        <v>1.4915351323276824</v>
      </c>
      <c r="CU48" s="7">
        <v>1.2570566804401757</v>
      </c>
      <c r="CV48" s="7">
        <v>1.0262340000000001</v>
      </c>
      <c r="CW48" s="7">
        <v>1.437343</v>
      </c>
      <c r="CX48" s="7">
        <v>1.3183210000000001</v>
      </c>
      <c r="CY48" s="7">
        <v>1.5560883068225482</v>
      </c>
      <c r="CZ48" s="6"/>
      <c r="DI48" s="33"/>
      <c r="DJ48" s="11"/>
    </row>
    <row r="49" spans="1:114" customFormat="1" x14ac:dyDescent="0.3">
      <c r="A49" s="5">
        <v>1994</v>
      </c>
      <c r="B49" s="3">
        <v>263455</v>
      </c>
      <c r="C49" s="3">
        <v>7287236</v>
      </c>
      <c r="D49" s="12">
        <v>5.0877098482808201</v>
      </c>
      <c r="E49" s="2">
        <v>5.7380995625429696</v>
      </c>
      <c r="F49" s="3">
        <v>4720965</v>
      </c>
      <c r="G49" s="3">
        <v>1256484</v>
      </c>
      <c r="H49" s="3">
        <v>1108101</v>
      </c>
      <c r="I49" s="3">
        <v>294173</v>
      </c>
      <c r="J49" s="3">
        <v>-92487</v>
      </c>
      <c r="K49" s="3">
        <f t="shared" si="4"/>
        <v>7308767.8100000005</v>
      </c>
      <c r="L49" s="3">
        <f t="shared" si="5"/>
        <v>1832533</v>
      </c>
      <c r="M49" s="3">
        <f t="shared" si="6"/>
        <v>5476234.8100000005</v>
      </c>
      <c r="N49" s="10">
        <v>6.010706901550293</v>
      </c>
      <c r="O49" s="10">
        <v>4.4542040824890137</v>
      </c>
      <c r="P49" s="10">
        <v>6.9938516616821289</v>
      </c>
      <c r="Q49" s="9">
        <v>784633.19</v>
      </c>
      <c r="R49" s="9">
        <v>1047899.81</v>
      </c>
      <c r="S49" s="9">
        <v>702236.81</v>
      </c>
      <c r="T49" s="9">
        <v>4773998</v>
      </c>
      <c r="U49" s="3">
        <v>4108492.75</v>
      </c>
      <c r="V49" s="3">
        <v>1109825.125</v>
      </c>
      <c r="W49" s="3">
        <v>2998667.5</v>
      </c>
      <c r="X49" s="2">
        <v>0.58458566665649414</v>
      </c>
      <c r="Y49" s="2">
        <v>4.8456635475158691</v>
      </c>
      <c r="Z49" s="2">
        <v>4.0222072601318359</v>
      </c>
      <c r="AA49" s="2">
        <v>5.2988419532775879</v>
      </c>
      <c r="AB49" s="2">
        <v>7.0274167060852051</v>
      </c>
      <c r="AC49" s="2">
        <v>5.7040791511535645</v>
      </c>
      <c r="AD49" s="2">
        <v>7.5210251808166504</v>
      </c>
      <c r="AE49" s="2">
        <v>2.0909013748168945</v>
      </c>
      <c r="AF49" s="2">
        <v>1.4140087366104126</v>
      </c>
      <c r="AG49" s="2">
        <v>2.6848328113555908</v>
      </c>
      <c r="AH49" s="2">
        <v>0.62101453542709351</v>
      </c>
      <c r="AI49" s="2">
        <v>0.57220572233200073</v>
      </c>
      <c r="AJ49" s="3">
        <f t="shared" si="7"/>
        <v>5800364</v>
      </c>
      <c r="AK49" s="3">
        <v>1651898</v>
      </c>
      <c r="AL49" s="3">
        <v>4148466</v>
      </c>
      <c r="AM49" s="2">
        <v>4.7584245668330398</v>
      </c>
      <c r="AN49" s="2">
        <v>5.9101721758289196</v>
      </c>
      <c r="AO49" s="2">
        <v>4.0321943264495896</v>
      </c>
      <c r="AP49" s="2">
        <v>3.7584372743965502</v>
      </c>
      <c r="AQ49" s="2">
        <v>5.2012085092692901</v>
      </c>
      <c r="AR49" s="2">
        <v>8.2017600249632601</v>
      </c>
      <c r="AS49" s="3">
        <v>1486873</v>
      </c>
      <c r="AT49" s="10">
        <v>6.5729398663697101</v>
      </c>
      <c r="AU49" s="10">
        <v>5.2162072225247096</v>
      </c>
      <c r="AV49" s="6"/>
      <c r="AW49" s="7">
        <f t="shared" si="8"/>
        <v>0.52770799733668705</v>
      </c>
      <c r="AX49" s="7">
        <f t="shared" si="9"/>
        <v>0.47229200266331289</v>
      </c>
      <c r="AY49" s="7">
        <f t="shared" si="10"/>
        <v>0.17999282093204585</v>
      </c>
      <c r="AZ49" s="7">
        <f t="shared" si="11"/>
        <v>0.82000717906795406</v>
      </c>
      <c r="BA49" s="7">
        <v>21.346340000000001</v>
      </c>
      <c r="BB49" s="7">
        <v>0.53886049999999996</v>
      </c>
      <c r="BC49" s="7">
        <v>0.46113949999999998</v>
      </c>
      <c r="BD49" s="7">
        <v>0.64724230000000005</v>
      </c>
      <c r="BE49" s="7">
        <v>0</v>
      </c>
      <c r="BF49" s="7">
        <v>5.2356720000000001</v>
      </c>
      <c r="BG49" s="7">
        <v>5.2356730000000002</v>
      </c>
      <c r="BH49" s="7">
        <v>1</v>
      </c>
      <c r="BI49" s="7">
        <v>0.83056479999999999</v>
      </c>
      <c r="BJ49" s="7">
        <v>0.2073673</v>
      </c>
      <c r="BK49" s="7">
        <v>0.79263269999999997</v>
      </c>
      <c r="BL49" s="7">
        <v>0.29117480000000001</v>
      </c>
      <c r="BM49" s="7">
        <v>3.9300000000000004E-15</v>
      </c>
      <c r="BN49" s="7">
        <v>4.4786739999999998</v>
      </c>
      <c r="BO49" s="7">
        <v>4.478675</v>
      </c>
      <c r="BP49" s="7">
        <v>1</v>
      </c>
      <c r="BQ49" s="7">
        <v>0.44890160000000001</v>
      </c>
      <c r="BR49" s="7">
        <v>0.17417260000000001</v>
      </c>
      <c r="BS49" s="7">
        <v>0.82582739999999999</v>
      </c>
      <c r="BT49" s="7">
        <v>0.55497370000000001</v>
      </c>
      <c r="BU49" s="7">
        <v>0.69686530000000002</v>
      </c>
      <c r="BV49" s="7">
        <v>0.44306980000000001</v>
      </c>
      <c r="BW49" s="7">
        <v>2.971403</v>
      </c>
      <c r="BX49" s="7">
        <v>5.2386160000000004</v>
      </c>
      <c r="BY49" s="7">
        <v>1.7630110000000001</v>
      </c>
      <c r="BZ49" s="7">
        <v>0</v>
      </c>
      <c r="CA49" s="7">
        <v>0.52477929999999995</v>
      </c>
      <c r="CB49" s="7">
        <v>0.4752207</v>
      </c>
      <c r="CC49" s="7">
        <v>0.1800921</v>
      </c>
      <c r="CD49" s="7">
        <v>0.81990779999999996</v>
      </c>
      <c r="CE49" s="7">
        <v>6.3530030000000002</v>
      </c>
      <c r="CF49" s="7">
        <v>6.4203530000000004</v>
      </c>
      <c r="CG49" s="7">
        <v>3.1637979999999999</v>
      </c>
      <c r="CH49" s="7">
        <v>5.1138349999999999</v>
      </c>
      <c r="CI49" s="7">
        <v>1.5701689999999999</v>
      </c>
      <c r="CJ49" s="7">
        <v>1.340813</v>
      </c>
      <c r="CK49" s="7">
        <v>0.85392900000000005</v>
      </c>
      <c r="CL49" s="7">
        <v>1.133095</v>
      </c>
      <c r="CM49" s="7">
        <v>0.56350199999999995</v>
      </c>
      <c r="CN49" s="7">
        <v>0.60514999999999997</v>
      </c>
      <c r="CO49" s="7">
        <v>0.53786230000000002</v>
      </c>
      <c r="CP49" s="7">
        <v>9.4748999999999996E-3</v>
      </c>
      <c r="CQ49" s="7">
        <v>3.5869199999999997E-2</v>
      </c>
      <c r="CR49" s="7">
        <v>8.0159999999999997E-4</v>
      </c>
      <c r="CS49" s="7">
        <v>1.365275</v>
      </c>
      <c r="CT49" s="7">
        <v>1.5460143435254508</v>
      </c>
      <c r="CU49" s="7">
        <v>1.2580519369842946</v>
      </c>
      <c r="CV49" s="7">
        <v>1.024918</v>
      </c>
      <c r="CW49" s="7">
        <v>1.467355</v>
      </c>
      <c r="CX49" s="7">
        <v>1.3311740000000001</v>
      </c>
      <c r="CY49" s="7">
        <v>1.5782089621684157</v>
      </c>
      <c r="CZ49" s="6"/>
      <c r="DI49" s="33"/>
      <c r="DJ49" s="11"/>
    </row>
    <row r="50" spans="1:114" customFormat="1" x14ac:dyDescent="0.3">
      <c r="A50" s="5">
        <v>1995</v>
      </c>
      <c r="B50" s="3">
        <v>266588</v>
      </c>
      <c r="C50" s="3">
        <v>7639749</v>
      </c>
      <c r="D50" s="12">
        <v>5.2243468893078404</v>
      </c>
      <c r="E50" s="2">
        <v>5.85834123861948</v>
      </c>
      <c r="F50" s="3">
        <v>4962590</v>
      </c>
      <c r="G50" s="3">
        <v>1317489</v>
      </c>
      <c r="H50" s="3">
        <v>1141743</v>
      </c>
      <c r="I50" s="3">
        <v>307688</v>
      </c>
      <c r="J50" s="3">
        <v>-89761</v>
      </c>
      <c r="K50" s="3">
        <f t="shared" si="4"/>
        <v>7664066.8799999999</v>
      </c>
      <c r="L50" s="3">
        <f t="shared" si="5"/>
        <v>1906368</v>
      </c>
      <c r="M50" s="3">
        <f t="shared" si="6"/>
        <v>5757698.8799999999</v>
      </c>
      <c r="N50" s="10">
        <v>6.1708784103393555</v>
      </c>
      <c r="O50" s="10">
        <v>4.5414681434631348</v>
      </c>
      <c r="P50" s="10">
        <v>7.19708251953125</v>
      </c>
      <c r="Q50" s="9">
        <v>840546.12</v>
      </c>
      <c r="R50" s="9">
        <v>1065821.8799999999</v>
      </c>
      <c r="S50" s="9">
        <v>753439.88</v>
      </c>
      <c r="T50" s="9">
        <v>5004259</v>
      </c>
      <c r="U50" s="3">
        <v>4331886.5</v>
      </c>
      <c r="V50" s="3">
        <v>1137367.5</v>
      </c>
      <c r="W50" s="3">
        <v>3194519</v>
      </c>
      <c r="X50" s="2">
        <v>0.57902806997299194</v>
      </c>
      <c r="Y50" s="2">
        <v>4.9553332328796387</v>
      </c>
      <c r="Z50" s="2">
        <v>4.1044392585754395</v>
      </c>
      <c r="AA50" s="2">
        <v>5.4227166175842285</v>
      </c>
      <c r="AB50" s="2">
        <v>7.3009061813354492</v>
      </c>
      <c r="AC50" s="2">
        <v>5.8766236305236816</v>
      </c>
      <c r="AD50" s="2">
        <v>7.8340291976928711</v>
      </c>
      <c r="AE50" s="2">
        <v>2.1437845230102539</v>
      </c>
      <c r="AF50" s="2">
        <v>1.4318298101425171</v>
      </c>
      <c r="AG50" s="2">
        <v>2.7652108669281006</v>
      </c>
      <c r="AH50" s="2">
        <v>0.60768258571624756</v>
      </c>
      <c r="AI50" s="2">
        <v>0.5692715048789978</v>
      </c>
      <c r="AJ50" s="3">
        <f t="shared" si="7"/>
        <v>6045746</v>
      </c>
      <c r="AK50" s="3">
        <v>1681700</v>
      </c>
      <c r="AL50" s="3">
        <v>4364046</v>
      </c>
      <c r="AM50" s="2">
        <v>4.8561292059004</v>
      </c>
      <c r="AN50" s="2">
        <v>6.0362582540185796</v>
      </c>
      <c r="AO50" s="2">
        <v>4.1629885862583897</v>
      </c>
      <c r="AP50" s="2">
        <v>3.70602920518315</v>
      </c>
      <c r="AQ50" s="2">
        <v>5.3262578199607304</v>
      </c>
      <c r="AR50" s="2">
        <v>8.4254076427874391</v>
      </c>
      <c r="AS50" s="3">
        <v>1594003</v>
      </c>
      <c r="AT50" s="10">
        <v>6.9117483296213802</v>
      </c>
      <c r="AU50" s="10">
        <v>5.3179204708383603</v>
      </c>
      <c r="AV50" s="6"/>
      <c r="AW50" s="7">
        <f t="shared" si="8"/>
        <v>0.52732340183665349</v>
      </c>
      <c r="AX50" s="7">
        <f t="shared" si="9"/>
        <v>0.47267659816334651</v>
      </c>
      <c r="AY50" s="7">
        <f t="shared" si="10"/>
        <v>0.17558610850008968</v>
      </c>
      <c r="AZ50" s="7">
        <f t="shared" si="11"/>
        <v>0.82441389149991029</v>
      </c>
      <c r="BA50" s="7">
        <v>22.024149999999999</v>
      </c>
      <c r="BB50" s="7">
        <v>0.53656309999999996</v>
      </c>
      <c r="BC50" s="7">
        <v>0.46343689999999998</v>
      </c>
      <c r="BD50" s="7">
        <v>0.64724230000000005</v>
      </c>
      <c r="BE50" s="7">
        <v>0</v>
      </c>
      <c r="BF50" s="7">
        <v>5.3382719999999999</v>
      </c>
      <c r="BG50" s="7">
        <v>5.3382719999999999</v>
      </c>
      <c r="BH50" s="7">
        <v>1</v>
      </c>
      <c r="BI50" s="7">
        <v>0.83056479999999999</v>
      </c>
      <c r="BJ50" s="7">
        <v>0.20585229999999999</v>
      </c>
      <c r="BK50" s="7">
        <v>0.79414770000000001</v>
      </c>
      <c r="BL50" s="7">
        <v>0.29117480000000001</v>
      </c>
      <c r="BM50" s="7">
        <v>3.9300000000000004E-15</v>
      </c>
      <c r="BN50" s="7">
        <v>4.552486</v>
      </c>
      <c r="BO50" s="7">
        <v>4.552486</v>
      </c>
      <c r="BP50" s="7">
        <v>1</v>
      </c>
      <c r="BQ50" s="7">
        <v>0.44890160000000001</v>
      </c>
      <c r="BR50" s="7">
        <v>0.1728035</v>
      </c>
      <c r="BS50" s="7">
        <v>0.8271965</v>
      </c>
      <c r="BT50" s="7">
        <v>0.55497370000000001</v>
      </c>
      <c r="BU50" s="7">
        <v>0.69686530000000002</v>
      </c>
      <c r="BV50" s="7">
        <v>0.44306980000000001</v>
      </c>
      <c r="BW50" s="7">
        <v>3.0186860000000002</v>
      </c>
      <c r="BX50" s="7">
        <v>5.3236049999999997</v>
      </c>
      <c r="BY50" s="7">
        <v>1.7635510000000001</v>
      </c>
      <c r="BZ50" s="7">
        <v>0</v>
      </c>
      <c r="CA50" s="7">
        <v>0.52751579999999998</v>
      </c>
      <c r="CB50" s="7">
        <v>0.47248430000000002</v>
      </c>
      <c r="CC50" s="7">
        <v>0.17778939999999999</v>
      </c>
      <c r="CD50" s="7">
        <v>0.82221060000000001</v>
      </c>
      <c r="CE50" s="7">
        <v>6.675001</v>
      </c>
      <c r="CF50" s="7">
        <v>6.6940330000000001</v>
      </c>
      <c r="CG50" s="7">
        <v>3.1602969999999999</v>
      </c>
      <c r="CH50" s="7">
        <v>5.2160789999999997</v>
      </c>
      <c r="CI50" s="7">
        <v>1.584748</v>
      </c>
      <c r="CJ50" s="7">
        <v>1.353399</v>
      </c>
      <c r="CK50" s="7">
        <v>0.85401539999999998</v>
      </c>
      <c r="CL50" s="7">
        <v>1.135184</v>
      </c>
      <c r="CM50" s="7">
        <v>0.56350199999999995</v>
      </c>
      <c r="CN50" s="7">
        <v>0.60514999999999997</v>
      </c>
      <c r="CO50" s="7">
        <v>0.53786230000000002</v>
      </c>
      <c r="CP50" s="7">
        <v>-8.3598000000000006E-3</v>
      </c>
      <c r="CQ50" s="7">
        <v>1.727E-4</v>
      </c>
      <c r="CR50" s="7">
        <v>-1.13118E-2</v>
      </c>
      <c r="CS50" s="7">
        <v>1.353909</v>
      </c>
      <c r="CT50" s="7">
        <v>1.546263913509939</v>
      </c>
      <c r="CU50" s="7">
        <v>1.2438920824356732</v>
      </c>
      <c r="CV50" s="7">
        <v>1.0295080000000001</v>
      </c>
      <c r="CW50" s="7">
        <v>1.467381</v>
      </c>
      <c r="CX50" s="7">
        <v>1.319976</v>
      </c>
      <c r="CY50" s="7">
        <v>1.574122866948926</v>
      </c>
      <c r="CZ50" s="6"/>
      <c r="DI50" s="33"/>
      <c r="DJ50" s="11"/>
    </row>
    <row r="51" spans="1:114" customFormat="1" x14ac:dyDescent="0.3">
      <c r="A51" s="5">
        <v>1996</v>
      </c>
      <c r="B51" s="3">
        <v>269714</v>
      </c>
      <c r="C51" s="3">
        <v>8073122</v>
      </c>
      <c r="D51" s="12">
        <v>5.4214022802765101</v>
      </c>
      <c r="E51" s="2">
        <v>5.96564576732725</v>
      </c>
      <c r="F51" s="3">
        <v>5244596</v>
      </c>
      <c r="G51" s="3">
        <v>1432055</v>
      </c>
      <c r="H51" s="3">
        <v>1172889</v>
      </c>
      <c r="I51" s="3">
        <v>319959</v>
      </c>
      <c r="J51" s="3">
        <v>-96376</v>
      </c>
      <c r="K51" s="3">
        <f t="shared" si="4"/>
        <v>8100231.8200000003</v>
      </c>
      <c r="L51" s="3">
        <f t="shared" si="5"/>
        <v>2008757.94</v>
      </c>
      <c r="M51" s="3">
        <f t="shared" si="6"/>
        <v>6091473.8799999999</v>
      </c>
      <c r="N51" s="10">
        <v>6.2631678581237793</v>
      </c>
      <c r="O51" s="10">
        <v>4.6086320877075195</v>
      </c>
      <c r="P51" s="10">
        <v>7.3051242828369141</v>
      </c>
      <c r="Q51" s="9">
        <v>896548.06</v>
      </c>
      <c r="R51" s="9">
        <v>1112209.8799999999</v>
      </c>
      <c r="S51" s="9">
        <v>824659.88</v>
      </c>
      <c r="T51" s="9">
        <v>5266814</v>
      </c>
      <c r="U51" s="3">
        <v>4551839.5</v>
      </c>
      <c r="V51" s="3">
        <v>1193016.5</v>
      </c>
      <c r="W51" s="3">
        <v>3358822.75</v>
      </c>
      <c r="X51" s="2">
        <v>0.57877403497695923</v>
      </c>
      <c r="Y51" s="2">
        <v>5.1566925048828125</v>
      </c>
      <c r="Z51" s="2">
        <v>4.2611603736877441</v>
      </c>
      <c r="AA51" s="2">
        <v>5.6475605964660645</v>
      </c>
      <c r="AB51" s="2">
        <v>7.6035518646240234</v>
      </c>
      <c r="AC51" s="2">
        <v>6.0986032485961914</v>
      </c>
      <c r="AD51" s="2">
        <v>8.1678256988525391</v>
      </c>
      <c r="AE51" s="2">
        <v>2.1777563095092773</v>
      </c>
      <c r="AF51" s="2">
        <v>1.4549505710601807</v>
      </c>
      <c r="AG51" s="2">
        <v>2.8087341785430908</v>
      </c>
      <c r="AH51" s="2">
        <v>0.60176742076873779</v>
      </c>
      <c r="AI51" s="2">
        <v>0.57101517915725708</v>
      </c>
      <c r="AJ51" s="3">
        <f t="shared" si="7"/>
        <v>6351908</v>
      </c>
      <c r="AK51" s="3">
        <v>1769807</v>
      </c>
      <c r="AL51" s="3">
        <v>4582101</v>
      </c>
      <c r="AM51" s="2">
        <v>4.9900483206532797</v>
      </c>
      <c r="AN51" s="2">
        <v>6.1717396382002301</v>
      </c>
      <c r="AO51" s="2">
        <v>4.3224634623546203</v>
      </c>
      <c r="AP51" s="2">
        <v>3.75629862288825</v>
      </c>
      <c r="AQ51" s="2">
        <v>5.4512938511741096</v>
      </c>
      <c r="AR51" s="2">
        <v>8.6434843906113308</v>
      </c>
      <c r="AS51" s="3">
        <v>1721214</v>
      </c>
      <c r="AT51" s="10">
        <v>7.4408407572383002</v>
      </c>
      <c r="AU51" s="10">
        <v>5.3340057519229802</v>
      </c>
      <c r="AV51" s="6"/>
      <c r="AW51" s="7">
        <f t="shared" si="8"/>
        <v>0.52088306076487201</v>
      </c>
      <c r="AX51" s="7">
        <f t="shared" si="9"/>
        <v>0.4791169392351281</v>
      </c>
      <c r="AY51" s="7">
        <f t="shared" si="10"/>
        <v>0.17435424305074085</v>
      </c>
      <c r="AZ51" s="7">
        <f t="shared" si="11"/>
        <v>0.82564575694925912</v>
      </c>
      <c r="BA51" s="7">
        <v>22.852740000000001</v>
      </c>
      <c r="BB51" s="7">
        <v>0.53650850000000005</v>
      </c>
      <c r="BC51" s="7">
        <v>0.4634915</v>
      </c>
      <c r="BD51" s="7">
        <v>0.64724230000000005</v>
      </c>
      <c r="BE51" s="7">
        <v>0</v>
      </c>
      <c r="BF51" s="7">
        <v>5.5218259999999999</v>
      </c>
      <c r="BG51" s="7">
        <v>5.5218259999999999</v>
      </c>
      <c r="BH51" s="7">
        <v>1</v>
      </c>
      <c r="BI51" s="7">
        <v>0.83056479999999999</v>
      </c>
      <c r="BJ51" s="7">
        <v>0.20581640000000001</v>
      </c>
      <c r="BK51" s="7">
        <v>0.79418359999999999</v>
      </c>
      <c r="BL51" s="7">
        <v>0.29117480000000001</v>
      </c>
      <c r="BM51" s="7">
        <v>3.9300000000000004E-15</v>
      </c>
      <c r="BN51" s="7">
        <v>4.7086800000000002</v>
      </c>
      <c r="BO51" s="7">
        <v>4.7086800000000002</v>
      </c>
      <c r="BP51" s="7">
        <v>1</v>
      </c>
      <c r="BQ51" s="7">
        <v>0.44890160000000001</v>
      </c>
      <c r="BR51" s="7">
        <v>0.17067740000000001</v>
      </c>
      <c r="BS51" s="7">
        <v>0.82932260000000002</v>
      </c>
      <c r="BT51" s="7">
        <v>0.55497370000000001</v>
      </c>
      <c r="BU51" s="7">
        <v>0.69686530000000002</v>
      </c>
      <c r="BV51" s="7">
        <v>0.44306980000000001</v>
      </c>
      <c r="BW51" s="7">
        <v>3.0843790000000002</v>
      </c>
      <c r="BX51" s="7">
        <v>5.5201580000000003</v>
      </c>
      <c r="BY51" s="7">
        <v>1.7897149999999999</v>
      </c>
      <c r="BZ51" s="7">
        <v>0</v>
      </c>
      <c r="CA51" s="7">
        <v>0.52410319999999999</v>
      </c>
      <c r="CB51" s="7">
        <v>0.47589690000000001</v>
      </c>
      <c r="CC51" s="7">
        <v>0.17497019999999999</v>
      </c>
      <c r="CD51" s="7">
        <v>0.82502980000000004</v>
      </c>
      <c r="CE51" s="7">
        <v>7.0159159999999998</v>
      </c>
      <c r="CF51" s="7">
        <v>7.2183830000000002</v>
      </c>
      <c r="CG51" s="7">
        <v>3.2463579999999999</v>
      </c>
      <c r="CH51" s="7">
        <v>5.402857</v>
      </c>
      <c r="CI51" s="7">
        <v>1.5850960000000001</v>
      </c>
      <c r="CJ51" s="7">
        <v>1.3695539999999999</v>
      </c>
      <c r="CK51" s="7">
        <v>0.8640198</v>
      </c>
      <c r="CL51" s="7">
        <v>1.1571279999999999</v>
      </c>
      <c r="CM51" s="7">
        <v>0.56350199999999995</v>
      </c>
      <c r="CN51" s="7">
        <v>0.60514999999999997</v>
      </c>
      <c r="CO51" s="7">
        <v>0.53786230000000002</v>
      </c>
      <c r="CP51" s="7">
        <v>1.32421E-2</v>
      </c>
      <c r="CQ51" s="7">
        <v>1.2261599999999999E-2</v>
      </c>
      <c r="CR51" s="7">
        <v>1.36133E-2</v>
      </c>
      <c r="CS51" s="7">
        <v>1.3719570000000001</v>
      </c>
      <c r="CT51" s="7">
        <v>1.5653186644776678</v>
      </c>
      <c r="CU51" s="7">
        <v>1.2609198073456052</v>
      </c>
      <c r="CV51" s="7">
        <v>1.041677</v>
      </c>
      <c r="CW51" s="7">
        <v>1.5038640000000001</v>
      </c>
      <c r="CX51" s="7">
        <v>1.3376189999999999</v>
      </c>
      <c r="CY51" s="7">
        <v>1.6151418350656104</v>
      </c>
      <c r="CZ51" s="6"/>
      <c r="DI51" s="33"/>
      <c r="DJ51" s="11"/>
    </row>
    <row r="52" spans="1:114" customFormat="1" x14ac:dyDescent="0.3">
      <c r="A52" s="5">
        <v>1997</v>
      </c>
      <c r="B52" s="3">
        <v>272958</v>
      </c>
      <c r="C52" s="3">
        <v>8577552</v>
      </c>
      <c r="D52" s="12">
        <v>5.6625370320495598</v>
      </c>
      <c r="E52" s="2">
        <v>6.0684794390676302</v>
      </c>
      <c r="F52" s="3">
        <v>5536790</v>
      </c>
      <c r="G52" s="3">
        <v>1595600</v>
      </c>
      <c r="H52" s="3">
        <v>1220528</v>
      </c>
      <c r="I52" s="3">
        <v>326605</v>
      </c>
      <c r="J52" s="3">
        <v>-101971</v>
      </c>
      <c r="K52" s="3">
        <f t="shared" si="4"/>
        <v>8577570.8800000008</v>
      </c>
      <c r="L52" s="3">
        <f t="shared" si="5"/>
        <v>2097614.0699999998</v>
      </c>
      <c r="M52" s="3">
        <f t="shared" si="6"/>
        <v>6479956.8100000005</v>
      </c>
      <c r="N52" s="10">
        <v>6.3539657592773438</v>
      </c>
      <c r="O52" s="10">
        <v>4.601417064666748</v>
      </c>
      <c r="P52" s="10">
        <v>7.4506306648254395</v>
      </c>
      <c r="Q52" s="9">
        <v>961821.19</v>
      </c>
      <c r="R52" s="9">
        <v>1135792.8799999999</v>
      </c>
      <c r="S52" s="9">
        <v>889458.81</v>
      </c>
      <c r="T52" s="9">
        <v>5590498</v>
      </c>
      <c r="U52" s="3">
        <v>4892870.5</v>
      </c>
      <c r="V52" s="3">
        <v>1244620.375</v>
      </c>
      <c r="W52" s="3">
        <v>3648250.25</v>
      </c>
      <c r="X52" s="2">
        <v>0.58040636777877808</v>
      </c>
      <c r="Y52" s="2">
        <v>5.4053645133972168</v>
      </c>
      <c r="Z52" s="2">
        <v>4.4793763160705566</v>
      </c>
      <c r="AA52" s="2">
        <v>5.914280891418457</v>
      </c>
      <c r="AB52" s="2">
        <v>7.9690055847167969</v>
      </c>
      <c r="AC52" s="2">
        <v>6.350071907043457</v>
      </c>
      <c r="AD52" s="2">
        <v>8.5780401229858398</v>
      </c>
      <c r="AE52" s="2">
        <v>2.241417407989502</v>
      </c>
      <c r="AF52" s="2">
        <v>1.4870531558990479</v>
      </c>
      <c r="AG52" s="2">
        <v>2.8978822231292725</v>
      </c>
      <c r="AH52" s="2">
        <v>0.59864336252212524</v>
      </c>
      <c r="AI52" s="2">
        <v>0.57430177927017212</v>
      </c>
      <c r="AJ52" s="3">
        <f t="shared" si="7"/>
        <v>6726275</v>
      </c>
      <c r="AK52" s="3">
        <v>1891666</v>
      </c>
      <c r="AL52" s="3">
        <v>4834609</v>
      </c>
      <c r="AM52" s="2">
        <v>5.1753705319112999</v>
      </c>
      <c r="AN52" s="2">
        <v>6.3014600880976097</v>
      </c>
      <c r="AO52" s="2">
        <v>4.4882301772602702</v>
      </c>
      <c r="AP52" s="2">
        <v>3.86665006693244</v>
      </c>
      <c r="AQ52" s="2">
        <v>5.6025834739411904</v>
      </c>
      <c r="AR52" s="2">
        <v>8.8735378834823297</v>
      </c>
      <c r="AS52" s="3">
        <v>1851279</v>
      </c>
      <c r="AT52" s="10">
        <v>7.9750835189309504</v>
      </c>
      <c r="AU52" s="10">
        <v>5.3527536323138598</v>
      </c>
      <c r="AV52" s="6"/>
      <c r="AW52" s="7">
        <f t="shared" si="8"/>
        <v>0.51954387774944899</v>
      </c>
      <c r="AX52" s="7">
        <f t="shared" si="9"/>
        <v>0.48045612225055101</v>
      </c>
      <c r="AY52" s="7">
        <f t="shared" si="10"/>
        <v>0.16885872173283115</v>
      </c>
      <c r="AZ52" s="7">
        <f t="shared" si="11"/>
        <v>0.83114127826716888</v>
      </c>
      <c r="BA52" s="7">
        <v>23.936630000000001</v>
      </c>
      <c r="BB52" s="7">
        <v>0.53121059999999998</v>
      </c>
      <c r="BC52" s="7">
        <v>0.46878940000000002</v>
      </c>
      <c r="BD52" s="7">
        <v>0.64724230000000005</v>
      </c>
      <c r="BE52" s="7">
        <v>0</v>
      </c>
      <c r="BF52" s="7">
        <v>5.8045739999999997</v>
      </c>
      <c r="BG52" s="7">
        <v>5.8045749999999998</v>
      </c>
      <c r="BH52" s="7">
        <v>1</v>
      </c>
      <c r="BI52" s="7">
        <v>0.83056479999999999</v>
      </c>
      <c r="BJ52" s="7">
        <v>0.20235829999999999</v>
      </c>
      <c r="BK52" s="7">
        <v>0.79764159999999995</v>
      </c>
      <c r="BL52" s="7">
        <v>0.29117480000000001</v>
      </c>
      <c r="BM52" s="7">
        <v>3.9300000000000004E-15</v>
      </c>
      <c r="BN52" s="7">
        <v>4.9151619999999996</v>
      </c>
      <c r="BO52" s="7">
        <v>4.9151619999999996</v>
      </c>
      <c r="BP52" s="7">
        <v>0.99999990000000005</v>
      </c>
      <c r="BQ52" s="7">
        <v>0.44890160000000001</v>
      </c>
      <c r="BR52" s="7">
        <v>0.16569819999999999</v>
      </c>
      <c r="BS52" s="7">
        <v>0.83430179999999998</v>
      </c>
      <c r="BT52" s="7">
        <v>0.55497370000000001</v>
      </c>
      <c r="BU52" s="7">
        <v>0.69686530000000002</v>
      </c>
      <c r="BV52" s="7">
        <v>0.44306980000000001</v>
      </c>
      <c r="BW52" s="7">
        <v>3.1791209999999999</v>
      </c>
      <c r="BX52" s="7">
        <v>5.7716890000000003</v>
      </c>
      <c r="BY52" s="7">
        <v>1.8154980000000001</v>
      </c>
      <c r="BZ52" s="7">
        <v>0</v>
      </c>
      <c r="CA52" s="7">
        <v>0.52101129999999996</v>
      </c>
      <c r="CB52" s="7">
        <v>0.47898869999999999</v>
      </c>
      <c r="CC52" s="7">
        <v>0.17138590000000001</v>
      </c>
      <c r="CD52" s="7">
        <v>0.82861410000000002</v>
      </c>
      <c r="CE52" s="7">
        <v>7.5616380000000003</v>
      </c>
      <c r="CF52" s="7">
        <v>7.6081430000000001</v>
      </c>
      <c r="CG52" s="7">
        <v>3.3292679999999999</v>
      </c>
      <c r="CH52" s="7">
        <v>5.6557050000000002</v>
      </c>
      <c r="CI52" s="7">
        <v>1.6192040000000001</v>
      </c>
      <c r="CJ52" s="7">
        <v>1.391969</v>
      </c>
      <c r="CK52" s="7">
        <v>0.85966279999999995</v>
      </c>
      <c r="CL52" s="7">
        <v>1.1773530000000001</v>
      </c>
      <c r="CM52" s="7">
        <v>0.56350199999999995</v>
      </c>
      <c r="CN52" s="7">
        <v>0.60514999999999997</v>
      </c>
      <c r="CO52" s="7">
        <v>0.53786230000000002</v>
      </c>
      <c r="CP52" s="7">
        <v>1.0369099999999999E-2</v>
      </c>
      <c r="CQ52" s="7">
        <v>2.0006900000000001E-2</v>
      </c>
      <c r="CR52" s="7">
        <v>7.1492999999999999E-3</v>
      </c>
      <c r="CS52" s="7">
        <v>1.3862570000000001</v>
      </c>
      <c r="CT52" s="7">
        <v>1.5969317026779783</v>
      </c>
      <c r="CU52" s="7">
        <v>1.2699519827012127</v>
      </c>
      <c r="CV52" s="7">
        <v>1.0470470000000001</v>
      </c>
      <c r="CW52" s="7">
        <v>1.534151</v>
      </c>
      <c r="CX52" s="7">
        <v>1.3515079999999999</v>
      </c>
      <c r="CY52" s="7">
        <v>1.6428506284674627</v>
      </c>
      <c r="CZ52" s="6"/>
      <c r="DA52" s="7"/>
      <c r="DB52" s="7"/>
      <c r="DC52" s="7"/>
      <c r="DD52" s="7"/>
      <c r="DE52" s="7"/>
      <c r="DF52" s="7"/>
      <c r="DI52" s="33"/>
      <c r="DJ52" s="11"/>
    </row>
    <row r="53" spans="1:114" customFormat="1" x14ac:dyDescent="0.3">
      <c r="A53" s="5">
        <v>1998</v>
      </c>
      <c r="B53" s="3">
        <v>276154</v>
      </c>
      <c r="C53" s="3">
        <v>9062817</v>
      </c>
      <c r="D53" s="12">
        <v>5.9164197863363004</v>
      </c>
      <c r="E53" s="2">
        <v>6.1366564439090903</v>
      </c>
      <c r="F53" s="3">
        <v>5877248</v>
      </c>
      <c r="G53" s="3">
        <v>1736671</v>
      </c>
      <c r="H53" s="3">
        <v>1267607</v>
      </c>
      <c r="I53" s="3">
        <v>344001</v>
      </c>
      <c r="J53" s="3">
        <v>-162711</v>
      </c>
      <c r="K53" s="3">
        <f t="shared" si="4"/>
        <v>9062819.9399999995</v>
      </c>
      <c r="L53" s="3">
        <f t="shared" si="5"/>
        <v>2156512</v>
      </c>
      <c r="M53" s="3">
        <f t="shared" si="6"/>
        <v>6906307.9399999995</v>
      </c>
      <c r="N53" s="10">
        <v>6.4304647445678711</v>
      </c>
      <c r="O53" s="10">
        <v>4.571800708770752</v>
      </c>
      <c r="P53" s="10">
        <v>7.585667610168457</v>
      </c>
      <c r="Q53" s="9">
        <v>1035481.62</v>
      </c>
      <c r="R53" s="9">
        <v>1121030.3799999999</v>
      </c>
      <c r="S53" s="9">
        <v>981469.44</v>
      </c>
      <c r="T53" s="9">
        <v>5924838.5</v>
      </c>
      <c r="U53" s="3">
        <v>5330721.5</v>
      </c>
      <c r="V53" s="3">
        <v>1311015.375</v>
      </c>
      <c r="W53" s="3">
        <v>4019706</v>
      </c>
      <c r="X53" s="2">
        <v>0.59316498041152954</v>
      </c>
      <c r="Y53" s="2">
        <v>5.6329693794250488</v>
      </c>
      <c r="Z53" s="2">
        <v>4.6318740844726563</v>
      </c>
      <c r="AA53" s="2">
        <v>6.1789097785949707</v>
      </c>
      <c r="AB53" s="2">
        <v>8.406916618347168</v>
      </c>
      <c r="AC53" s="2">
        <v>6.6430439949035645</v>
      </c>
      <c r="AD53" s="2">
        <v>9.0732622146606445</v>
      </c>
      <c r="AE53" s="2">
        <v>2.3065404891967773</v>
      </c>
      <c r="AF53" s="2">
        <v>1.4983969926834106</v>
      </c>
      <c r="AG53" s="2">
        <v>3.0030844211578369</v>
      </c>
      <c r="AH53" s="2">
        <v>0.60437792539596558</v>
      </c>
      <c r="AI53" s="2">
        <v>0.5895046591758728</v>
      </c>
      <c r="AJ53" s="3">
        <f t="shared" si="7"/>
        <v>7045863</v>
      </c>
      <c r="AK53" s="3">
        <v>1933972</v>
      </c>
      <c r="AL53" s="3">
        <v>5111891</v>
      </c>
      <c r="AM53" s="2">
        <v>5.3395045373616599</v>
      </c>
      <c r="AN53" s="2">
        <v>6.3979588823361402</v>
      </c>
      <c r="AO53" s="2">
        <v>4.6022842852656201</v>
      </c>
      <c r="AP53" s="2">
        <v>3.8551588155885699</v>
      </c>
      <c r="AQ53" s="2">
        <v>5.8019940600902</v>
      </c>
      <c r="AR53" s="2">
        <v>9.0599978054274395</v>
      </c>
      <c r="AS53" s="3">
        <v>2016953</v>
      </c>
      <c r="AT53" s="10">
        <v>8.7163140311803993</v>
      </c>
      <c r="AU53" s="10">
        <v>5.3358489837822098</v>
      </c>
      <c r="AV53" s="6"/>
      <c r="AW53" s="7">
        <f t="shared" si="8"/>
        <v>0.51338956137091396</v>
      </c>
      <c r="AX53" s="7">
        <f t="shared" si="9"/>
        <v>0.48661043862908598</v>
      </c>
      <c r="AY53" s="7">
        <f t="shared" si="10"/>
        <v>0.15910463267093894</v>
      </c>
      <c r="AZ53" s="7">
        <f t="shared" si="11"/>
        <v>0.84089536732906112</v>
      </c>
      <c r="BA53" s="7">
        <v>24.719149999999999</v>
      </c>
      <c r="BB53" s="7">
        <v>0.52512530000000002</v>
      </c>
      <c r="BC53" s="7">
        <v>0.47487469999999998</v>
      </c>
      <c r="BD53" s="7">
        <v>0.64724230000000005</v>
      </c>
      <c r="BE53" s="7">
        <v>0</v>
      </c>
      <c r="BF53" s="7">
        <v>6.0338820000000002</v>
      </c>
      <c r="BG53" s="7">
        <v>6.0338830000000003</v>
      </c>
      <c r="BH53" s="7">
        <v>1</v>
      </c>
      <c r="BI53" s="7">
        <v>0.83056479999999999</v>
      </c>
      <c r="BJ53" s="7">
        <v>0.1984455</v>
      </c>
      <c r="BK53" s="7">
        <v>0.80155449999999995</v>
      </c>
      <c r="BL53" s="7">
        <v>0.29117480000000001</v>
      </c>
      <c r="BM53" s="7">
        <v>3.9300000000000004E-15</v>
      </c>
      <c r="BN53" s="7">
        <v>5.0686020000000003</v>
      </c>
      <c r="BO53" s="7">
        <v>5.0686030000000004</v>
      </c>
      <c r="BP53" s="7">
        <v>1</v>
      </c>
      <c r="BQ53" s="7">
        <v>0.44890160000000001</v>
      </c>
      <c r="BR53" s="7">
        <v>0.16162309999999999</v>
      </c>
      <c r="BS53" s="7">
        <v>0.83837689999999998</v>
      </c>
      <c r="BT53" s="7">
        <v>0.55497370000000001</v>
      </c>
      <c r="BU53" s="7">
        <v>0.69686530000000002</v>
      </c>
      <c r="BV53" s="7">
        <v>0.44306980000000001</v>
      </c>
      <c r="BW53" s="7">
        <v>3.2607910000000002</v>
      </c>
      <c r="BX53" s="7">
        <v>5.9517429999999996</v>
      </c>
      <c r="BY53" s="7">
        <v>1.825245</v>
      </c>
      <c r="BZ53" s="7">
        <v>0</v>
      </c>
      <c r="CA53" s="7">
        <v>0.51783590000000002</v>
      </c>
      <c r="CB53" s="7">
        <v>0.48216409999999998</v>
      </c>
      <c r="CC53" s="7">
        <v>0.16352800000000001</v>
      </c>
      <c r="CD53" s="7">
        <v>0.83647199999999999</v>
      </c>
      <c r="CE53" s="7">
        <v>8.1865780000000008</v>
      </c>
      <c r="CF53" s="7">
        <v>8.2537929999999999</v>
      </c>
      <c r="CG53" s="7">
        <v>3.2976160000000001</v>
      </c>
      <c r="CH53" s="7">
        <v>5.8720439999999998</v>
      </c>
      <c r="CI53" s="7">
        <v>1.65923</v>
      </c>
      <c r="CJ53" s="7">
        <v>1.4216759999999999</v>
      </c>
      <c r="CK53" s="7">
        <v>0.85682899999999995</v>
      </c>
      <c r="CL53" s="7">
        <v>1.199184</v>
      </c>
      <c r="CM53" s="7">
        <v>0.56350199999999995</v>
      </c>
      <c r="CN53" s="7">
        <v>0.60514999999999997</v>
      </c>
      <c r="CO53" s="7">
        <v>0.53786230000000002</v>
      </c>
      <c r="CP53" s="7">
        <v>1.7554999999999999E-3</v>
      </c>
      <c r="CQ53" s="7">
        <v>9.5075999999999997E-3</v>
      </c>
      <c r="CR53" s="7">
        <v>-8.2140000000000002E-4</v>
      </c>
      <c r="CS53" s="7">
        <v>1.388692</v>
      </c>
      <c r="CT53" s="7">
        <v>1.6121473569733598</v>
      </c>
      <c r="CU53" s="7">
        <v>1.2688921744033097</v>
      </c>
      <c r="CV53" s="7">
        <v>1.055955</v>
      </c>
      <c r="CW53" s="7">
        <v>1.5554159999999999</v>
      </c>
      <c r="CX53" s="7">
        <v>1.353823</v>
      </c>
      <c r="CY53" s="7">
        <v>1.6738392211225741</v>
      </c>
      <c r="CZ53" s="6"/>
      <c r="DA53" s="7"/>
      <c r="DB53" s="7"/>
      <c r="DC53" s="7"/>
      <c r="DD53" s="7"/>
      <c r="DE53" s="7"/>
      <c r="DF53" s="7"/>
      <c r="DI53" s="33"/>
      <c r="DJ53" s="11"/>
    </row>
    <row r="54" spans="1:114" customFormat="1" x14ac:dyDescent="0.3">
      <c r="A54" s="5">
        <v>1999</v>
      </c>
      <c r="B54" s="3">
        <v>279328</v>
      </c>
      <c r="C54" s="3">
        <v>9631172</v>
      </c>
      <c r="D54" s="12">
        <v>6.1996588562707604</v>
      </c>
      <c r="E54" s="2">
        <v>6.2235606581332101</v>
      </c>
      <c r="F54" s="3">
        <v>6283758</v>
      </c>
      <c r="G54" s="3">
        <v>1887059</v>
      </c>
      <c r="H54" s="3">
        <v>1351427</v>
      </c>
      <c r="I54" s="3">
        <v>368478</v>
      </c>
      <c r="J54" s="3">
        <v>-259550</v>
      </c>
      <c r="K54" s="3">
        <f t="shared" si="4"/>
        <v>9631159.75</v>
      </c>
      <c r="L54" s="3">
        <f t="shared" si="5"/>
        <v>2265199</v>
      </c>
      <c r="M54" s="3">
        <f t="shared" si="6"/>
        <v>7365960.75</v>
      </c>
      <c r="N54" s="10">
        <v>6.5414767265319824</v>
      </c>
      <c r="O54" s="10">
        <v>4.5739893913269043</v>
      </c>
      <c r="P54" s="10">
        <v>7.7574663162231445</v>
      </c>
      <c r="Q54" s="9">
        <v>1116566.75</v>
      </c>
      <c r="R54" s="9">
        <v>1148632.25</v>
      </c>
      <c r="S54" s="9">
        <v>1078162.25</v>
      </c>
      <c r="T54" s="9">
        <v>6287798.5</v>
      </c>
      <c r="U54" s="3">
        <v>5614821.5</v>
      </c>
      <c r="V54" s="3">
        <v>1375409.25</v>
      </c>
      <c r="W54" s="3">
        <v>4239412</v>
      </c>
      <c r="X54" s="2">
        <v>0.5997549295425415</v>
      </c>
      <c r="Y54" s="2">
        <v>5.8920474052429199</v>
      </c>
      <c r="Z54" s="2">
        <v>4.8693370819091797</v>
      </c>
      <c r="AA54" s="2">
        <v>6.4527912139892578</v>
      </c>
      <c r="AB54" s="2">
        <v>8.909672737121582</v>
      </c>
      <c r="AC54" s="2">
        <v>6.9041862487792969</v>
      </c>
      <c r="AD54" s="2">
        <v>9.6734066009521484</v>
      </c>
      <c r="AE54" s="2">
        <v>2.3501489162445068</v>
      </c>
      <c r="AF54" s="2">
        <v>1.5101708173751831</v>
      </c>
      <c r="AG54" s="2">
        <v>3.0707335472106934</v>
      </c>
      <c r="AH54" s="2">
        <v>0.61114561557769775</v>
      </c>
      <c r="AI54" s="2">
        <v>0.59614604711532593</v>
      </c>
      <c r="AJ54" s="3">
        <f t="shared" si="7"/>
        <v>7436451</v>
      </c>
      <c r="AK54" s="3">
        <v>2008392</v>
      </c>
      <c r="AL54" s="3">
        <v>5428059</v>
      </c>
      <c r="AM54" s="2">
        <v>5.5413807125321597</v>
      </c>
      <c r="AN54" s="2">
        <v>6.5066265405565504</v>
      </c>
      <c r="AO54" s="2">
        <v>4.79092741468593</v>
      </c>
      <c r="AP54" s="2">
        <v>3.8458684520974198</v>
      </c>
      <c r="AQ54" s="2">
        <v>6.0206728561205596</v>
      </c>
      <c r="AR54" s="2">
        <v>9.27093032821249</v>
      </c>
      <c r="AS54" s="3">
        <v>2194721</v>
      </c>
      <c r="AT54" s="10">
        <v>9.4419543429844097</v>
      </c>
      <c r="AU54" s="10">
        <v>5.3599167356289801</v>
      </c>
      <c r="AV54" s="6"/>
      <c r="AW54" s="7">
        <f t="shared" si="8"/>
        <v>0.50874925788104131</v>
      </c>
      <c r="AX54" s="7">
        <f t="shared" si="9"/>
        <v>0.49125074211895864</v>
      </c>
      <c r="AY54" s="7">
        <f t="shared" si="10"/>
        <v>0.15446015549865774</v>
      </c>
      <c r="AZ54" s="7">
        <f t="shared" si="11"/>
        <v>0.84553984450134223</v>
      </c>
      <c r="BA54" s="7">
        <v>25.829630000000002</v>
      </c>
      <c r="BB54" s="7">
        <v>0.51965720000000004</v>
      </c>
      <c r="BC54" s="7">
        <v>0.48034280000000001</v>
      </c>
      <c r="BD54" s="7">
        <v>0.64724230000000005</v>
      </c>
      <c r="BE54" s="7">
        <v>0</v>
      </c>
      <c r="BF54" s="7">
        <v>6.3079869999999998</v>
      </c>
      <c r="BG54" s="7">
        <v>6.3079869999999998</v>
      </c>
      <c r="BH54" s="7">
        <v>1</v>
      </c>
      <c r="BI54" s="7">
        <v>0.83056479999999999</v>
      </c>
      <c r="BJ54" s="7">
        <v>0.1949824</v>
      </c>
      <c r="BK54" s="7">
        <v>0.80501769999999995</v>
      </c>
      <c r="BL54" s="7">
        <v>0.29117480000000001</v>
      </c>
      <c r="BM54" s="7">
        <v>3.9300000000000004E-15</v>
      </c>
      <c r="BN54" s="7">
        <v>5.2611689999999998</v>
      </c>
      <c r="BO54" s="7">
        <v>5.2611689999999998</v>
      </c>
      <c r="BP54" s="7">
        <v>1</v>
      </c>
      <c r="BQ54" s="7">
        <v>0.44890160000000001</v>
      </c>
      <c r="BR54" s="7">
        <v>0.15728120000000001</v>
      </c>
      <c r="BS54" s="7">
        <v>0.84271879999999999</v>
      </c>
      <c r="BT54" s="7">
        <v>0.55497370000000001</v>
      </c>
      <c r="BU54" s="7">
        <v>0.69686530000000002</v>
      </c>
      <c r="BV54" s="7">
        <v>0.44306980000000001</v>
      </c>
      <c r="BW54" s="7">
        <v>3.352249</v>
      </c>
      <c r="BX54" s="7">
        <v>6.1831440000000004</v>
      </c>
      <c r="BY54" s="7">
        <v>1.844476</v>
      </c>
      <c r="BZ54" s="7">
        <v>0</v>
      </c>
      <c r="CA54" s="7">
        <v>0.51229499999999994</v>
      </c>
      <c r="CB54" s="7">
        <v>0.487705</v>
      </c>
      <c r="CC54" s="7">
        <v>0.1562489</v>
      </c>
      <c r="CD54" s="7">
        <v>0.84375109999999998</v>
      </c>
      <c r="CE54" s="7">
        <v>8.8264320000000005</v>
      </c>
      <c r="CF54" s="7">
        <v>8.8632930000000005</v>
      </c>
      <c r="CG54" s="7">
        <v>3.3787470000000002</v>
      </c>
      <c r="CH54" s="7">
        <v>6.1033869999999997</v>
      </c>
      <c r="CI54" s="7">
        <v>1.6959960000000001</v>
      </c>
      <c r="CJ54" s="7">
        <v>1.447344</v>
      </c>
      <c r="CK54" s="7">
        <v>0.8533887</v>
      </c>
      <c r="CL54" s="7">
        <v>1.21397</v>
      </c>
      <c r="CM54" s="7">
        <v>0.56350199999999995</v>
      </c>
      <c r="CN54" s="7">
        <v>0.60514999999999997</v>
      </c>
      <c r="CO54" s="7">
        <v>0.53786230000000002</v>
      </c>
      <c r="CP54" s="7">
        <v>9.0594999999999998E-3</v>
      </c>
      <c r="CQ54" s="7">
        <v>2.87554E-2</v>
      </c>
      <c r="CR54" s="7">
        <v>2.8609E-3</v>
      </c>
      <c r="CS54" s="7">
        <v>1.40133</v>
      </c>
      <c r="CT54" s="7">
        <v>1.6591448720685078</v>
      </c>
      <c r="CU54" s="7">
        <v>1.2724927142725269</v>
      </c>
      <c r="CV54" s="7">
        <v>1.0630170000000001</v>
      </c>
      <c r="CW54" s="7">
        <v>1.5943830000000001</v>
      </c>
      <c r="CX54" s="7">
        <v>1.366233</v>
      </c>
      <c r="CY54" s="7">
        <v>1.7083186712916045</v>
      </c>
      <c r="CZ54" s="6"/>
      <c r="DA54" s="7"/>
      <c r="DB54" s="7"/>
      <c r="DC54" s="7"/>
      <c r="DD54" s="7"/>
      <c r="DE54" s="7"/>
      <c r="DF54" s="7"/>
      <c r="DI54" s="33"/>
      <c r="DJ54" s="11"/>
    </row>
    <row r="55" spans="1:114" customFormat="1" x14ac:dyDescent="0.3">
      <c r="A55" s="5">
        <v>2000</v>
      </c>
      <c r="B55" s="3">
        <v>282398</v>
      </c>
      <c r="C55" s="3">
        <v>10250952</v>
      </c>
      <c r="D55" s="12">
        <v>6.4524643145704301</v>
      </c>
      <c r="E55" s="2">
        <v>6.3645275255991303</v>
      </c>
      <c r="F55" s="3">
        <v>6767179</v>
      </c>
      <c r="G55" s="3">
        <v>2038408</v>
      </c>
      <c r="H55" s="3">
        <v>1437588</v>
      </c>
      <c r="I55" s="3">
        <v>388850</v>
      </c>
      <c r="J55" s="3">
        <v>-381073</v>
      </c>
      <c r="K55" s="3">
        <f t="shared" si="4"/>
        <v>10250953.76</v>
      </c>
      <c r="L55" s="3">
        <f t="shared" si="5"/>
        <v>2400553.88</v>
      </c>
      <c r="M55" s="3">
        <f t="shared" si="6"/>
        <v>7850399.8799999999</v>
      </c>
      <c r="N55" s="10">
        <v>6.7005219459533691</v>
      </c>
      <c r="O55" s="10">
        <v>4.6246662139892578</v>
      </c>
      <c r="P55" s="10">
        <v>7.9786086082458496</v>
      </c>
      <c r="Q55" s="9">
        <v>1209483</v>
      </c>
      <c r="R55" s="9">
        <v>1191070.8799999999</v>
      </c>
      <c r="S55" s="9">
        <v>1163229.8799999999</v>
      </c>
      <c r="T55" s="9">
        <v>6687170</v>
      </c>
      <c r="U55" s="3">
        <v>6093353.5</v>
      </c>
      <c r="V55" s="3">
        <v>1480172.5</v>
      </c>
      <c r="W55" s="3">
        <v>4613181.5</v>
      </c>
      <c r="X55" s="2">
        <v>0.60233354568481445</v>
      </c>
      <c r="Y55" s="2">
        <v>6.1269140243530273</v>
      </c>
      <c r="Z55" s="2">
        <v>5.1124029159545898</v>
      </c>
      <c r="AA55" s="2">
        <v>6.6897516250610352</v>
      </c>
      <c r="AB55" s="2">
        <v>9.4075469970703125</v>
      </c>
      <c r="AC55" s="2">
        <v>7.0885787010192871</v>
      </c>
      <c r="AD55" s="2">
        <v>10.300636291503906</v>
      </c>
      <c r="AE55" s="2">
        <v>2.3958287239074707</v>
      </c>
      <c r="AF55" s="2">
        <v>1.5151858329772949</v>
      </c>
      <c r="AG55" s="2">
        <v>3.1465556621551514</v>
      </c>
      <c r="AH55" s="2">
        <v>0.61457669734954834</v>
      </c>
      <c r="AI55" s="2">
        <v>0.59848588705062866</v>
      </c>
      <c r="AJ55" s="3">
        <f t="shared" si="7"/>
        <v>7878238</v>
      </c>
      <c r="AK55" s="3">
        <v>2051597</v>
      </c>
      <c r="AL55" s="3">
        <v>5826641</v>
      </c>
      <c r="AM55" s="2">
        <v>5.7295739255163403</v>
      </c>
      <c r="AN55" s="2">
        <v>6.6667614858112403</v>
      </c>
      <c r="AO55" s="2">
        <v>4.9114044664428098</v>
      </c>
      <c r="AP55" s="2">
        <v>3.8322328374691801</v>
      </c>
      <c r="AQ55" s="2">
        <v>6.2493666729610098</v>
      </c>
      <c r="AR55" s="2">
        <v>9.5875146575990495</v>
      </c>
      <c r="AS55" s="3">
        <v>2372714</v>
      </c>
      <c r="AT55" s="10">
        <v>10.045935412026701</v>
      </c>
      <c r="AU55" s="10">
        <v>5.4462256492026899</v>
      </c>
      <c r="AV55" s="6"/>
      <c r="AW55" s="7">
        <f t="shared" si="8"/>
        <v>0.5097468851772744</v>
      </c>
      <c r="AX55" s="7">
        <f t="shared" si="9"/>
        <v>0.4902531148227256</v>
      </c>
      <c r="AY55" s="7">
        <f t="shared" si="10"/>
        <v>0.15118487720065751</v>
      </c>
      <c r="AZ55" s="7">
        <f t="shared" si="11"/>
        <v>0.84881512279934246</v>
      </c>
      <c r="BA55" s="7">
        <v>27.089179999999999</v>
      </c>
      <c r="BB55" s="7">
        <v>0.51539000000000001</v>
      </c>
      <c r="BC55" s="7">
        <v>0.48460999999999999</v>
      </c>
      <c r="BD55" s="7">
        <v>0.64724230000000005</v>
      </c>
      <c r="BE55" s="7">
        <v>0</v>
      </c>
      <c r="BF55" s="7">
        <v>6.5606879999999999</v>
      </c>
      <c r="BG55" s="7">
        <v>6.560689</v>
      </c>
      <c r="BH55" s="7">
        <v>1</v>
      </c>
      <c r="BI55" s="7">
        <v>0.83056479999999999</v>
      </c>
      <c r="BJ55" s="7">
        <v>0.19231380000000001</v>
      </c>
      <c r="BK55" s="7">
        <v>0.80768620000000002</v>
      </c>
      <c r="BL55" s="7">
        <v>0.29117480000000001</v>
      </c>
      <c r="BM55" s="7">
        <v>3.9300000000000004E-15</v>
      </c>
      <c r="BN55" s="7">
        <v>5.4417309999999999</v>
      </c>
      <c r="BO55" s="7">
        <v>5.4417309999999999</v>
      </c>
      <c r="BP55" s="7">
        <v>1</v>
      </c>
      <c r="BQ55" s="7">
        <v>0.44890160000000001</v>
      </c>
      <c r="BR55" s="7">
        <v>0.15374599999999999</v>
      </c>
      <c r="BS55" s="7">
        <v>0.84625399999999995</v>
      </c>
      <c r="BT55" s="7">
        <v>0.55497370000000001</v>
      </c>
      <c r="BU55" s="7">
        <v>0.69686530000000002</v>
      </c>
      <c r="BV55" s="7">
        <v>0.44306980000000001</v>
      </c>
      <c r="BW55" s="7">
        <v>3.4363929999999998</v>
      </c>
      <c r="BX55" s="7">
        <v>6.400957</v>
      </c>
      <c r="BY55" s="7">
        <v>1.8626959999999999</v>
      </c>
      <c r="BZ55" s="7">
        <v>0</v>
      </c>
      <c r="CA55" s="7">
        <v>0.51032420000000001</v>
      </c>
      <c r="CB55" s="7">
        <v>0.48967579999999999</v>
      </c>
      <c r="CC55" s="7">
        <v>0.15238119999999999</v>
      </c>
      <c r="CD55" s="7">
        <v>0.84761880000000001</v>
      </c>
      <c r="CE55" s="7">
        <v>9.4475479999999994</v>
      </c>
      <c r="CF55" s="7">
        <v>9.3064</v>
      </c>
      <c r="CG55" s="7">
        <v>3.4751159999999999</v>
      </c>
      <c r="CH55" s="7">
        <v>6.3139789999999998</v>
      </c>
      <c r="CI55" s="7">
        <v>1.7252289999999999</v>
      </c>
      <c r="CJ55" s="7">
        <v>1.465015</v>
      </c>
      <c r="CK55" s="7">
        <v>0.84917100000000001</v>
      </c>
      <c r="CL55" s="7">
        <v>1.2241359999999999</v>
      </c>
      <c r="CM55" s="7">
        <v>0.56350199999999995</v>
      </c>
      <c r="CN55" s="7">
        <v>0.60514999999999997</v>
      </c>
      <c r="CO55" s="7">
        <v>0.53786230000000002</v>
      </c>
      <c r="CP55" s="7">
        <v>4.5055E-3</v>
      </c>
      <c r="CQ55" s="7">
        <v>3.5338799999999997E-2</v>
      </c>
      <c r="CR55" s="7">
        <v>-5.104E-3</v>
      </c>
      <c r="CS55" s="7">
        <v>1.4076580000000001</v>
      </c>
      <c r="CT55" s="7">
        <v>1.7187993679832165</v>
      </c>
      <c r="CU55" s="7">
        <v>1.2659825494811239</v>
      </c>
      <c r="CV55" s="7">
        <v>1.0666530000000001</v>
      </c>
      <c r="CW55" s="7">
        <v>1.6294420000000001</v>
      </c>
      <c r="CX55" s="7">
        <v>1.372306</v>
      </c>
      <c r="CY55" s="7">
        <v>1.7285746554404666</v>
      </c>
      <c r="CZ55" s="6"/>
      <c r="DA55" s="7"/>
      <c r="DB55" s="7"/>
      <c r="DC55" s="7"/>
      <c r="DD55" s="7"/>
      <c r="DE55" s="7"/>
      <c r="DF55" s="7"/>
      <c r="DI55" s="33"/>
      <c r="DJ55" s="11"/>
    </row>
    <row r="56" spans="1:114" customFormat="1" x14ac:dyDescent="0.3">
      <c r="A56" s="5">
        <v>2001</v>
      </c>
      <c r="B56" s="3">
        <v>285225</v>
      </c>
      <c r="C56" s="3">
        <v>10581929</v>
      </c>
      <c r="D56" s="12">
        <v>6.5141395098303301</v>
      </c>
      <c r="E56" s="2">
        <v>6.5078175444415196</v>
      </c>
      <c r="F56" s="3">
        <v>7073801</v>
      </c>
      <c r="G56" s="3">
        <v>1934842</v>
      </c>
      <c r="H56" s="3">
        <v>1538151</v>
      </c>
      <c r="I56" s="3">
        <v>411883</v>
      </c>
      <c r="J56" s="3">
        <v>-376747</v>
      </c>
      <c r="K56" s="3">
        <f t="shared" si="4"/>
        <v>10581947</v>
      </c>
      <c r="L56" s="3">
        <f t="shared" si="5"/>
        <v>2365877.88</v>
      </c>
      <c r="M56" s="3">
        <f t="shared" si="6"/>
        <v>8216069.1200000001</v>
      </c>
      <c r="N56" s="10">
        <v>6.8692564964294434</v>
      </c>
      <c r="O56" s="10">
        <v>4.7482309341430664</v>
      </c>
      <c r="P56" s="10">
        <v>8.17578125</v>
      </c>
      <c r="Q56" s="9">
        <v>1181984.8799999999</v>
      </c>
      <c r="R56" s="9">
        <v>1183893</v>
      </c>
      <c r="S56" s="9">
        <v>1203026.1200000001</v>
      </c>
      <c r="T56" s="9">
        <v>7013043</v>
      </c>
      <c r="U56" s="3">
        <v>6282005.5</v>
      </c>
      <c r="V56" s="3">
        <v>1428762.5</v>
      </c>
      <c r="W56" s="3">
        <v>4853243</v>
      </c>
      <c r="X56" s="2">
        <v>0.60718041658401489</v>
      </c>
      <c r="Y56" s="2">
        <v>6.1772627830505371</v>
      </c>
      <c r="Z56" s="2">
        <v>4.9205679893493652</v>
      </c>
      <c r="AA56" s="2">
        <v>6.8407597541809082</v>
      </c>
      <c r="AB56" s="2">
        <v>9.8063392639160156</v>
      </c>
      <c r="AC56" s="2">
        <v>7.229860782623291</v>
      </c>
      <c r="AD56" s="2">
        <v>10.807653427124023</v>
      </c>
      <c r="AE56" s="2">
        <v>2.3863615989685059</v>
      </c>
      <c r="AF56" s="2">
        <v>1.4681128263473511</v>
      </c>
      <c r="AG56" s="2">
        <v>3.160834789276123</v>
      </c>
      <c r="AH56" s="2">
        <v>0.61160194873809814</v>
      </c>
      <c r="AI56" s="2">
        <v>0.60577666759490967</v>
      </c>
      <c r="AJ56" s="3">
        <f t="shared" si="7"/>
        <v>8196921</v>
      </c>
      <c r="AK56" s="3">
        <v>2050689</v>
      </c>
      <c r="AL56" s="3">
        <v>6146232</v>
      </c>
      <c r="AM56" s="2">
        <v>5.8079289549560098</v>
      </c>
      <c r="AN56" s="2">
        <v>6.8428583450324396</v>
      </c>
      <c r="AO56" s="2">
        <v>5.0670473131402503</v>
      </c>
      <c r="AP56" s="2">
        <v>3.7128754063976701</v>
      </c>
      <c r="AQ56" s="2">
        <v>6.3892758325500303</v>
      </c>
      <c r="AR56" s="2">
        <v>9.8919314786116193</v>
      </c>
      <c r="AS56" s="3">
        <v>2385009</v>
      </c>
      <c r="AT56" s="10">
        <v>10.0034799554565</v>
      </c>
      <c r="AU56" s="10">
        <v>5.4976809929621799</v>
      </c>
      <c r="AV56" s="6"/>
      <c r="AW56" s="7">
        <f t="shared" si="8"/>
        <v>0.49558885891930893</v>
      </c>
      <c r="AX56" s="7">
        <f t="shared" si="9"/>
        <v>0.50441114108069107</v>
      </c>
      <c r="AY56" s="7">
        <f t="shared" si="10"/>
        <v>0.14443116305897716</v>
      </c>
      <c r="AZ56" s="7">
        <f t="shared" si="11"/>
        <v>0.85556883694102281</v>
      </c>
      <c r="BA56" s="7">
        <v>27.958500000000001</v>
      </c>
      <c r="BB56" s="7">
        <v>0.51587839999999996</v>
      </c>
      <c r="BC56" s="7">
        <v>0.48412159999999999</v>
      </c>
      <c r="BD56" s="7">
        <v>0.64724230000000005</v>
      </c>
      <c r="BE56" s="7">
        <v>0</v>
      </c>
      <c r="BF56" s="7">
        <v>6.6673530000000003</v>
      </c>
      <c r="BG56" s="7">
        <v>6.6673539999999996</v>
      </c>
      <c r="BH56" s="7">
        <v>1</v>
      </c>
      <c r="BI56" s="7">
        <v>0.83056479999999999</v>
      </c>
      <c r="BJ56" s="7">
        <v>0.19261780000000001</v>
      </c>
      <c r="BK56" s="7">
        <v>0.80738220000000005</v>
      </c>
      <c r="BL56" s="7">
        <v>0.29117480000000001</v>
      </c>
      <c r="BM56" s="7">
        <v>3.9300000000000004E-15</v>
      </c>
      <c r="BN56" s="7">
        <v>5.5336999999999996</v>
      </c>
      <c r="BO56" s="7">
        <v>5.5336999999999996</v>
      </c>
      <c r="BP56" s="7">
        <v>1</v>
      </c>
      <c r="BQ56" s="7">
        <v>0.44890160000000001</v>
      </c>
      <c r="BR56" s="7">
        <v>0.1533438</v>
      </c>
      <c r="BS56" s="7">
        <v>0.84665619999999997</v>
      </c>
      <c r="BT56" s="7">
        <v>0.55497370000000001</v>
      </c>
      <c r="BU56" s="7">
        <v>0.69686530000000002</v>
      </c>
      <c r="BV56" s="7">
        <v>0.44306980000000001</v>
      </c>
      <c r="BW56" s="7">
        <v>3.4798300000000002</v>
      </c>
      <c r="BX56" s="7">
        <v>6.5146819999999996</v>
      </c>
      <c r="BY56" s="7">
        <v>1.8721270000000001</v>
      </c>
      <c r="BZ56" s="7">
        <v>0</v>
      </c>
      <c r="CA56" s="7">
        <v>0.50367870000000003</v>
      </c>
      <c r="CB56" s="7">
        <v>0.49632130000000002</v>
      </c>
      <c r="CC56" s="7">
        <v>0.14746880000000001</v>
      </c>
      <c r="CD56" s="7">
        <v>0.85253120000000004</v>
      </c>
      <c r="CE56" s="7">
        <v>8.9989629999999998</v>
      </c>
      <c r="CF56" s="7">
        <v>9.38687</v>
      </c>
      <c r="CG56" s="7">
        <v>3.3676759999999999</v>
      </c>
      <c r="CH56" s="7">
        <v>6.4750649999999998</v>
      </c>
      <c r="CI56" s="7">
        <v>1.7218580000000001</v>
      </c>
      <c r="CJ56" s="7">
        <v>1.487168</v>
      </c>
      <c r="CK56" s="7">
        <v>0.86369929999999995</v>
      </c>
      <c r="CL56" s="7">
        <v>1.2447410000000001</v>
      </c>
      <c r="CM56" s="7">
        <v>0.56350199999999995</v>
      </c>
      <c r="CN56" s="7">
        <v>0.60514999999999997</v>
      </c>
      <c r="CO56" s="7">
        <v>0.53786230000000002</v>
      </c>
      <c r="CP56" s="7">
        <v>-7.7069E-3</v>
      </c>
      <c r="CQ56" s="7">
        <v>-2.9075500000000001E-2</v>
      </c>
      <c r="CR56" s="7">
        <v>-1.2026000000000001E-3</v>
      </c>
      <c r="CS56" s="7">
        <v>1.3968510000000001</v>
      </c>
      <c r="CT56" s="7">
        <v>1.6694877314800012</v>
      </c>
      <c r="CU56" s="7">
        <v>1.264424919847527</v>
      </c>
      <c r="CV56" s="7">
        <v>1.0838490000000001</v>
      </c>
      <c r="CW56" s="7">
        <v>1.6272899999999999</v>
      </c>
      <c r="CX56" s="7">
        <v>1.361718</v>
      </c>
      <c r="CY56" s="7">
        <v>1.7397676545511394</v>
      </c>
      <c r="CZ56" s="6"/>
      <c r="DA56" s="7"/>
      <c r="DB56" s="7"/>
      <c r="DC56" s="7"/>
      <c r="DD56" s="7"/>
      <c r="DE56" s="7"/>
      <c r="DF56" s="7"/>
      <c r="DI56" s="33"/>
      <c r="DJ56" s="11"/>
    </row>
    <row r="57" spans="1:114" customFormat="1" x14ac:dyDescent="0.3">
      <c r="A57" s="5">
        <v>2002</v>
      </c>
      <c r="B57" s="3">
        <v>287955</v>
      </c>
      <c r="C57" s="3">
        <v>10929108</v>
      </c>
      <c r="D57" s="12">
        <v>6.6249214471676101</v>
      </c>
      <c r="E57" s="2">
        <v>6.6089362851148996</v>
      </c>
      <c r="F57" s="3">
        <v>7348941</v>
      </c>
      <c r="G57" s="3">
        <v>1930417</v>
      </c>
      <c r="H57" s="3">
        <v>1645819</v>
      </c>
      <c r="I57" s="3">
        <v>443676</v>
      </c>
      <c r="J57" s="3">
        <v>-439745</v>
      </c>
      <c r="K57" s="3">
        <f t="shared" si="4"/>
        <v>10929099</v>
      </c>
      <c r="L57" s="3">
        <f t="shared" si="5"/>
        <v>2348490</v>
      </c>
      <c r="M57" s="3">
        <f t="shared" si="6"/>
        <v>8580609</v>
      </c>
      <c r="N57" s="10">
        <v>6.9550905227661133</v>
      </c>
      <c r="O57" s="10">
        <v>4.6597409248352051</v>
      </c>
      <c r="P57" s="10">
        <v>8.3525514602661133</v>
      </c>
      <c r="Q57" s="9">
        <v>1151161.5</v>
      </c>
      <c r="R57" s="9">
        <v>1197328.5</v>
      </c>
      <c r="S57" s="9">
        <v>1202957.5</v>
      </c>
      <c r="T57" s="9">
        <v>7377651.5</v>
      </c>
      <c r="U57" s="3">
        <v>6338332</v>
      </c>
      <c r="V57" s="3">
        <v>1394944.125</v>
      </c>
      <c r="W57" s="3">
        <v>4943388</v>
      </c>
      <c r="X57" s="2">
        <v>0.59937584400177002</v>
      </c>
      <c r="Y57" s="2">
        <v>6.3017654418945313</v>
      </c>
      <c r="Z57" s="2">
        <v>4.9539484977722168</v>
      </c>
      <c r="AA57" s="2">
        <v>7.0051445960998535</v>
      </c>
      <c r="AB57" s="2">
        <v>10.08292293548584</v>
      </c>
      <c r="AC57" s="2">
        <v>7.331575870513916</v>
      </c>
      <c r="AD57" s="2">
        <v>11.156585693359375</v>
      </c>
      <c r="AE57" s="2">
        <v>2.3727443218231201</v>
      </c>
      <c r="AF57" s="2">
        <v>1.4039397239685059</v>
      </c>
      <c r="AG57" s="2">
        <v>3.1783039569854736</v>
      </c>
      <c r="AH57" s="2">
        <v>0.6008484959602356</v>
      </c>
      <c r="AI57" s="2">
        <v>0.59898090362548828</v>
      </c>
      <c r="AJ57" s="3">
        <f t="shared" si="7"/>
        <v>8574990</v>
      </c>
      <c r="AK57" s="3">
        <v>2126510</v>
      </c>
      <c r="AL57" s="3">
        <v>6448480</v>
      </c>
      <c r="AM57" s="2">
        <v>5.9636878182947202</v>
      </c>
      <c r="AN57" s="2">
        <v>6.9715094232518</v>
      </c>
      <c r="AO57" s="2">
        <v>5.1375630589329297</v>
      </c>
      <c r="AP57" s="2">
        <v>3.7973077643316402</v>
      </c>
      <c r="AQ57" s="2">
        <v>6.5339044530930002</v>
      </c>
      <c r="AR57" s="2">
        <v>10.1486521074303</v>
      </c>
      <c r="AS57" s="3">
        <v>2354119</v>
      </c>
      <c r="AT57" s="10">
        <v>9.8337973273941994</v>
      </c>
      <c r="AU57" s="10">
        <v>5.5201105992094304</v>
      </c>
      <c r="AV57" s="6"/>
      <c r="AW57" s="7">
        <f t="shared" si="8"/>
        <v>0.48899885689720868</v>
      </c>
      <c r="AX57" s="7">
        <f t="shared" si="9"/>
        <v>0.51100114310279132</v>
      </c>
      <c r="AY57" s="7">
        <f t="shared" si="10"/>
        <v>0.13963047144133281</v>
      </c>
      <c r="AZ57" s="7">
        <f t="shared" si="11"/>
        <v>0.86036952855866722</v>
      </c>
      <c r="BA57" s="7">
        <v>28.984400000000001</v>
      </c>
      <c r="BB57" s="7">
        <v>0.50583270000000002</v>
      </c>
      <c r="BC57" s="7">
        <v>0.49416729999999998</v>
      </c>
      <c r="BD57" s="7">
        <v>0.64724230000000005</v>
      </c>
      <c r="BE57" s="7">
        <v>0</v>
      </c>
      <c r="BF57" s="7">
        <v>6.9722119999999999</v>
      </c>
      <c r="BG57" s="7">
        <v>6.972213</v>
      </c>
      <c r="BH57" s="7">
        <v>1</v>
      </c>
      <c r="BI57" s="7">
        <v>0.83056479999999999</v>
      </c>
      <c r="BJ57" s="7">
        <v>0.18644269999999999</v>
      </c>
      <c r="BK57" s="7">
        <v>0.81355730000000004</v>
      </c>
      <c r="BL57" s="7">
        <v>0.29117480000000001</v>
      </c>
      <c r="BM57" s="7">
        <v>3.9300000000000004E-15</v>
      </c>
      <c r="BN57" s="7">
        <v>5.7124459999999999</v>
      </c>
      <c r="BO57" s="7">
        <v>5.7124470000000001</v>
      </c>
      <c r="BP57" s="7">
        <v>1</v>
      </c>
      <c r="BQ57" s="7">
        <v>0.44890160000000001</v>
      </c>
      <c r="BR57" s="7">
        <v>0.14790030000000001</v>
      </c>
      <c r="BS57" s="7">
        <v>0.85209970000000002</v>
      </c>
      <c r="BT57" s="7">
        <v>0.55497370000000001</v>
      </c>
      <c r="BU57" s="7">
        <v>0.69686530000000002</v>
      </c>
      <c r="BV57" s="7">
        <v>0.44306980000000001</v>
      </c>
      <c r="BW57" s="7">
        <v>3.5794670000000002</v>
      </c>
      <c r="BX57" s="7">
        <v>6.7169809999999996</v>
      </c>
      <c r="BY57" s="7">
        <v>1.8765309999999999</v>
      </c>
      <c r="BZ57" s="7">
        <v>0</v>
      </c>
      <c r="CA57" s="7">
        <v>0.49300240000000001</v>
      </c>
      <c r="CB57" s="7">
        <v>0.50699749999999999</v>
      </c>
      <c r="CC57" s="7">
        <v>0.1416946</v>
      </c>
      <c r="CD57" s="7">
        <v>0.85830550000000005</v>
      </c>
      <c r="CE57" s="7">
        <v>8.913907</v>
      </c>
      <c r="CF57" s="7">
        <v>9.2048989999999993</v>
      </c>
      <c r="CG57" s="7">
        <v>3.4749029999999999</v>
      </c>
      <c r="CH57" s="7">
        <v>6.669753</v>
      </c>
      <c r="CI57" s="7">
        <v>1.7924929999999999</v>
      </c>
      <c r="CJ57" s="7">
        <v>1.5131600000000001</v>
      </c>
      <c r="CK57" s="7">
        <v>0.84416539999999995</v>
      </c>
      <c r="CL57" s="7">
        <v>1.2630760000000001</v>
      </c>
      <c r="CM57" s="7">
        <v>0.56350199999999995</v>
      </c>
      <c r="CN57" s="7">
        <v>0.60514999999999997</v>
      </c>
      <c r="CO57" s="7">
        <v>0.53786230000000002</v>
      </c>
      <c r="CP57" s="7">
        <v>1.10385E-2</v>
      </c>
      <c r="CQ57" s="7">
        <v>2.5848699999999999E-2</v>
      </c>
      <c r="CR57" s="7">
        <v>6.7702999999999999E-3</v>
      </c>
      <c r="CS57" s="7">
        <v>1.4123559999999999</v>
      </c>
      <c r="CT57" s="7">
        <v>1.7131385201246963</v>
      </c>
      <c r="CU57" s="7">
        <v>1.2729926197229378</v>
      </c>
      <c r="CV57" s="7">
        <v>1.0811500000000001</v>
      </c>
      <c r="CW57" s="7">
        <v>1.6524220000000001</v>
      </c>
      <c r="CX57" s="7">
        <v>1.377143</v>
      </c>
      <c r="CY57" s="7">
        <v>1.7736177072199617</v>
      </c>
      <c r="CZ57" s="6"/>
      <c r="DA57" s="7"/>
      <c r="DB57" s="7"/>
      <c r="DC57" s="7"/>
      <c r="DD57" s="7"/>
      <c r="DE57" s="7"/>
      <c r="DF57" s="7"/>
      <c r="DI57" s="33"/>
      <c r="DJ57" s="11"/>
    </row>
    <row r="58" spans="1:114" customFormat="1" x14ac:dyDescent="0.3">
      <c r="A58" s="5">
        <v>2003</v>
      </c>
      <c r="B58" s="3">
        <v>290626</v>
      </c>
      <c r="C58" s="3">
        <v>11456450</v>
      </c>
      <c r="D58" s="12">
        <v>6.81012658227848</v>
      </c>
      <c r="E58" s="2">
        <v>6.73941903388139</v>
      </c>
      <c r="F58" s="3">
        <v>7740749</v>
      </c>
      <c r="G58" s="3">
        <v>2027056</v>
      </c>
      <c r="H58" s="3">
        <v>1746378</v>
      </c>
      <c r="I58" s="3">
        <v>464221</v>
      </c>
      <c r="J58" s="3">
        <v>-521955</v>
      </c>
      <c r="K58" s="3">
        <f t="shared" si="4"/>
        <v>11456471.379999999</v>
      </c>
      <c r="L58" s="3">
        <f t="shared" si="5"/>
        <v>2487408.13</v>
      </c>
      <c r="M58" s="3">
        <f t="shared" si="6"/>
        <v>8969063.25</v>
      </c>
      <c r="N58" s="10">
        <v>7.0987176895141602</v>
      </c>
      <c r="O58" s="10">
        <v>4.8006815910339355</v>
      </c>
      <c r="P58" s="10">
        <v>8.5026121139526367</v>
      </c>
      <c r="Q58" s="9">
        <v>1216191.3799999999</v>
      </c>
      <c r="R58" s="9">
        <v>1271216.75</v>
      </c>
      <c r="S58" s="9">
        <v>1260988.75</v>
      </c>
      <c r="T58" s="9">
        <v>7708074.5</v>
      </c>
      <c r="U58" s="3">
        <v>6580236.5</v>
      </c>
      <c r="V58" s="3">
        <v>1440760.25</v>
      </c>
      <c r="W58" s="3">
        <v>5139476</v>
      </c>
      <c r="X58" s="2">
        <v>0.58939480781555176</v>
      </c>
      <c r="Y58" s="2">
        <v>6.4744992256164551</v>
      </c>
      <c r="Z58" s="2">
        <v>5.1064586639404297</v>
      </c>
      <c r="AA58" s="2">
        <v>7.1905169486999512</v>
      </c>
      <c r="AB58" s="2">
        <v>10.365086555480957</v>
      </c>
      <c r="AC58" s="2">
        <v>7.382317066192627</v>
      </c>
      <c r="AD58" s="2">
        <v>11.535887718200684</v>
      </c>
      <c r="AE58" s="2">
        <v>2.3683497905731201</v>
      </c>
      <c r="AF58" s="2">
        <v>1.3568639755249023</v>
      </c>
      <c r="AG58" s="2">
        <v>3.2013266086578369</v>
      </c>
      <c r="AH58" s="2">
        <v>0.58908402919769287</v>
      </c>
      <c r="AI58" s="2">
        <v>0.58949416875839233</v>
      </c>
      <c r="AJ58" s="3">
        <f t="shared" si="7"/>
        <v>8979266</v>
      </c>
      <c r="AK58" s="3">
        <v>2171530</v>
      </c>
      <c r="AL58" s="3">
        <v>6807736</v>
      </c>
      <c r="AM58" s="2">
        <v>6.1069650858365199</v>
      </c>
      <c r="AN58" s="2">
        <v>7.1289176328933399</v>
      </c>
      <c r="AO58" s="2">
        <v>5.3186619579099403</v>
      </c>
      <c r="AP58" s="2">
        <v>3.7456653939793298</v>
      </c>
      <c r="AQ58" s="2">
        <v>6.6697229533172697</v>
      </c>
      <c r="AR58" s="2">
        <v>10.495876178022099</v>
      </c>
      <c r="AS58" s="3">
        <v>2477183</v>
      </c>
      <c r="AT58" s="10">
        <v>10.250417594654699</v>
      </c>
      <c r="AU58" s="10">
        <v>5.5725907838044</v>
      </c>
      <c r="AV58" s="6"/>
      <c r="AW58" s="7">
        <f t="shared" si="8"/>
        <v>0.49095799101214327</v>
      </c>
      <c r="AX58" s="7">
        <f t="shared" si="9"/>
        <v>0.50904200898785668</v>
      </c>
      <c r="AY58" s="7">
        <f t="shared" si="10"/>
        <v>0.14157205893059766</v>
      </c>
      <c r="AZ58" s="7">
        <f t="shared" si="11"/>
        <v>0.85842794106940234</v>
      </c>
      <c r="BA58" s="7">
        <v>30.08494</v>
      </c>
      <c r="BB58" s="7">
        <v>0.50883</v>
      </c>
      <c r="BC58" s="7">
        <v>0.49117</v>
      </c>
      <c r="BD58" s="7">
        <v>0.64724230000000005</v>
      </c>
      <c r="BE58" s="7">
        <v>0</v>
      </c>
      <c r="BF58" s="7">
        <v>7.1316470000000001</v>
      </c>
      <c r="BG58" s="7">
        <v>7.1316470000000001</v>
      </c>
      <c r="BH58" s="7">
        <v>1</v>
      </c>
      <c r="BI58" s="7">
        <v>0.83056479999999999</v>
      </c>
      <c r="BJ58" s="7">
        <v>0.18826850000000001</v>
      </c>
      <c r="BK58" s="7">
        <v>0.81173150000000005</v>
      </c>
      <c r="BL58" s="7">
        <v>0.29117480000000001</v>
      </c>
      <c r="BM58" s="7">
        <v>3.9300000000000004E-15</v>
      </c>
      <c r="BN58" s="7">
        <v>5.8655369999999998</v>
      </c>
      <c r="BO58" s="7">
        <v>5.8655369999999998</v>
      </c>
      <c r="BP58" s="7">
        <v>1</v>
      </c>
      <c r="BQ58" s="7">
        <v>0.44890160000000001</v>
      </c>
      <c r="BR58" s="7">
        <v>0.14753939999999999</v>
      </c>
      <c r="BS58" s="7">
        <v>0.85246060000000001</v>
      </c>
      <c r="BT58" s="7">
        <v>0.55497370000000001</v>
      </c>
      <c r="BU58" s="7">
        <v>0.69686530000000002</v>
      </c>
      <c r="BV58" s="7">
        <v>0.44306980000000001</v>
      </c>
      <c r="BW58" s="7">
        <v>3.6308699999999998</v>
      </c>
      <c r="BX58" s="7">
        <v>6.9154340000000003</v>
      </c>
      <c r="BY58" s="7">
        <v>1.904622</v>
      </c>
      <c r="BZ58" s="7">
        <v>0</v>
      </c>
      <c r="CA58" s="7">
        <v>0.49017630000000001</v>
      </c>
      <c r="CB58" s="7">
        <v>0.50982369999999999</v>
      </c>
      <c r="CC58" s="7">
        <v>0.14037289999999999</v>
      </c>
      <c r="CD58" s="7">
        <v>0.85962709999999998</v>
      </c>
      <c r="CE58" s="7">
        <v>9.1394400000000005</v>
      </c>
      <c r="CF58" s="7">
        <v>9.4801819999999992</v>
      </c>
      <c r="CG58" s="7">
        <v>3.5850659999999999</v>
      </c>
      <c r="CH58" s="7">
        <v>6.8476600000000003</v>
      </c>
      <c r="CI58" s="7">
        <v>1.771126</v>
      </c>
      <c r="CJ58" s="7">
        <v>1.5258339999999999</v>
      </c>
      <c r="CK58" s="7">
        <v>0.86150519999999997</v>
      </c>
      <c r="CL58" s="7">
        <v>1.2794239999999999</v>
      </c>
      <c r="CM58" s="7">
        <v>0.56350199999999995</v>
      </c>
      <c r="CN58" s="7">
        <v>0.60514999999999997</v>
      </c>
      <c r="CO58" s="7">
        <v>0.53786230000000002</v>
      </c>
      <c r="CP58" s="7">
        <v>1.6038799999999999E-2</v>
      </c>
      <c r="CQ58" s="7">
        <v>4.6529599999999997E-2</v>
      </c>
      <c r="CR58" s="7">
        <v>7.4577000000000003E-3</v>
      </c>
      <c r="CS58" s="7">
        <v>1.4351910000000001</v>
      </c>
      <c r="CT58" s="7">
        <v>1.7946854356355924</v>
      </c>
      <c r="CU58" s="7">
        <v>1.2824996986868225</v>
      </c>
      <c r="CV58" s="7">
        <v>1.096633</v>
      </c>
      <c r="CW58" s="7">
        <v>1.726799</v>
      </c>
      <c r="CX58" s="7">
        <v>1.3999950000000001</v>
      </c>
      <c r="CY58" s="7">
        <v>1.8215049782454418</v>
      </c>
      <c r="CZ58" s="6"/>
      <c r="DA58" s="7"/>
      <c r="DB58" s="7"/>
      <c r="DC58" s="7"/>
      <c r="DD58" s="7"/>
      <c r="DE58" s="7"/>
      <c r="DF58" s="7"/>
      <c r="DI58" s="33"/>
      <c r="DJ58" s="11"/>
    </row>
    <row r="59" spans="1:114" customFormat="1" x14ac:dyDescent="0.3">
      <c r="A59" s="5">
        <v>2004</v>
      </c>
      <c r="B59" s="3">
        <v>293262</v>
      </c>
      <c r="C59" s="3">
        <v>12217196</v>
      </c>
      <c r="D59" s="12">
        <v>7.0721788311338498</v>
      </c>
      <c r="E59" s="2">
        <v>6.9206340922901397</v>
      </c>
      <c r="F59" s="3">
        <v>8231960</v>
      </c>
      <c r="G59" s="3">
        <v>2281253</v>
      </c>
      <c r="H59" s="3">
        <v>1851920</v>
      </c>
      <c r="I59" s="3">
        <v>486204</v>
      </c>
      <c r="J59" s="3">
        <v>-634141</v>
      </c>
      <c r="K59" s="3">
        <f t="shared" si="4"/>
        <v>12217199</v>
      </c>
      <c r="L59" s="3">
        <f t="shared" si="5"/>
        <v>2702457</v>
      </c>
      <c r="M59" s="3">
        <f t="shared" si="6"/>
        <v>9514742</v>
      </c>
      <c r="N59" s="10">
        <v>7.3051166534423828</v>
      </c>
      <c r="O59" s="10">
        <v>4.9487428665161133</v>
      </c>
      <c r="P59" s="10">
        <v>8.7455205917358398</v>
      </c>
      <c r="Q59" s="9">
        <v>1344135.12</v>
      </c>
      <c r="R59" s="9">
        <v>1358321.88</v>
      </c>
      <c r="S59" s="9">
        <v>1359256</v>
      </c>
      <c r="T59" s="9">
        <v>8155486</v>
      </c>
      <c r="U59" s="3">
        <v>6947251</v>
      </c>
      <c r="V59" s="3">
        <v>1512635.5</v>
      </c>
      <c r="W59" s="3">
        <v>5434615</v>
      </c>
      <c r="X59" s="2">
        <v>0.58355438709259033</v>
      </c>
      <c r="Y59" s="2">
        <v>6.7085018157958984</v>
      </c>
      <c r="Z59" s="2">
        <v>5.3833255767822266</v>
      </c>
      <c r="AA59" s="2">
        <v>7.4134716987609863</v>
      </c>
      <c r="AB59" s="2">
        <v>10.680783271789551</v>
      </c>
      <c r="AC59" s="2">
        <v>7.4532208442687988</v>
      </c>
      <c r="AD59" s="2">
        <v>11.960007667541504</v>
      </c>
      <c r="AE59" s="2">
        <v>2.3992338180541992</v>
      </c>
      <c r="AF59" s="2">
        <v>1.3787628412246704</v>
      </c>
      <c r="AG59" s="2">
        <v>3.2403068542480469</v>
      </c>
      <c r="AH59" s="2">
        <v>0.57104784250259399</v>
      </c>
      <c r="AI59" s="2">
        <v>0.58717173337936401</v>
      </c>
      <c r="AJ59" s="3">
        <f t="shared" si="7"/>
        <v>9513808</v>
      </c>
      <c r="AK59" s="3">
        <v>2280444</v>
      </c>
      <c r="AL59" s="3">
        <v>7233364</v>
      </c>
      <c r="AM59" s="2">
        <v>6.30576401686585</v>
      </c>
      <c r="AN59" s="2">
        <v>7.3151758640728701</v>
      </c>
      <c r="AO59" s="2">
        <v>5.4619896692629402</v>
      </c>
      <c r="AP59" s="2">
        <v>3.8303112931746899</v>
      </c>
      <c r="AQ59" s="2">
        <v>6.8538526577201599</v>
      </c>
      <c r="AR59" s="2">
        <v>10.8524887421092</v>
      </c>
      <c r="AS59" s="3">
        <v>2703389</v>
      </c>
      <c r="AT59" s="10">
        <v>10.864699331848501</v>
      </c>
      <c r="AU59" s="10">
        <v>5.7376156189952496</v>
      </c>
      <c r="AV59" s="6"/>
      <c r="AW59" s="7">
        <f t="shared" si="8"/>
        <v>0.49720334954714213</v>
      </c>
      <c r="AX59" s="7">
        <f t="shared" si="9"/>
        <v>0.50279665045285782</v>
      </c>
      <c r="AY59" s="7">
        <f t="shared" si="10"/>
        <v>0.14277373446393371</v>
      </c>
      <c r="AZ59" s="7">
        <f t="shared" si="11"/>
        <v>0.8572262655360664</v>
      </c>
      <c r="BA59" s="7">
        <v>31.578710000000001</v>
      </c>
      <c r="BB59" s="7">
        <v>0.50938170000000005</v>
      </c>
      <c r="BC59" s="7">
        <v>0.49061830000000001</v>
      </c>
      <c r="BD59" s="7">
        <v>0.64724230000000005</v>
      </c>
      <c r="BE59" s="7">
        <v>0</v>
      </c>
      <c r="BF59" s="7">
        <v>7.3355889999999997</v>
      </c>
      <c r="BG59" s="7">
        <v>7.3355899999999998</v>
      </c>
      <c r="BH59" s="7">
        <v>1</v>
      </c>
      <c r="BI59" s="7">
        <v>0.83056479999999999</v>
      </c>
      <c r="BJ59" s="7">
        <v>0.1886061</v>
      </c>
      <c r="BK59" s="7">
        <v>0.8113939</v>
      </c>
      <c r="BL59" s="7">
        <v>0.29117480000000001</v>
      </c>
      <c r="BM59" s="7">
        <v>3.9300000000000004E-15</v>
      </c>
      <c r="BN59" s="7">
        <v>6.0375449999999997</v>
      </c>
      <c r="BO59" s="7">
        <v>6.0375449999999997</v>
      </c>
      <c r="BP59" s="7">
        <v>1</v>
      </c>
      <c r="BQ59" s="7">
        <v>0.44890160000000001</v>
      </c>
      <c r="BR59" s="7">
        <v>0.14611189999999999</v>
      </c>
      <c r="BS59" s="7">
        <v>0.85388810000000004</v>
      </c>
      <c r="BT59" s="7">
        <v>0.55497370000000001</v>
      </c>
      <c r="BU59" s="7">
        <v>0.69686530000000002</v>
      </c>
      <c r="BV59" s="7">
        <v>0.44306980000000001</v>
      </c>
      <c r="BW59" s="7">
        <v>3.6945619999999999</v>
      </c>
      <c r="BX59" s="7">
        <v>7.1331170000000004</v>
      </c>
      <c r="BY59" s="7">
        <v>1.930707</v>
      </c>
      <c r="BZ59" s="7">
        <v>0</v>
      </c>
      <c r="CA59" s="7">
        <v>0.49419229999999997</v>
      </c>
      <c r="CB59" s="7">
        <v>0.50580769999999997</v>
      </c>
      <c r="CC59" s="7">
        <v>0.1420447</v>
      </c>
      <c r="CD59" s="7">
        <v>0.85795529999999998</v>
      </c>
      <c r="CE59" s="7">
        <v>9.7968679999999999</v>
      </c>
      <c r="CF59" s="7">
        <v>9.9368510000000008</v>
      </c>
      <c r="CG59" s="7">
        <v>3.7176459999999998</v>
      </c>
      <c r="CH59" s="7">
        <v>7.0406680000000001</v>
      </c>
      <c r="CI59" s="7">
        <v>1.7672209999999999</v>
      </c>
      <c r="CJ59" s="7">
        <v>1.5242960000000001</v>
      </c>
      <c r="CK59" s="7">
        <v>0.86253849999999999</v>
      </c>
      <c r="CL59" s="7">
        <v>1.27502</v>
      </c>
      <c r="CM59" s="7">
        <v>0.56350199999999995</v>
      </c>
      <c r="CN59" s="7">
        <v>0.60514999999999997</v>
      </c>
      <c r="CO59" s="7">
        <v>0.53786230000000002</v>
      </c>
      <c r="CP59" s="7">
        <v>1.51074E-2</v>
      </c>
      <c r="CQ59" s="7">
        <v>3.9605899999999999E-2</v>
      </c>
      <c r="CR59" s="7">
        <v>7.9559000000000001E-3</v>
      </c>
      <c r="CS59" s="7">
        <v>1.4570369999999999</v>
      </c>
      <c r="CT59" s="7">
        <v>1.8671998117343687</v>
      </c>
      <c r="CU59" s="7">
        <v>1.2927234259291263</v>
      </c>
      <c r="CV59" s="7">
        <v>1.0967229999999999</v>
      </c>
      <c r="CW59" s="7">
        <v>1.772051</v>
      </c>
      <c r="CX59" s="7">
        <v>1.4212229999999999</v>
      </c>
      <c r="CY59" s="7">
        <v>1.8484753570307095</v>
      </c>
      <c r="CZ59" s="6"/>
      <c r="DA59" s="7"/>
      <c r="DB59" s="7"/>
      <c r="DC59" s="7"/>
      <c r="DD59" s="7"/>
      <c r="DE59" s="7"/>
      <c r="DF59" s="7"/>
      <c r="DI59" s="33"/>
      <c r="DJ59" s="11"/>
    </row>
    <row r="60" spans="1:114" customFormat="1" x14ac:dyDescent="0.3">
      <c r="A60" s="5">
        <v>2005</v>
      </c>
      <c r="B60" s="3">
        <v>295993</v>
      </c>
      <c r="C60" s="3">
        <v>13039197</v>
      </c>
      <c r="D60" s="12">
        <v>7.31852051351109</v>
      </c>
      <c r="E60" s="2">
        <v>7.1376481042216904</v>
      </c>
      <c r="F60" s="3">
        <v>8769066</v>
      </c>
      <c r="G60" s="3">
        <v>2534720</v>
      </c>
      <c r="H60" s="3">
        <v>1962027</v>
      </c>
      <c r="I60" s="3">
        <v>513286</v>
      </c>
      <c r="J60" s="3">
        <v>-739903</v>
      </c>
      <c r="K60" s="3">
        <f t="shared" si="4"/>
        <v>13039207.120000001</v>
      </c>
      <c r="L60" s="3">
        <f t="shared" si="5"/>
        <v>2897595</v>
      </c>
      <c r="M60" s="3">
        <f t="shared" si="6"/>
        <v>10141612.120000001</v>
      </c>
      <c r="N60" s="10">
        <v>7.5520882606506348</v>
      </c>
      <c r="O60" s="10">
        <v>5.2669796943664551</v>
      </c>
      <c r="P60" s="10">
        <v>8.9647617340087891</v>
      </c>
      <c r="Q60" s="9">
        <v>1499106.88</v>
      </c>
      <c r="R60" s="9">
        <v>1398488.12</v>
      </c>
      <c r="S60" s="9">
        <v>1491384.12</v>
      </c>
      <c r="T60" s="9">
        <v>8650228</v>
      </c>
      <c r="U60" s="3">
        <v>7261420</v>
      </c>
      <c r="V60" s="3">
        <v>1548997.375</v>
      </c>
      <c r="W60" s="3">
        <v>5712423</v>
      </c>
      <c r="X60" s="2">
        <v>0.57479071617126465</v>
      </c>
      <c r="Y60" s="2">
        <v>6.9227242469787598</v>
      </c>
      <c r="Z60" s="2">
        <v>5.4303011894226074</v>
      </c>
      <c r="AA60" s="2">
        <v>7.7011833190917969</v>
      </c>
      <c r="AB60" s="2">
        <v>11.027340888977051</v>
      </c>
      <c r="AC60" s="2">
        <v>7.5717296600341797</v>
      </c>
      <c r="AD60" s="2">
        <v>12.411257743835449</v>
      </c>
      <c r="AE60" s="2">
        <v>2.4361965656280518</v>
      </c>
      <c r="AF60" s="2">
        <v>1.4021952152252197</v>
      </c>
      <c r="AG60" s="2">
        <v>3.2888140678405762</v>
      </c>
      <c r="AH60" s="2">
        <v>0.54824817180633545</v>
      </c>
      <c r="AI60" s="2">
        <v>0.5825493335723877</v>
      </c>
      <c r="AJ60" s="3">
        <f t="shared" si="7"/>
        <v>10048703</v>
      </c>
      <c r="AK60" s="3">
        <v>2337029</v>
      </c>
      <c r="AL60" s="3">
        <v>7711674</v>
      </c>
      <c r="AM60" s="2">
        <v>6.4789023704356801</v>
      </c>
      <c r="AN60" s="2">
        <v>7.5199813995276301</v>
      </c>
      <c r="AO60" s="2">
        <v>5.6495654486636404</v>
      </c>
      <c r="AP60" s="2">
        <v>3.7950245595795602</v>
      </c>
      <c r="AQ60" s="2">
        <v>7.0376126116328601</v>
      </c>
      <c r="AR60" s="2">
        <v>11.268006590813901</v>
      </c>
      <c r="AS60" s="3">
        <v>2990493</v>
      </c>
      <c r="AT60" s="10">
        <v>11.5231069042316</v>
      </c>
      <c r="AU60" s="10">
        <v>5.9843063670644199</v>
      </c>
      <c r="AV60" s="6"/>
      <c r="AW60" s="7">
        <f t="shared" si="8"/>
        <v>0.5012912194017638</v>
      </c>
      <c r="AX60" s="7">
        <f t="shared" si="9"/>
        <v>0.49870878059823626</v>
      </c>
      <c r="AY60" s="7">
        <f t="shared" si="10"/>
        <v>0.13917082573529801</v>
      </c>
      <c r="AZ60" s="7">
        <f t="shared" si="11"/>
        <v>0.86082917426470185</v>
      </c>
      <c r="BA60" s="7">
        <v>33.01831</v>
      </c>
      <c r="BB60" s="7">
        <v>0.51876489999999997</v>
      </c>
      <c r="BC60" s="7">
        <v>0.48123510000000003</v>
      </c>
      <c r="BD60" s="7">
        <v>0.64724230000000005</v>
      </c>
      <c r="BE60" s="7">
        <v>0</v>
      </c>
      <c r="BF60" s="7">
        <v>7.4076690000000003</v>
      </c>
      <c r="BG60" s="7">
        <v>7.4076700000000004</v>
      </c>
      <c r="BH60" s="7">
        <v>1</v>
      </c>
      <c r="BI60" s="7">
        <v>0.83056479999999999</v>
      </c>
      <c r="BJ60" s="7">
        <v>0.19442190000000001</v>
      </c>
      <c r="BK60" s="7">
        <v>0.80557809999999996</v>
      </c>
      <c r="BL60" s="7">
        <v>0.29117480000000001</v>
      </c>
      <c r="BM60" s="7">
        <v>3.9300000000000004E-15</v>
      </c>
      <c r="BN60" s="7">
        <v>6.1711960000000001</v>
      </c>
      <c r="BO60" s="7">
        <v>6.1711960000000001</v>
      </c>
      <c r="BP60" s="7">
        <v>1</v>
      </c>
      <c r="BQ60" s="7">
        <v>0.44890160000000001</v>
      </c>
      <c r="BR60" s="7">
        <v>0.14834649999999999</v>
      </c>
      <c r="BS60" s="7">
        <v>0.85165349999999995</v>
      </c>
      <c r="BT60" s="7">
        <v>0.55497370000000001</v>
      </c>
      <c r="BU60" s="7">
        <v>0.69686530000000002</v>
      </c>
      <c r="BV60" s="7">
        <v>0.44306980000000001</v>
      </c>
      <c r="BW60" s="7">
        <v>3.719408</v>
      </c>
      <c r="BX60" s="7">
        <v>7.3244389999999999</v>
      </c>
      <c r="BY60" s="7">
        <v>1.9692480000000001</v>
      </c>
      <c r="BZ60" s="7">
        <v>0</v>
      </c>
      <c r="CA60" s="7">
        <v>0.49936920000000001</v>
      </c>
      <c r="CB60" s="7">
        <v>0.50063080000000004</v>
      </c>
      <c r="CC60" s="7">
        <v>0.1409173</v>
      </c>
      <c r="CD60" s="7">
        <v>0.85908280000000004</v>
      </c>
      <c r="CE60" s="7">
        <v>10.26848</v>
      </c>
      <c r="CF60" s="7">
        <v>10.63378</v>
      </c>
      <c r="CG60" s="7">
        <v>3.5942569999999998</v>
      </c>
      <c r="CH60" s="7">
        <v>7.2785950000000001</v>
      </c>
      <c r="CI60" s="7">
        <v>1.7020690000000001</v>
      </c>
      <c r="CJ60" s="7">
        <v>1.4980789999999999</v>
      </c>
      <c r="CK60" s="7">
        <v>0.88015209999999999</v>
      </c>
      <c r="CL60" s="7">
        <v>1.256664</v>
      </c>
      <c r="CM60" s="7">
        <v>0.56350199999999995</v>
      </c>
      <c r="CN60" s="7">
        <v>0.60514999999999997</v>
      </c>
      <c r="CO60" s="7">
        <v>0.53786230000000002</v>
      </c>
      <c r="CP60" s="7">
        <v>8.8804999999999995E-3</v>
      </c>
      <c r="CQ60" s="7">
        <v>-7.6940000000000003E-3</v>
      </c>
      <c r="CR60" s="7">
        <v>1.3536100000000001E-2</v>
      </c>
      <c r="CS60" s="7">
        <v>1.4700340000000001</v>
      </c>
      <c r="CT60" s="7">
        <v>1.852890085339016</v>
      </c>
      <c r="CU60" s="7">
        <v>1.3103217988547473</v>
      </c>
      <c r="CV60" s="7">
        <v>1.0982700000000001</v>
      </c>
      <c r="CW60" s="7">
        <v>1.777398</v>
      </c>
      <c r="CX60" s="7">
        <v>1.433781</v>
      </c>
      <c r="CY60" s="7">
        <v>1.8493169670000826</v>
      </c>
      <c r="CZ60" s="6"/>
      <c r="DA60" s="7"/>
      <c r="DB60" s="7"/>
      <c r="DC60" s="7"/>
      <c r="DD60" s="7"/>
      <c r="DE60" s="7"/>
      <c r="DF60" s="7"/>
      <c r="DI60" s="33"/>
      <c r="DJ60" s="11"/>
    </row>
    <row r="61" spans="1:114" customFormat="1" x14ac:dyDescent="0.3">
      <c r="A61" s="5">
        <v>2006</v>
      </c>
      <c r="B61" s="3">
        <v>298818</v>
      </c>
      <c r="C61" s="3">
        <v>13815583</v>
      </c>
      <c r="D61" s="12">
        <v>7.5223090043989602</v>
      </c>
      <c r="E61" s="2">
        <v>7.3577601625187699</v>
      </c>
      <c r="F61" s="3">
        <v>9277236</v>
      </c>
      <c r="G61" s="3">
        <v>2700954</v>
      </c>
      <c r="H61" s="3">
        <v>2072953</v>
      </c>
      <c r="I61" s="3">
        <v>550893</v>
      </c>
      <c r="J61" s="3">
        <v>-786453</v>
      </c>
      <c r="K61" s="3">
        <f t="shared" si="4"/>
        <v>13815577.379999999</v>
      </c>
      <c r="L61" s="3">
        <f t="shared" si="5"/>
        <v>3117501</v>
      </c>
      <c r="M61" s="3">
        <f t="shared" si="6"/>
        <v>10698076.379999999</v>
      </c>
      <c r="N61" s="10">
        <v>7.7677679061889648</v>
      </c>
      <c r="O61" s="10">
        <v>5.43829345703125</v>
      </c>
      <c r="P61" s="10">
        <v>9.2102899551391602</v>
      </c>
      <c r="Q61" s="9">
        <v>1619944.62</v>
      </c>
      <c r="R61" s="9">
        <v>1497556.38</v>
      </c>
      <c r="S61" s="9">
        <v>1562914.38</v>
      </c>
      <c r="T61" s="9">
        <v>9135162</v>
      </c>
      <c r="U61" s="3">
        <v>7746959.5</v>
      </c>
      <c r="V61" s="3">
        <v>1637687.75</v>
      </c>
      <c r="W61" s="3">
        <v>6109271.5</v>
      </c>
      <c r="X61" s="2">
        <v>0.57143062353134155</v>
      </c>
      <c r="Y61" s="2">
        <v>7.1175456047058105</v>
      </c>
      <c r="Z61" s="2">
        <v>5.6408205032348633</v>
      </c>
      <c r="AA61" s="2">
        <v>7.8938612937927246</v>
      </c>
      <c r="AB61" s="2">
        <v>11.394719123840332</v>
      </c>
      <c r="AC61" s="2">
        <v>7.7608857154846191</v>
      </c>
      <c r="AD61" s="2">
        <v>12.859340667724609</v>
      </c>
      <c r="AE61" s="2">
        <v>2.5069975852966309</v>
      </c>
      <c r="AF61" s="2">
        <v>1.4398348331451416</v>
      </c>
      <c r="AG61" s="2">
        <v>3.3863639831542969</v>
      </c>
      <c r="AH61" s="2">
        <v>0.53147870302200317</v>
      </c>
      <c r="AI61" s="2">
        <v>0.58326923847198486</v>
      </c>
      <c r="AJ61" s="3">
        <f t="shared" si="7"/>
        <v>10632724</v>
      </c>
      <c r="AK61" s="3">
        <v>2451088</v>
      </c>
      <c r="AL61" s="3">
        <v>8181636</v>
      </c>
      <c r="AM61" s="2">
        <v>6.6614410821893904</v>
      </c>
      <c r="AN61" s="2">
        <v>7.7389945175201698</v>
      </c>
      <c r="AO61" s="2">
        <v>5.9017547099352203</v>
      </c>
      <c r="AP61" s="2">
        <v>3.81016060103771</v>
      </c>
      <c r="AQ61" s="2">
        <v>7.1913546446820398</v>
      </c>
      <c r="AR61" s="2">
        <v>11.699121051148801</v>
      </c>
      <c r="AS61" s="3">
        <v>3182858</v>
      </c>
      <c r="AT61" s="10">
        <v>11.831291759465399</v>
      </c>
      <c r="AU61" s="10">
        <v>6.2033419158008298</v>
      </c>
      <c r="AV61" s="6"/>
      <c r="AW61" s="7">
        <f t="shared" si="8"/>
        <v>0.50895896425195086</v>
      </c>
      <c r="AX61" s="7">
        <f t="shared" si="9"/>
        <v>0.49104103574804914</v>
      </c>
      <c r="AY61" s="7">
        <f t="shared" si="10"/>
        <v>0.14084416858222101</v>
      </c>
      <c r="AZ61" s="7">
        <f t="shared" si="11"/>
        <v>0.85915583141777907</v>
      </c>
      <c r="BA61" s="7">
        <v>34.51867</v>
      </c>
      <c r="BB61" s="7">
        <v>0.52001010000000003</v>
      </c>
      <c r="BC61" s="7">
        <v>0.47998990000000002</v>
      </c>
      <c r="BD61" s="7">
        <v>0.64724230000000005</v>
      </c>
      <c r="BE61" s="7">
        <v>0</v>
      </c>
      <c r="BF61" s="7">
        <v>7.5900790000000002</v>
      </c>
      <c r="BG61" s="7">
        <v>7.5900800000000004</v>
      </c>
      <c r="BH61" s="7">
        <v>1</v>
      </c>
      <c r="BI61" s="7">
        <v>0.83056479999999999</v>
      </c>
      <c r="BJ61" s="7">
        <v>0.1952044</v>
      </c>
      <c r="BK61" s="7">
        <v>0.80479560000000006</v>
      </c>
      <c r="BL61" s="7">
        <v>0.29117480000000001</v>
      </c>
      <c r="BM61" s="7">
        <v>3.9300000000000004E-15</v>
      </c>
      <c r="BN61" s="7">
        <v>6.3334039999999998</v>
      </c>
      <c r="BO61" s="7">
        <v>6.3334039999999998</v>
      </c>
      <c r="BP61" s="7">
        <v>1</v>
      </c>
      <c r="BQ61" s="7">
        <v>0.44890160000000001</v>
      </c>
      <c r="BR61" s="7">
        <v>0.14743100000000001</v>
      </c>
      <c r="BS61" s="7">
        <v>0.85256900000000002</v>
      </c>
      <c r="BT61" s="7">
        <v>0.55497370000000001</v>
      </c>
      <c r="BU61" s="7">
        <v>0.69686530000000002</v>
      </c>
      <c r="BV61" s="7">
        <v>0.44306980000000001</v>
      </c>
      <c r="BW61" s="7">
        <v>3.7784080000000002</v>
      </c>
      <c r="BX61" s="7">
        <v>7.5323560000000001</v>
      </c>
      <c r="BY61" s="7">
        <v>1.9935259999999999</v>
      </c>
      <c r="BZ61" s="7">
        <v>0</v>
      </c>
      <c r="CA61" s="7">
        <v>0.50549069999999996</v>
      </c>
      <c r="CB61" s="7">
        <v>0.49450929999999998</v>
      </c>
      <c r="CC61" s="7">
        <v>0.13985359999999999</v>
      </c>
      <c r="CD61" s="7">
        <v>0.86014639999999998</v>
      </c>
      <c r="CE61" s="7">
        <v>10.754519999999999</v>
      </c>
      <c r="CF61" s="7">
        <v>10.838340000000001</v>
      </c>
      <c r="CG61" s="7">
        <v>3.7118280000000001</v>
      </c>
      <c r="CH61" s="7">
        <v>7.4647129999999997</v>
      </c>
      <c r="CI61" s="7">
        <v>1.6935990000000001</v>
      </c>
      <c r="CJ61" s="7">
        <v>1.484758</v>
      </c>
      <c r="CK61" s="7">
        <v>0.87668809999999997</v>
      </c>
      <c r="CL61" s="7">
        <v>1.2476240000000001</v>
      </c>
      <c r="CM61" s="7">
        <v>0.56350199999999995</v>
      </c>
      <c r="CN61" s="7">
        <v>0.60514999999999997</v>
      </c>
      <c r="CO61" s="7">
        <v>0.53786230000000002</v>
      </c>
      <c r="CP61" s="7">
        <v>-2.6946000000000001E-3</v>
      </c>
      <c r="CQ61" s="7">
        <v>1.2337600000000001E-2</v>
      </c>
      <c r="CR61" s="7">
        <v>-7.2407000000000001E-3</v>
      </c>
      <c r="CS61" s="7">
        <v>1.4660789999999999</v>
      </c>
      <c r="CT61" s="7">
        <v>1.8758940441800505</v>
      </c>
      <c r="CU61" s="7">
        <v>1.3008631415934628</v>
      </c>
      <c r="CV61" s="7">
        <v>1.0912520000000001</v>
      </c>
      <c r="CW61" s="7">
        <v>1.772707</v>
      </c>
      <c r="CX61" s="7">
        <v>1.4296759999999999</v>
      </c>
      <c r="CY61" s="7">
        <v>1.8335496523126125</v>
      </c>
      <c r="CZ61" s="6"/>
      <c r="DA61" s="7"/>
      <c r="DB61" s="7"/>
      <c r="DC61" s="7"/>
      <c r="DD61" s="7"/>
      <c r="DE61" s="7"/>
      <c r="DF61" s="7"/>
      <c r="DI61" s="33"/>
      <c r="DJ61" s="11"/>
    </row>
    <row r="62" spans="1:114" customFormat="1" x14ac:dyDescent="0.3">
      <c r="A62" s="5">
        <v>2007</v>
      </c>
      <c r="B62" s="3">
        <v>301696</v>
      </c>
      <c r="C62" s="3">
        <v>14474228</v>
      </c>
      <c r="D62" s="12">
        <v>7.6730406679235097</v>
      </c>
      <c r="E62" s="2">
        <v>7.5571055820575097</v>
      </c>
      <c r="F62" s="3">
        <v>9746594</v>
      </c>
      <c r="G62" s="3">
        <v>2673011</v>
      </c>
      <c r="H62" s="3">
        <v>2198532</v>
      </c>
      <c r="I62" s="3">
        <v>592024</v>
      </c>
      <c r="J62" s="3">
        <v>-735933</v>
      </c>
      <c r="K62" s="3">
        <f t="shared" si="4"/>
        <v>14474231.379999999</v>
      </c>
      <c r="L62" s="3">
        <f t="shared" si="5"/>
        <v>3253758</v>
      </c>
      <c r="M62" s="3">
        <f t="shared" si="6"/>
        <v>11220473.379999999</v>
      </c>
      <c r="N62" s="10">
        <v>8.0017738342285156</v>
      </c>
      <c r="O62" s="10">
        <v>5.5929722785949707</v>
      </c>
      <c r="P62" s="10">
        <v>9.492365837097168</v>
      </c>
      <c r="Q62" s="9">
        <v>1646062.5</v>
      </c>
      <c r="R62" s="9">
        <v>1607695.5</v>
      </c>
      <c r="S62" s="9">
        <v>1585016.38</v>
      </c>
      <c r="T62" s="9">
        <v>9635457</v>
      </c>
      <c r="U62" s="3">
        <v>8060485.5</v>
      </c>
      <c r="V62" s="3">
        <v>1713762.125</v>
      </c>
      <c r="W62" s="3">
        <v>6346723.5</v>
      </c>
      <c r="X62" s="2">
        <v>0.57245612144470215</v>
      </c>
      <c r="Y62" s="2">
        <v>7.2266082763671875</v>
      </c>
      <c r="Z62" s="2">
        <v>5.7021651268005371</v>
      </c>
      <c r="AA62" s="2">
        <v>8.0252933502197266</v>
      </c>
      <c r="AB62" s="2">
        <v>11.674237251281738</v>
      </c>
      <c r="AC62" s="2">
        <v>7.9950990676879883</v>
      </c>
      <c r="AD62" s="2">
        <v>13.150361061096191</v>
      </c>
      <c r="AE62" s="2">
        <v>2.5517029762268066</v>
      </c>
      <c r="AF62" s="2">
        <v>1.4242894649505615</v>
      </c>
      <c r="AG62" s="2">
        <v>3.4733090400695801</v>
      </c>
      <c r="AH62" s="2">
        <v>0.52939337491989136</v>
      </c>
      <c r="AI62" s="2">
        <v>0.58526849746704102</v>
      </c>
      <c r="AJ62" s="3">
        <f t="shared" si="7"/>
        <v>11243144</v>
      </c>
      <c r="AK62" s="3">
        <v>2557995</v>
      </c>
      <c r="AL62" s="3">
        <v>8685149</v>
      </c>
      <c r="AM62" s="2">
        <v>6.8462264189505504</v>
      </c>
      <c r="AN62" s="2">
        <v>7.9624123276675602</v>
      </c>
      <c r="AO62" s="2">
        <v>6.2180636441105603</v>
      </c>
      <c r="AP62" s="2">
        <v>3.77407096245827</v>
      </c>
      <c r="AQ62" s="2">
        <v>7.3696002793752502</v>
      </c>
      <c r="AR62" s="2">
        <v>12.118730516559101</v>
      </c>
      <c r="AS62" s="3">
        <v>3231084</v>
      </c>
      <c r="AT62" s="10">
        <v>11.762806236080101</v>
      </c>
      <c r="AU62" s="10">
        <v>6.3339980540450096</v>
      </c>
      <c r="AV62" s="6"/>
      <c r="AW62" s="7">
        <f t="shared" si="8"/>
        <v>0.50944670840100326</v>
      </c>
      <c r="AX62" s="7">
        <f t="shared" si="9"/>
        <v>0.4905532915989968</v>
      </c>
      <c r="AY62" s="7">
        <f t="shared" si="10"/>
        <v>0.14299330192310386</v>
      </c>
      <c r="AZ62" s="7">
        <f t="shared" si="11"/>
        <v>0.85700669807689611</v>
      </c>
      <c r="BA62" s="7">
        <v>36.083500000000001</v>
      </c>
      <c r="BB62" s="7">
        <v>0.51948070000000002</v>
      </c>
      <c r="BC62" s="7">
        <v>0.48051929999999998</v>
      </c>
      <c r="BD62" s="7">
        <v>0.64724230000000005</v>
      </c>
      <c r="BE62" s="7">
        <v>0</v>
      </c>
      <c r="BF62" s="7">
        <v>7.7811079999999997</v>
      </c>
      <c r="BG62" s="7">
        <v>7.7811079999999997</v>
      </c>
      <c r="BH62" s="7">
        <v>1</v>
      </c>
      <c r="BI62" s="7">
        <v>0.83056479999999999</v>
      </c>
      <c r="BJ62" s="7">
        <v>0.1948714</v>
      </c>
      <c r="BK62" s="7">
        <v>0.80512859999999997</v>
      </c>
      <c r="BL62" s="7">
        <v>0.29117480000000001</v>
      </c>
      <c r="BM62" s="7">
        <v>3.9300000000000004E-15</v>
      </c>
      <c r="BN62" s="7">
        <v>6.488334</v>
      </c>
      <c r="BO62" s="7">
        <v>6.488334</v>
      </c>
      <c r="BP62" s="7">
        <v>1</v>
      </c>
      <c r="BQ62" s="7">
        <v>0.44890160000000001</v>
      </c>
      <c r="BR62" s="7">
        <v>0.1460602</v>
      </c>
      <c r="BS62" s="7">
        <v>0.85393980000000003</v>
      </c>
      <c r="BT62" s="7">
        <v>0.55497370000000001</v>
      </c>
      <c r="BU62" s="7">
        <v>0.69686530000000002</v>
      </c>
      <c r="BV62" s="7">
        <v>0.44306980000000001</v>
      </c>
      <c r="BW62" s="7">
        <v>3.841399</v>
      </c>
      <c r="BX62" s="7">
        <v>7.7258269999999998</v>
      </c>
      <c r="BY62" s="7">
        <v>2.0112009999999998</v>
      </c>
      <c r="BZ62" s="7">
        <v>0</v>
      </c>
      <c r="CA62" s="7">
        <v>0.50983409999999996</v>
      </c>
      <c r="CB62" s="7">
        <v>0.49016589999999999</v>
      </c>
      <c r="CC62" s="7">
        <v>0.14165559999999999</v>
      </c>
      <c r="CD62" s="7">
        <v>0.85834440000000001</v>
      </c>
      <c r="CE62" s="7">
        <v>10.62893</v>
      </c>
      <c r="CF62" s="7">
        <v>10.661619999999999</v>
      </c>
      <c r="CG62" s="7">
        <v>3.867909</v>
      </c>
      <c r="CH62" s="7">
        <v>7.62486</v>
      </c>
      <c r="CI62" s="7">
        <v>1.697195</v>
      </c>
      <c r="CJ62" s="7">
        <v>1.498667</v>
      </c>
      <c r="CK62" s="7">
        <v>0.88302550000000002</v>
      </c>
      <c r="CL62" s="7">
        <v>1.257066</v>
      </c>
      <c r="CM62" s="7">
        <v>0.56350199999999995</v>
      </c>
      <c r="CN62" s="7">
        <v>0.60514999999999997</v>
      </c>
      <c r="CO62" s="7">
        <v>0.53786230000000002</v>
      </c>
      <c r="CP62" s="7">
        <v>-5.3314E-3</v>
      </c>
      <c r="CQ62" s="7">
        <v>3.9553000000000001E-3</v>
      </c>
      <c r="CR62" s="7">
        <v>-7.5408000000000003E-3</v>
      </c>
      <c r="CS62" s="7">
        <v>1.458283</v>
      </c>
      <c r="CT62" s="7">
        <v>1.8832783956123547</v>
      </c>
      <c r="CU62" s="7">
        <v>1.2910930062302641</v>
      </c>
      <c r="CV62" s="7">
        <v>1.100284</v>
      </c>
      <c r="CW62" s="7">
        <v>1.785377</v>
      </c>
      <c r="CX62" s="7">
        <v>1.4225399999999999</v>
      </c>
      <c r="CY62" s="7">
        <v>1.8430852381279481</v>
      </c>
      <c r="CZ62" s="6"/>
      <c r="DA62" s="7"/>
      <c r="DB62" s="7"/>
      <c r="DC62" s="7"/>
      <c r="DD62" s="7"/>
      <c r="DE62" s="7"/>
      <c r="DF62" s="7"/>
      <c r="DI62" s="33"/>
      <c r="DJ62" s="11"/>
    </row>
    <row r="63" spans="1:114" customFormat="1" x14ac:dyDescent="0.3">
      <c r="A63" s="5">
        <v>2008</v>
      </c>
      <c r="B63" s="3">
        <v>304543</v>
      </c>
      <c r="C63" s="3">
        <v>14769862</v>
      </c>
      <c r="D63" s="12">
        <v>7.6817488104856801</v>
      </c>
      <c r="E63" s="2">
        <v>7.7027165417972601</v>
      </c>
      <c r="F63" s="3">
        <v>10050083</v>
      </c>
      <c r="G63" s="3">
        <v>2477613</v>
      </c>
      <c r="H63" s="3">
        <v>2353440</v>
      </c>
      <c r="I63" s="3">
        <v>629595</v>
      </c>
      <c r="J63" s="3">
        <v>-740870</v>
      </c>
      <c r="K63" s="3">
        <f t="shared" si="4"/>
        <v>14769881.879999999</v>
      </c>
      <c r="L63" s="3">
        <f t="shared" si="5"/>
        <v>3229592</v>
      </c>
      <c r="M63" s="3">
        <f t="shared" si="6"/>
        <v>11540289.879999999</v>
      </c>
      <c r="N63" s="10">
        <v>8.1826372146606445</v>
      </c>
      <c r="O63" s="10">
        <v>5.7639245986938477</v>
      </c>
      <c r="P63" s="10">
        <v>9.6849002838134766</v>
      </c>
      <c r="Q63" s="9">
        <v>1580098.12</v>
      </c>
      <c r="R63" s="9">
        <v>1649493.88</v>
      </c>
      <c r="S63" s="9">
        <v>1556345.88</v>
      </c>
      <c r="T63" s="9">
        <v>9983944</v>
      </c>
      <c r="U63" s="3">
        <v>8103027</v>
      </c>
      <c r="V63" s="3">
        <v>1707546.375</v>
      </c>
      <c r="W63" s="3">
        <v>6395480.5</v>
      </c>
      <c r="X63" s="2">
        <v>0.56755262613296509</v>
      </c>
      <c r="Y63" s="2">
        <v>7.1900858879089355</v>
      </c>
      <c r="Z63" s="2">
        <v>5.5270705223083496</v>
      </c>
      <c r="AA63" s="2">
        <v>8.0460367202758789</v>
      </c>
      <c r="AB63" s="2">
        <v>11.996634483337402</v>
      </c>
      <c r="AC63" s="2">
        <v>8.2383127212524414</v>
      </c>
      <c r="AD63" s="2">
        <v>13.501516342163086</v>
      </c>
      <c r="AE63" s="2">
        <v>2.542844295501709</v>
      </c>
      <c r="AF63" s="2">
        <v>1.3953673839569092</v>
      </c>
      <c r="AG63" s="2">
        <v>3.4771215915679932</v>
      </c>
      <c r="AH63" s="2">
        <v>0.53044825792312622</v>
      </c>
      <c r="AI63" s="2">
        <v>0.57842636108398438</v>
      </c>
      <c r="AJ63" s="3">
        <f t="shared" si="7"/>
        <v>11633412</v>
      </c>
      <c r="AK63" s="3">
        <v>2476327</v>
      </c>
      <c r="AL63" s="3">
        <v>9157085</v>
      </c>
      <c r="AM63" s="2">
        <v>6.9386578436599304</v>
      </c>
      <c r="AN63" s="2">
        <v>8.1290498200644095</v>
      </c>
      <c r="AO63" s="2">
        <v>6.3078096170672397</v>
      </c>
      <c r="AP63" s="2">
        <v>3.6015956190998399</v>
      </c>
      <c r="AQ63" s="2">
        <v>7.5249786753834904</v>
      </c>
      <c r="AR63" s="2">
        <v>12.513412450409399</v>
      </c>
      <c r="AS63" s="3">
        <v>3136450</v>
      </c>
      <c r="AT63" s="10">
        <v>11.268095768374099</v>
      </c>
      <c r="AU63" s="10">
        <v>6.4184248281964997</v>
      </c>
      <c r="AV63" s="6"/>
      <c r="AW63" s="7">
        <f t="shared" si="8"/>
        <v>0.50378649196351033</v>
      </c>
      <c r="AX63" s="7">
        <f t="shared" si="9"/>
        <v>0.49621350803648967</v>
      </c>
      <c r="AY63" s="7">
        <f t="shared" si="10"/>
        <v>0.14178903063863699</v>
      </c>
      <c r="AZ63" s="7">
        <f t="shared" si="11"/>
        <v>0.8582109693613631</v>
      </c>
      <c r="BA63" s="7">
        <v>36.865119999999997</v>
      </c>
      <c r="BB63" s="7">
        <v>0.52198330000000004</v>
      </c>
      <c r="BC63" s="7">
        <v>0.47801670000000002</v>
      </c>
      <c r="BD63" s="7">
        <v>0.64724230000000005</v>
      </c>
      <c r="BE63" s="7">
        <v>0</v>
      </c>
      <c r="BF63" s="7">
        <v>7.8241829999999997</v>
      </c>
      <c r="BG63" s="7">
        <v>7.8241839999999998</v>
      </c>
      <c r="BH63" s="7">
        <v>1</v>
      </c>
      <c r="BI63" s="7">
        <v>0.83056479999999999</v>
      </c>
      <c r="BJ63" s="7">
        <v>0.1964495</v>
      </c>
      <c r="BK63" s="7">
        <v>0.80355049999999995</v>
      </c>
      <c r="BL63" s="7">
        <v>0.29117480000000001</v>
      </c>
      <c r="BM63" s="7">
        <v>3.9300000000000004E-15</v>
      </c>
      <c r="BN63" s="7">
        <v>6.5455550000000002</v>
      </c>
      <c r="BO63" s="7">
        <v>6.5455550000000002</v>
      </c>
      <c r="BP63" s="7">
        <v>1</v>
      </c>
      <c r="BQ63" s="7">
        <v>0.44890160000000001</v>
      </c>
      <c r="BR63" s="7">
        <v>0.1469742</v>
      </c>
      <c r="BS63" s="7">
        <v>0.85302579999999995</v>
      </c>
      <c r="BT63" s="7">
        <v>0.55497370000000001</v>
      </c>
      <c r="BU63" s="7">
        <v>0.69686530000000002</v>
      </c>
      <c r="BV63" s="7">
        <v>0.44306980000000001</v>
      </c>
      <c r="BW63" s="7">
        <v>3.8682029999999998</v>
      </c>
      <c r="BX63" s="7">
        <v>7.8009089999999999</v>
      </c>
      <c r="BY63" s="7">
        <v>2.0166750000000002</v>
      </c>
      <c r="BZ63" s="7">
        <v>0</v>
      </c>
      <c r="CA63" s="7">
        <v>0.50859489999999996</v>
      </c>
      <c r="CB63" s="7">
        <v>0.49140509999999998</v>
      </c>
      <c r="CC63" s="7">
        <v>0.1422274</v>
      </c>
      <c r="CD63" s="7">
        <v>0.8577726</v>
      </c>
      <c r="CE63" s="7">
        <v>9.9503629999999994</v>
      </c>
      <c r="CF63" s="7">
        <v>10.20824</v>
      </c>
      <c r="CG63" s="7">
        <v>3.8428620000000002</v>
      </c>
      <c r="CH63" s="7">
        <v>7.7164320000000002</v>
      </c>
      <c r="CI63" s="7">
        <v>1.680261</v>
      </c>
      <c r="CJ63" s="7">
        <v>1.508961</v>
      </c>
      <c r="CK63" s="7">
        <v>0.89805109999999999</v>
      </c>
      <c r="CL63" s="7">
        <v>1.2663530000000001</v>
      </c>
      <c r="CM63" s="7">
        <v>0.56350199999999995</v>
      </c>
      <c r="CN63" s="7">
        <v>0.60514999999999997</v>
      </c>
      <c r="CO63" s="7">
        <v>0.53786230000000002</v>
      </c>
      <c r="CP63" s="7">
        <v>-1.49979E-2</v>
      </c>
      <c r="CQ63" s="7">
        <v>-3.2708000000000001E-2</v>
      </c>
      <c r="CR63" s="7">
        <v>-9.5396999999999999E-3</v>
      </c>
      <c r="CS63" s="7">
        <v>1.4365749999999999</v>
      </c>
      <c r="CT63" s="7">
        <v>1.8226161653853967</v>
      </c>
      <c r="CU63" s="7">
        <v>1.2788137081860154</v>
      </c>
      <c r="CV63" s="7">
        <v>1.1135060000000001</v>
      </c>
      <c r="CW63" s="7">
        <v>1.7666120000000001</v>
      </c>
      <c r="CX63" s="7">
        <v>1.401815</v>
      </c>
      <c r="CY63" s="7">
        <v>1.8376151511131944</v>
      </c>
      <c r="CZ63" s="6"/>
      <c r="DA63" s="7"/>
      <c r="DB63" s="7"/>
      <c r="DC63" s="7"/>
      <c r="DD63" s="7"/>
      <c r="DE63" s="7"/>
      <c r="DF63" s="7"/>
      <c r="DI63" s="33"/>
      <c r="DJ63" s="11"/>
    </row>
    <row r="64" spans="1:114" customFormat="1" x14ac:dyDescent="0.3">
      <c r="A64" s="5">
        <v>2009</v>
      </c>
      <c r="B64" s="3">
        <v>307240</v>
      </c>
      <c r="C64" s="3">
        <v>14478067</v>
      </c>
      <c r="D64" s="12">
        <v>7.4837956728611204</v>
      </c>
      <c r="E64" s="2">
        <v>7.7502594433936096</v>
      </c>
      <c r="F64" s="3">
        <v>9891218</v>
      </c>
      <c r="G64" s="3">
        <v>1929664</v>
      </c>
      <c r="H64" s="3">
        <v>2433429</v>
      </c>
      <c r="I64" s="3">
        <v>642909</v>
      </c>
      <c r="J64" s="3">
        <v>-419153</v>
      </c>
      <c r="K64" s="3">
        <f t="shared" si="4"/>
        <v>14478059.879999999</v>
      </c>
      <c r="L64" s="3">
        <f t="shared" si="5"/>
        <v>2923786</v>
      </c>
      <c r="M64" s="3">
        <f t="shared" si="6"/>
        <v>11554273.879999999</v>
      </c>
      <c r="N64" s="10">
        <v>8.2320652008056641</v>
      </c>
      <c r="O64" s="10">
        <v>5.5774502754211426</v>
      </c>
      <c r="P64" s="10">
        <v>9.8488588333129883</v>
      </c>
      <c r="Q64" s="9">
        <v>1301271.1200000001</v>
      </c>
      <c r="R64" s="9">
        <v>1622514.88</v>
      </c>
      <c r="S64" s="9">
        <v>1422072.88</v>
      </c>
      <c r="T64" s="9">
        <v>10132201</v>
      </c>
      <c r="U64" s="3">
        <v>7824084.5</v>
      </c>
      <c r="V64" s="3">
        <v>1506983.375</v>
      </c>
      <c r="W64" s="3">
        <v>6317101.5</v>
      </c>
      <c r="X64" s="2">
        <v>0.5601380467414856</v>
      </c>
      <c r="Y64" s="2">
        <v>7.0002403259277344</v>
      </c>
      <c r="Z64" s="2">
        <v>5.2170701026916504</v>
      </c>
      <c r="AA64" s="2">
        <v>7.9010329246520996</v>
      </c>
      <c r="AB64" s="2">
        <v>12.125386238098145</v>
      </c>
      <c r="AC64" s="2">
        <v>8.3436031341552734</v>
      </c>
      <c r="AD64" s="2">
        <v>13.637883186340332</v>
      </c>
      <c r="AE64" s="2">
        <v>2.4314415454864502</v>
      </c>
      <c r="AF64" s="2">
        <v>1.237369179725647</v>
      </c>
      <c r="AG64" s="2">
        <v>3.388697624206543</v>
      </c>
      <c r="AH64" s="2">
        <v>0.52082961797714233</v>
      </c>
      <c r="AI64" s="2">
        <v>0.5709647536277771</v>
      </c>
      <c r="AJ64" s="3">
        <f t="shared" si="7"/>
        <v>11754721</v>
      </c>
      <c r="AK64" s="3">
        <v>2498526</v>
      </c>
      <c r="AL64" s="3">
        <v>9256195</v>
      </c>
      <c r="AM64" s="2">
        <v>6.9443181554822102</v>
      </c>
      <c r="AN64" s="2">
        <v>8.2071229192923507</v>
      </c>
      <c r="AO64" s="2">
        <v>6.4570343120936204</v>
      </c>
      <c r="AP64" s="2">
        <v>3.5499015784460801</v>
      </c>
      <c r="AQ64" s="2">
        <v>7.5805000834471699</v>
      </c>
      <c r="AR64" s="2">
        <v>12.5562058177089</v>
      </c>
      <c r="AS64" s="3">
        <v>2723344</v>
      </c>
      <c r="AT64" s="10">
        <v>9.8570434298440901</v>
      </c>
      <c r="AU64" s="10">
        <v>6.3708364007648699</v>
      </c>
      <c r="AV64" s="6"/>
      <c r="AW64" s="7">
        <f t="shared" si="8"/>
        <v>0.47782106116597833</v>
      </c>
      <c r="AX64" s="7">
        <f t="shared" si="9"/>
        <v>0.52217893883402167</v>
      </c>
      <c r="AY64" s="7">
        <f t="shared" si="10"/>
        <v>0.13803097382903312</v>
      </c>
      <c r="AZ64" s="7">
        <f t="shared" si="11"/>
        <v>0.86196902617096693</v>
      </c>
      <c r="BA64" s="7">
        <v>36.926650000000002</v>
      </c>
      <c r="BB64" s="7">
        <v>0.50957770000000002</v>
      </c>
      <c r="BC64" s="7">
        <v>0.49042229999999998</v>
      </c>
      <c r="BD64" s="7">
        <v>0.64724230000000005</v>
      </c>
      <c r="BE64" s="7">
        <v>0</v>
      </c>
      <c r="BF64" s="7">
        <v>7.976801</v>
      </c>
      <c r="BG64" s="7">
        <v>7.976801</v>
      </c>
      <c r="BH64" s="7">
        <v>1</v>
      </c>
      <c r="BI64" s="7">
        <v>0.83056479999999999</v>
      </c>
      <c r="BJ64" s="7">
        <v>0.18872610000000001</v>
      </c>
      <c r="BK64" s="7">
        <v>0.81127389999999999</v>
      </c>
      <c r="BL64" s="7">
        <v>0.29117480000000001</v>
      </c>
      <c r="BM64" s="7">
        <v>3.9300000000000004E-15</v>
      </c>
      <c r="BN64" s="7">
        <v>6.5669459999999997</v>
      </c>
      <c r="BO64" s="7">
        <v>6.5669459999999997</v>
      </c>
      <c r="BP64" s="7">
        <v>0.99999990000000005</v>
      </c>
      <c r="BQ64" s="7">
        <v>0.44890160000000001</v>
      </c>
      <c r="BR64" s="7">
        <v>0.14316989999999999</v>
      </c>
      <c r="BS64" s="7">
        <v>0.85683010000000004</v>
      </c>
      <c r="BT64" s="7">
        <v>0.55497370000000001</v>
      </c>
      <c r="BU64" s="7">
        <v>0.69686530000000002</v>
      </c>
      <c r="BV64" s="7">
        <v>0.44306980000000001</v>
      </c>
      <c r="BW64" s="7">
        <v>3.9350999999999998</v>
      </c>
      <c r="BX64" s="7">
        <v>7.7864659999999999</v>
      </c>
      <c r="BY64" s="7">
        <v>1.978721</v>
      </c>
      <c r="BZ64" s="7">
        <v>0</v>
      </c>
      <c r="CA64" s="7">
        <v>0.494896</v>
      </c>
      <c r="CB64" s="7">
        <v>0.505104</v>
      </c>
      <c r="CC64" s="7">
        <v>0.13981399999999999</v>
      </c>
      <c r="CD64" s="7">
        <v>0.86018600000000001</v>
      </c>
      <c r="CE64" s="7">
        <v>8.5011430000000008</v>
      </c>
      <c r="CF64" s="7">
        <v>9.1453790000000001</v>
      </c>
      <c r="CG64" s="7">
        <v>3.9055559999999998</v>
      </c>
      <c r="CH64" s="7">
        <v>7.7019070000000003</v>
      </c>
      <c r="CI64" s="7">
        <v>1.765835</v>
      </c>
      <c r="CJ64" s="7">
        <v>1.5459700000000001</v>
      </c>
      <c r="CK64" s="7">
        <v>0.87548919999999997</v>
      </c>
      <c r="CL64" s="7">
        <v>1.288443</v>
      </c>
      <c r="CM64" s="7">
        <v>0.56350199999999995</v>
      </c>
      <c r="CN64" s="7">
        <v>0.60514999999999997</v>
      </c>
      <c r="CO64" s="7">
        <v>0.53786230000000002</v>
      </c>
      <c r="CP64" s="7">
        <v>-6.1739999999999998E-3</v>
      </c>
      <c r="CQ64" s="7">
        <v>4.4508999999999998E-3</v>
      </c>
      <c r="CR64" s="7">
        <v>-8.0573999999999993E-3</v>
      </c>
      <c r="CS64" s="7">
        <v>1.4277329999999999</v>
      </c>
      <c r="CT64" s="7">
        <v>1.8305868604300122</v>
      </c>
      <c r="CU64" s="7">
        <v>1.2685214393898894</v>
      </c>
      <c r="CV64" s="7">
        <v>1.1131120000000001</v>
      </c>
      <c r="CW64" s="7">
        <v>1.7641560000000001</v>
      </c>
      <c r="CX64" s="7">
        <v>1.3944430000000001</v>
      </c>
      <c r="CY64" s="7">
        <v>1.8524389159947183</v>
      </c>
      <c r="CZ64" s="6"/>
      <c r="DA64" s="7"/>
      <c r="DB64" s="7"/>
      <c r="DC64" s="7"/>
      <c r="DD64" s="7"/>
      <c r="DE64" s="7"/>
      <c r="DF64" s="7"/>
      <c r="DI64" s="33"/>
      <c r="DJ64" s="11"/>
    </row>
    <row r="65" spans="1:114" customFormat="1" x14ac:dyDescent="0.3">
      <c r="A65" s="5">
        <v>2010</v>
      </c>
      <c r="B65" s="3">
        <v>309839</v>
      </c>
      <c r="C65" s="3">
        <v>15048971</v>
      </c>
      <c r="D65" s="12">
        <v>7.6855193464404303</v>
      </c>
      <c r="E65" s="2">
        <v>7.84442591301696</v>
      </c>
      <c r="F65" s="3">
        <v>10260256</v>
      </c>
      <c r="G65" s="3">
        <v>2165473</v>
      </c>
      <c r="H65" s="3">
        <v>2511047</v>
      </c>
      <c r="I65" s="3">
        <v>644504</v>
      </c>
      <c r="J65" s="3">
        <v>-532309</v>
      </c>
      <c r="K65" s="3">
        <f t="shared" si="4"/>
        <v>15048961.120000001</v>
      </c>
      <c r="L65" s="3">
        <f t="shared" si="5"/>
        <v>3045253</v>
      </c>
      <c r="M65" s="3">
        <f t="shared" si="6"/>
        <v>12003708.120000001</v>
      </c>
      <c r="N65" s="10">
        <v>8.3588285446166992</v>
      </c>
      <c r="O65" s="10">
        <v>5.7139382362365723</v>
      </c>
      <c r="P65" s="10">
        <v>9.9768390655517578</v>
      </c>
      <c r="Q65" s="9">
        <v>1310087.8799999999</v>
      </c>
      <c r="R65" s="9">
        <v>1735165.12</v>
      </c>
      <c r="S65" s="9">
        <v>1445970.12</v>
      </c>
      <c r="T65" s="9">
        <v>10557738</v>
      </c>
      <c r="U65" s="3">
        <v>7872716</v>
      </c>
      <c r="V65" s="3">
        <v>1529352.5</v>
      </c>
      <c r="W65" s="3">
        <v>6343363.5</v>
      </c>
      <c r="X65" s="2">
        <v>0.5474889874458313</v>
      </c>
      <c r="Y65" s="2">
        <v>7.1595339775085449</v>
      </c>
      <c r="Z65" s="2">
        <v>5.348121166229248</v>
      </c>
      <c r="AA65" s="2">
        <v>8.0758533477783203</v>
      </c>
      <c r="AB65" s="2">
        <v>12.158876419067383</v>
      </c>
      <c r="AC65" s="2">
        <v>8.3235874176025391</v>
      </c>
      <c r="AD65" s="2">
        <v>13.696765899658203</v>
      </c>
      <c r="AE65" s="2">
        <v>2.4317371845245361</v>
      </c>
      <c r="AF65" s="2">
        <v>1.2237251996994019</v>
      </c>
      <c r="AG65" s="2">
        <v>3.3982329368591309</v>
      </c>
      <c r="AH65" s="2">
        <v>0.50327014923095703</v>
      </c>
      <c r="AI65" s="2">
        <v>0.55927431583404541</v>
      </c>
      <c r="AJ65" s="3">
        <f t="shared" si="7"/>
        <v>12292911</v>
      </c>
      <c r="AK65" s="3">
        <v>2697618</v>
      </c>
      <c r="AL65" s="3">
        <v>9595293</v>
      </c>
      <c r="AM65" s="2">
        <v>7.1384419589309003</v>
      </c>
      <c r="AN65" s="2">
        <v>8.3494811472092199</v>
      </c>
      <c r="AO65" s="2">
        <v>6.4642783599050198</v>
      </c>
      <c r="AP65" s="2">
        <v>3.8284760517802501</v>
      </c>
      <c r="AQ65" s="2">
        <v>7.6815057580833903</v>
      </c>
      <c r="AR65" s="2">
        <v>12.845046117044101</v>
      </c>
      <c r="AS65" s="3">
        <v>2756059</v>
      </c>
      <c r="AT65" s="10">
        <v>10.0796213808463</v>
      </c>
      <c r="AU65" s="10">
        <v>6.3049973934837604</v>
      </c>
      <c r="AV65" s="6"/>
      <c r="AW65" s="7">
        <f t="shared" si="8"/>
        <v>0.47534844332013326</v>
      </c>
      <c r="AX65" s="7">
        <f t="shared" si="9"/>
        <v>0.52465155667986674</v>
      </c>
      <c r="AY65" s="7">
        <f t="shared" si="10"/>
        <v>0.14115177701001844</v>
      </c>
      <c r="AZ65" s="7">
        <f t="shared" si="11"/>
        <v>0.85884822298998154</v>
      </c>
      <c r="BA65" s="7">
        <v>38.25967</v>
      </c>
      <c r="BB65" s="7">
        <v>0.51239279999999998</v>
      </c>
      <c r="BC65" s="7">
        <v>0.48760720000000002</v>
      </c>
      <c r="BD65" s="7">
        <v>0.64724230000000005</v>
      </c>
      <c r="BE65" s="7">
        <v>0</v>
      </c>
      <c r="BF65" s="7">
        <v>8.1805269999999997</v>
      </c>
      <c r="BG65" s="7">
        <v>8.1805269999999997</v>
      </c>
      <c r="BH65" s="7">
        <v>1</v>
      </c>
      <c r="BI65" s="7">
        <v>0.83056479999999999</v>
      </c>
      <c r="BJ65" s="7">
        <v>0.19045709999999999</v>
      </c>
      <c r="BK65" s="7">
        <v>0.80954289999999995</v>
      </c>
      <c r="BL65" s="7">
        <v>0.29117480000000001</v>
      </c>
      <c r="BM65" s="7">
        <v>3.9300000000000004E-15</v>
      </c>
      <c r="BN65" s="7">
        <v>6.759093</v>
      </c>
      <c r="BO65" s="7">
        <v>6.759093</v>
      </c>
      <c r="BP65" s="7">
        <v>0.99999990000000005</v>
      </c>
      <c r="BQ65" s="7">
        <v>0.44890160000000001</v>
      </c>
      <c r="BR65" s="7">
        <v>0.14250360000000001</v>
      </c>
      <c r="BS65" s="7">
        <v>0.85749640000000005</v>
      </c>
      <c r="BT65" s="7">
        <v>0.55497370000000001</v>
      </c>
      <c r="BU65" s="7">
        <v>0.69686530000000002</v>
      </c>
      <c r="BV65" s="7">
        <v>0.44306980000000001</v>
      </c>
      <c r="BW65" s="7">
        <v>3.9947499999999998</v>
      </c>
      <c r="BX65" s="7">
        <v>8.0376779999999997</v>
      </c>
      <c r="BY65" s="7">
        <v>2.01206</v>
      </c>
      <c r="BZ65" s="7">
        <v>0</v>
      </c>
      <c r="CA65" s="7">
        <v>0.48056490000000002</v>
      </c>
      <c r="CB65" s="7">
        <v>0.51943510000000004</v>
      </c>
      <c r="CC65" s="7">
        <v>0.1398411</v>
      </c>
      <c r="CD65" s="7">
        <v>0.86015889999999995</v>
      </c>
      <c r="CE65" s="7">
        <v>8.3214760000000005</v>
      </c>
      <c r="CF65" s="7">
        <v>9.2139810000000004</v>
      </c>
      <c r="CG65" s="7">
        <v>4.0946449999999999</v>
      </c>
      <c r="CH65" s="7">
        <v>7.9086869999999996</v>
      </c>
      <c r="CI65" s="7">
        <v>1.7460530000000001</v>
      </c>
      <c r="CJ65" s="7">
        <v>1.582017</v>
      </c>
      <c r="CK65" s="7">
        <v>0.90605340000000001</v>
      </c>
      <c r="CL65" s="7">
        <v>1.323866</v>
      </c>
      <c r="CM65" s="7">
        <v>0.56350199999999995</v>
      </c>
      <c r="CN65" s="7">
        <v>0.60514999999999997</v>
      </c>
      <c r="CO65" s="7">
        <v>0.53786230000000002</v>
      </c>
      <c r="CP65" s="7">
        <v>2.1228E-2</v>
      </c>
      <c r="CQ65" s="7">
        <v>3.2105799999999997E-2</v>
      </c>
      <c r="CR65" s="7">
        <v>1.8421099999999999E-2</v>
      </c>
      <c r="CS65" s="7">
        <v>1.4583649999999999</v>
      </c>
      <c r="CT65" s="7">
        <v>1.8903021236011681</v>
      </c>
      <c r="CU65" s="7">
        <v>1.2921042755549561</v>
      </c>
      <c r="CV65" s="7">
        <v>1.145251</v>
      </c>
      <c r="CW65" s="7">
        <v>1.8630089999999999</v>
      </c>
      <c r="CX65" s="7">
        <v>1.424658</v>
      </c>
      <c r="CY65" s="7">
        <v>1.9431137220755132</v>
      </c>
      <c r="CZ65" s="6"/>
      <c r="DA65" s="7"/>
      <c r="DB65" s="7"/>
      <c r="DC65" s="7"/>
      <c r="DD65" s="7"/>
      <c r="DE65" s="7"/>
      <c r="DF65" s="7"/>
      <c r="DI65" s="33"/>
      <c r="DJ65" s="11"/>
    </row>
    <row r="66" spans="1:114" customFormat="1" x14ac:dyDescent="0.3">
      <c r="A66" s="5">
        <v>2011</v>
      </c>
      <c r="B66" s="3">
        <v>312295</v>
      </c>
      <c r="C66" s="3">
        <v>15599732</v>
      </c>
      <c r="D66" s="12">
        <v>7.8057276236646</v>
      </c>
      <c r="E66" s="2">
        <v>8.0062901513444498</v>
      </c>
      <c r="F66" s="3">
        <v>10698857</v>
      </c>
      <c r="G66" s="3">
        <v>2332562</v>
      </c>
      <c r="H66" s="3">
        <v>2511311</v>
      </c>
      <c r="I66" s="3">
        <v>636618</v>
      </c>
      <c r="J66" s="3">
        <v>-579617</v>
      </c>
      <c r="K66" s="3">
        <f t="shared" si="4"/>
        <v>15599742.620000001</v>
      </c>
      <c r="L66" s="3">
        <f t="shared" si="5"/>
        <v>3214644</v>
      </c>
      <c r="M66" s="3">
        <f t="shared" si="6"/>
        <v>12385098.620000001</v>
      </c>
      <c r="N66" s="10">
        <v>8.5303897857666016</v>
      </c>
      <c r="O66" s="10">
        <v>6.0097932815551758</v>
      </c>
      <c r="P66" s="10">
        <v>10.098367691040039</v>
      </c>
      <c r="Q66" s="9">
        <v>1387022.25</v>
      </c>
      <c r="R66" s="9">
        <v>1827621.75</v>
      </c>
      <c r="S66" s="9">
        <v>1535900.62</v>
      </c>
      <c r="T66" s="9">
        <v>10849198</v>
      </c>
      <c r="U66" s="3">
        <v>8269258</v>
      </c>
      <c r="V66" s="3">
        <v>1583466.875</v>
      </c>
      <c r="W66" s="3">
        <v>6685791</v>
      </c>
      <c r="X66" s="2">
        <v>0.54236811399459839</v>
      </c>
      <c r="Y66" s="2">
        <v>7.2737507820129395</v>
      </c>
      <c r="Z66" s="2">
        <v>5.3872261047363281</v>
      </c>
      <c r="AA66" s="2">
        <v>8.2237834930419922</v>
      </c>
      <c r="AB66" s="2">
        <v>12.277114868164063</v>
      </c>
      <c r="AC66" s="2">
        <v>8.4123077392578125</v>
      </c>
      <c r="AD66" s="2">
        <v>13.825942039489746</v>
      </c>
      <c r="AE66" s="2">
        <v>2.4856657981872559</v>
      </c>
      <c r="AF66" s="2">
        <v>1.2480484247207642</v>
      </c>
      <c r="AG66" s="2">
        <v>3.4754660129547119</v>
      </c>
      <c r="AH66" s="2">
        <v>0.48902973532676697</v>
      </c>
      <c r="AI66" s="2">
        <v>0.55691879987716675</v>
      </c>
      <c r="AJ66" s="3">
        <f t="shared" si="7"/>
        <v>12676813</v>
      </c>
      <c r="AK66" s="3">
        <v>2801707</v>
      </c>
      <c r="AL66" s="3">
        <v>9875106</v>
      </c>
      <c r="AM66" s="2">
        <v>7.2012897754124303</v>
      </c>
      <c r="AN66" s="2">
        <v>8.5350868635962591</v>
      </c>
      <c r="AO66" s="2">
        <v>6.6104866668410702</v>
      </c>
      <c r="AP66" s="2">
        <v>3.88825567932725</v>
      </c>
      <c r="AQ66" s="2">
        <v>7.72589641175907</v>
      </c>
      <c r="AR66" s="2">
        <v>13.143670787031301</v>
      </c>
      <c r="AS66" s="3">
        <v>2922919</v>
      </c>
      <c r="AT66" s="10">
        <v>10.545935412026701</v>
      </c>
      <c r="AU66" s="10">
        <v>6.3910511467576496</v>
      </c>
      <c r="AV66" s="6"/>
      <c r="AW66" s="7">
        <f t="shared" ref="AW66:AW73" si="12">Q66/(Q66+S66)</f>
        <v>0.47453262083511633</v>
      </c>
      <c r="AX66" s="7">
        <f t="shared" ref="AX66:AX78" si="13">S66/(S66+Q66)</f>
        <v>0.52546737916488373</v>
      </c>
      <c r="AY66" s="7">
        <f t="shared" ref="AY66:AY73" si="14">R66/(R66+T66)</f>
        <v>0.14417036654638873</v>
      </c>
      <c r="AZ66" s="7">
        <f t="shared" ref="AZ66:AZ73" si="15">T66/(T66+R66)</f>
        <v>0.85582963345361129</v>
      </c>
      <c r="BA66" s="7">
        <v>39.146369999999997</v>
      </c>
      <c r="BB66" s="7">
        <v>0.52197479999999996</v>
      </c>
      <c r="BC66" s="7">
        <v>0.47802519999999998</v>
      </c>
      <c r="BD66" s="7">
        <v>0.64724230000000005</v>
      </c>
      <c r="BE66" s="7">
        <v>0</v>
      </c>
      <c r="BF66" s="7">
        <v>8.1711449999999992</v>
      </c>
      <c r="BG66" s="7">
        <v>8.1711460000000002</v>
      </c>
      <c r="BH66" s="7">
        <v>1</v>
      </c>
      <c r="BI66" s="7">
        <v>0.83056479999999999</v>
      </c>
      <c r="BJ66" s="7">
        <v>0.19644420000000001</v>
      </c>
      <c r="BK66" s="7">
        <v>0.80355580000000004</v>
      </c>
      <c r="BL66" s="7">
        <v>0.29117480000000001</v>
      </c>
      <c r="BM66" s="7">
        <v>3.9300000000000004E-15</v>
      </c>
      <c r="BN66" s="7">
        <v>6.8357409999999996</v>
      </c>
      <c r="BO66" s="7">
        <v>6.8357409999999996</v>
      </c>
      <c r="BP66" s="7">
        <v>1</v>
      </c>
      <c r="BQ66" s="7">
        <v>0.44890160000000001</v>
      </c>
      <c r="BR66" s="7">
        <v>0.1454908</v>
      </c>
      <c r="BS66" s="7">
        <v>0.85450919999999997</v>
      </c>
      <c r="BT66" s="7">
        <v>0.55497370000000001</v>
      </c>
      <c r="BU66" s="7">
        <v>0.69686530000000002</v>
      </c>
      <c r="BV66" s="7">
        <v>0.44306980000000001</v>
      </c>
      <c r="BW66" s="7">
        <v>3.9990299999999999</v>
      </c>
      <c r="BX66" s="7">
        <v>8.1608610000000006</v>
      </c>
      <c r="BY66" s="7">
        <v>2.0407099999999998</v>
      </c>
      <c r="BZ66" s="7">
        <v>0</v>
      </c>
      <c r="CA66" s="7">
        <v>0.47751310000000002</v>
      </c>
      <c r="CB66" s="7">
        <v>0.52248689999999998</v>
      </c>
      <c r="CC66" s="7">
        <v>0.14313090000000001</v>
      </c>
      <c r="CD66" s="7">
        <v>0.85686910000000005</v>
      </c>
      <c r="CE66" s="7">
        <v>8.3606859999999994</v>
      </c>
      <c r="CF66" s="7">
        <v>9.6860239999999997</v>
      </c>
      <c r="CG66" s="7">
        <v>4.0920259999999997</v>
      </c>
      <c r="CH66" s="7">
        <v>8.0323849999999997</v>
      </c>
      <c r="CI66" s="7">
        <v>1.6803189999999999</v>
      </c>
      <c r="CJ66" s="7">
        <v>1.5789759999999999</v>
      </c>
      <c r="CK66" s="7">
        <v>0.93968859999999999</v>
      </c>
      <c r="CL66" s="7">
        <v>1.334527</v>
      </c>
      <c r="CM66" s="7">
        <v>0.56350199999999995</v>
      </c>
      <c r="CN66" s="7">
        <v>0.60514999999999997</v>
      </c>
      <c r="CO66" s="7">
        <v>0.53786230000000002</v>
      </c>
      <c r="CP66" s="7">
        <v>-7.5719999999999997E-4</v>
      </c>
      <c r="CQ66" s="7">
        <v>-8.4332000000000001E-3</v>
      </c>
      <c r="CR66" s="7">
        <v>1.3909E-3</v>
      </c>
      <c r="CS66" s="7">
        <v>1.4572609999999999</v>
      </c>
      <c r="CT66" s="7">
        <v>1.8744390397414965</v>
      </c>
      <c r="CU66" s="7">
        <v>1.293913790996124</v>
      </c>
      <c r="CV66" s="7">
        <v>1.164188</v>
      </c>
      <c r="CW66" s="7">
        <v>1.8860920000000001</v>
      </c>
      <c r="CX66" s="7">
        <v>1.4235599999999999</v>
      </c>
      <c r="CY66" s="7">
        <v>1.9544416935018152</v>
      </c>
      <c r="CZ66" s="6"/>
      <c r="DA66" s="7"/>
      <c r="DB66" s="7"/>
      <c r="DC66" s="7"/>
      <c r="DD66" s="7"/>
      <c r="DE66" s="7"/>
      <c r="DF66" s="7"/>
      <c r="DI66" s="33"/>
      <c r="DJ66" s="11"/>
    </row>
    <row r="67" spans="1:114" customFormat="1" x14ac:dyDescent="0.3">
      <c r="A67" s="5">
        <v>2012</v>
      </c>
      <c r="B67" s="3">
        <v>314725</v>
      </c>
      <c r="C67" s="3">
        <v>16253970</v>
      </c>
      <c r="D67" s="12">
        <v>7.9844689828530404</v>
      </c>
      <c r="E67" s="2">
        <v>8.1553198038838506</v>
      </c>
      <c r="F67" s="3">
        <v>11047363</v>
      </c>
      <c r="G67" s="3">
        <v>2621754</v>
      </c>
      <c r="H67" s="3">
        <v>2515439</v>
      </c>
      <c r="I67" s="3">
        <v>621031</v>
      </c>
      <c r="J67" s="3">
        <v>-551617</v>
      </c>
      <c r="K67" s="3">
        <f t="shared" ref="K67:K72" si="16">L67+M67</f>
        <v>16253952.25</v>
      </c>
      <c r="L67" s="3">
        <f t="shared" ref="L67:L78" si="17">+Q67+R67</f>
        <v>3296883</v>
      </c>
      <c r="M67" s="3">
        <f t="shared" ref="M67:M78" si="18">+S67+T67</f>
        <v>12957069.25</v>
      </c>
      <c r="N67" s="10">
        <v>8.7006368637084961</v>
      </c>
      <c r="O67" s="10">
        <v>6.1097354888916016</v>
      </c>
      <c r="P67" s="10">
        <v>10.309144020080566</v>
      </c>
      <c r="Q67" s="9">
        <v>1488078.75</v>
      </c>
      <c r="R67" s="9">
        <v>1808804.25</v>
      </c>
      <c r="S67" s="9">
        <v>1683496.25</v>
      </c>
      <c r="T67" s="9">
        <v>11273573</v>
      </c>
      <c r="U67" s="3">
        <v>8658893</v>
      </c>
      <c r="V67" s="3">
        <v>1640924.125</v>
      </c>
      <c r="W67" s="3">
        <v>7017969</v>
      </c>
      <c r="X67" s="2">
        <v>0.54756641387939453</v>
      </c>
      <c r="Y67" s="2">
        <v>7.421938419342041</v>
      </c>
      <c r="Z67" s="2">
        <v>5.4642338752746582</v>
      </c>
      <c r="AA67" s="2">
        <v>8.4050893783569336</v>
      </c>
      <c r="AB67" s="2">
        <v>12.420253753662109</v>
      </c>
      <c r="AC67" s="2">
        <v>8.5398530960083008</v>
      </c>
      <c r="AD67" s="2">
        <v>13.971443176269531</v>
      </c>
      <c r="AE67" s="2">
        <v>2.5379433631896973</v>
      </c>
      <c r="AF67" s="2">
        <v>1.2823357582092285</v>
      </c>
      <c r="AG67" s="2">
        <v>3.5433132648468018</v>
      </c>
      <c r="AH67" s="2">
        <v>0.48460835218429565</v>
      </c>
      <c r="AI67" s="2">
        <v>0.5648341178894043</v>
      </c>
      <c r="AJ67" s="3">
        <f t="shared" ref="AJ67:AJ72" si="19">AK67+AL67</f>
        <v>13082397</v>
      </c>
      <c r="AK67" s="3">
        <v>2945283</v>
      </c>
      <c r="AL67" s="3">
        <v>10137114</v>
      </c>
      <c r="AM67" s="2">
        <v>7.2896291330792096</v>
      </c>
      <c r="AN67" s="2">
        <v>8.7014181405279594</v>
      </c>
      <c r="AO67" s="2">
        <v>6.7875734081331203</v>
      </c>
      <c r="AP67" s="2">
        <v>3.9808702670815199</v>
      </c>
      <c r="AQ67" s="2">
        <v>7.7688873975099204</v>
      </c>
      <c r="AR67" s="2">
        <v>13.417737497815301</v>
      </c>
      <c r="AS67" s="3">
        <v>3171573</v>
      </c>
      <c r="AT67" s="10">
        <v>11.2747772828507</v>
      </c>
      <c r="AU67" s="10">
        <v>6.4864542642010399</v>
      </c>
      <c r="AV67" s="6"/>
      <c r="AW67" s="7">
        <f t="shared" si="12"/>
        <v>0.46919235710963797</v>
      </c>
      <c r="AX67" s="7">
        <f t="shared" si="13"/>
        <v>0.53080764289036209</v>
      </c>
      <c r="AY67" s="7">
        <f t="shared" si="14"/>
        <v>0.13826265788199923</v>
      </c>
      <c r="AZ67" s="7">
        <f t="shared" si="15"/>
        <v>0.86173734211800079</v>
      </c>
      <c r="BA67" s="7">
        <v>40.014789999999998</v>
      </c>
      <c r="BB67" s="7">
        <v>0.52093560000000005</v>
      </c>
      <c r="BC67" s="7">
        <v>0.4790644</v>
      </c>
      <c r="BD67" s="7">
        <v>0.64724230000000005</v>
      </c>
      <c r="BE67" s="7">
        <v>0</v>
      </c>
      <c r="BF67" s="7">
        <v>8.2632290000000008</v>
      </c>
      <c r="BG67" s="7">
        <v>8.2632300000000001</v>
      </c>
      <c r="BH67" s="7">
        <v>1</v>
      </c>
      <c r="BI67" s="7">
        <v>0.83056479999999999</v>
      </c>
      <c r="BJ67" s="7">
        <v>0.19578760000000001</v>
      </c>
      <c r="BK67" s="7">
        <v>0.80421240000000005</v>
      </c>
      <c r="BL67" s="7">
        <v>0.29117480000000001</v>
      </c>
      <c r="BM67" s="7">
        <v>3.9300000000000004E-15</v>
      </c>
      <c r="BN67" s="7">
        <v>6.903416</v>
      </c>
      <c r="BO67" s="7">
        <v>6.9034170000000001</v>
      </c>
      <c r="BP67" s="7">
        <v>1</v>
      </c>
      <c r="BQ67" s="7">
        <v>0.44890160000000001</v>
      </c>
      <c r="BR67" s="7">
        <v>0.14496590000000001</v>
      </c>
      <c r="BS67" s="7">
        <v>0.85503410000000002</v>
      </c>
      <c r="BT67" s="7">
        <v>0.55497370000000001</v>
      </c>
      <c r="BU67" s="7">
        <v>0.69686530000000002</v>
      </c>
      <c r="BV67" s="7">
        <v>0.44306980000000001</v>
      </c>
      <c r="BW67" s="7">
        <v>4.0375439999999996</v>
      </c>
      <c r="BX67" s="7">
        <v>8.239986</v>
      </c>
      <c r="BY67" s="7">
        <v>2.0408409999999999</v>
      </c>
      <c r="BZ67" s="7">
        <v>0</v>
      </c>
      <c r="CA67" s="7">
        <v>0.47444969999999997</v>
      </c>
      <c r="CB67" s="7">
        <v>0.52555019999999997</v>
      </c>
      <c r="CC67" s="7">
        <v>0.1413702</v>
      </c>
      <c r="CD67" s="7">
        <v>0.8586298</v>
      </c>
      <c r="CE67" s="7">
        <v>8.8410030000000006</v>
      </c>
      <c r="CF67" s="7">
        <v>10.38186</v>
      </c>
      <c r="CG67" s="7">
        <v>3.9671650000000001</v>
      </c>
      <c r="CH67" s="7">
        <v>8.1644590000000008</v>
      </c>
      <c r="CI67" s="7">
        <v>1.6873309999999999</v>
      </c>
      <c r="CJ67" s="7">
        <v>1.5876079999999999</v>
      </c>
      <c r="CK67" s="7">
        <v>0.94089909999999999</v>
      </c>
      <c r="CL67" s="7">
        <v>1.3400259999999999</v>
      </c>
      <c r="CM67" s="7">
        <v>0.56350199999999995</v>
      </c>
      <c r="CN67" s="7">
        <v>0.60514999999999997</v>
      </c>
      <c r="CO67" s="7">
        <v>0.53786230000000002</v>
      </c>
      <c r="CP67" s="7">
        <v>3.3800000000000002E-3</v>
      </c>
      <c r="CQ67" s="7">
        <v>-7.6471999999999998E-3</v>
      </c>
      <c r="CR67" s="7">
        <v>6.3429000000000003E-3</v>
      </c>
      <c r="CS67" s="7">
        <v>1.4621949999999999</v>
      </c>
      <c r="CT67" s="7">
        <v>1.8601741789695789</v>
      </c>
      <c r="CU67" s="7">
        <v>1.3021545543301662</v>
      </c>
      <c r="CV67" s="7">
        <v>1.168242</v>
      </c>
      <c r="CW67" s="7">
        <v>1.8898269999999999</v>
      </c>
      <c r="CX67" s="7">
        <v>1.4281740000000001</v>
      </c>
      <c r="CY67" s="7">
        <v>1.9730624350567294</v>
      </c>
      <c r="CZ67" s="6"/>
      <c r="DA67" s="7"/>
      <c r="DB67" s="7"/>
      <c r="DC67" s="7"/>
      <c r="DD67" s="7"/>
      <c r="DE67" s="7"/>
      <c r="DF67" s="7"/>
      <c r="DI67" s="33"/>
      <c r="DJ67" s="11"/>
    </row>
    <row r="68" spans="1:114" customFormat="1" x14ac:dyDescent="0.3">
      <c r="A68" s="5">
        <v>2013</v>
      </c>
      <c r="B68" s="3">
        <v>317099</v>
      </c>
      <c r="C68" s="3">
        <v>16880683</v>
      </c>
      <c r="D68" s="12">
        <v>8.1535146781578192</v>
      </c>
      <c r="E68" s="2">
        <v>8.2941662751520795</v>
      </c>
      <c r="F68" s="3">
        <v>11388233</v>
      </c>
      <c r="G68" s="3">
        <v>2838327</v>
      </c>
      <c r="H68" s="3">
        <v>2530745</v>
      </c>
      <c r="I68" s="3">
        <v>601832</v>
      </c>
      <c r="J68" s="3">
        <v>-478453</v>
      </c>
      <c r="K68" s="3">
        <f t="shared" si="16"/>
        <v>16880700.75</v>
      </c>
      <c r="L68" s="3">
        <f t="shared" si="17"/>
        <v>3456902</v>
      </c>
      <c r="M68" s="3">
        <f t="shared" si="18"/>
        <v>13423798.75</v>
      </c>
      <c r="N68" s="10">
        <v>8.8285646438598633</v>
      </c>
      <c r="O68" s="10">
        <v>6.2108445167541504</v>
      </c>
      <c r="P68" s="10">
        <v>10.455486297607422</v>
      </c>
      <c r="Q68" s="9">
        <v>1565850.38</v>
      </c>
      <c r="R68" s="9">
        <v>1891051.62</v>
      </c>
      <c r="S68" s="9">
        <v>1768828.75</v>
      </c>
      <c r="T68" s="9">
        <v>11654970</v>
      </c>
      <c r="U68" s="3">
        <v>8849509</v>
      </c>
      <c r="V68" s="3">
        <v>1676683.875</v>
      </c>
      <c r="W68" s="3">
        <v>7172825</v>
      </c>
      <c r="X68" s="2">
        <v>0.54640346765518188</v>
      </c>
      <c r="Y68" s="2">
        <v>7.5534296035766602</v>
      </c>
      <c r="Z68" s="2">
        <v>5.6457748413085938</v>
      </c>
      <c r="AA68" s="2">
        <v>8.5184164047241211</v>
      </c>
      <c r="AB68" s="2">
        <v>12.610139846801758</v>
      </c>
      <c r="AC68" s="2">
        <v>8.7107734680175781</v>
      </c>
      <c r="AD68" s="2">
        <v>14.163325309753418</v>
      </c>
      <c r="AE68" s="2">
        <v>2.5907659530639648</v>
      </c>
      <c r="AF68" s="2">
        <v>1.3157345056533813</v>
      </c>
      <c r="AG68" s="2">
        <v>3.6127400398254395</v>
      </c>
      <c r="AH68" s="2">
        <v>0.47921136021614075</v>
      </c>
      <c r="AI68" s="2">
        <v>0.56493610143661499</v>
      </c>
      <c r="AJ68" s="3">
        <f t="shared" si="19"/>
        <v>13546002</v>
      </c>
      <c r="AK68" s="3">
        <v>3117635</v>
      </c>
      <c r="AL68" s="3">
        <v>10428367</v>
      </c>
      <c r="AM68" s="2">
        <v>7.4094573383953799</v>
      </c>
      <c r="AN68" s="2">
        <v>8.8640633240466595</v>
      </c>
      <c r="AO68" s="2">
        <v>7.07880883661604</v>
      </c>
      <c r="AP68" s="2">
        <v>4.0404581933029897</v>
      </c>
      <c r="AQ68" s="2">
        <v>7.8103493792437098</v>
      </c>
      <c r="AR68" s="2">
        <v>13.729971399896201</v>
      </c>
      <c r="AS68" s="3">
        <v>3334682</v>
      </c>
      <c r="AT68" s="10">
        <v>11.7345489977728</v>
      </c>
      <c r="AU68" s="10">
        <v>6.5528260979583903</v>
      </c>
      <c r="AV68" s="6"/>
      <c r="AW68" s="7">
        <f t="shared" si="12"/>
        <v>0.46956553208164287</v>
      </c>
      <c r="AX68" s="7">
        <f t="shared" si="13"/>
        <v>0.53043446791835713</v>
      </c>
      <c r="AY68" s="7">
        <f t="shared" si="14"/>
        <v>0.13960199334156975</v>
      </c>
      <c r="AZ68" s="7">
        <f t="shared" si="15"/>
        <v>0.86039800665843014</v>
      </c>
      <c r="BA68" s="7">
        <v>40.865960000000001</v>
      </c>
      <c r="BB68" s="7">
        <v>0.52151400000000003</v>
      </c>
      <c r="BC68" s="7">
        <v>0.47848600000000002</v>
      </c>
      <c r="BD68" s="7">
        <v>0.64724230000000005</v>
      </c>
      <c r="BE68" s="7">
        <v>0</v>
      </c>
      <c r="BF68" s="7">
        <v>8.3735239999999997</v>
      </c>
      <c r="BG68" s="7">
        <v>8.373526</v>
      </c>
      <c r="BH68" s="7">
        <v>1</v>
      </c>
      <c r="BI68" s="7">
        <v>0.83056479999999999</v>
      </c>
      <c r="BJ68" s="7">
        <v>0.19615279999999999</v>
      </c>
      <c r="BK68" s="7">
        <v>0.80384719999999998</v>
      </c>
      <c r="BL68" s="7">
        <v>0.29117480000000001</v>
      </c>
      <c r="BM68" s="7">
        <v>3.9300000000000004E-15</v>
      </c>
      <c r="BN68" s="7">
        <v>7.0008369999999998</v>
      </c>
      <c r="BO68" s="7">
        <v>7.0008369999999998</v>
      </c>
      <c r="BP68" s="7">
        <v>1</v>
      </c>
      <c r="BQ68" s="7">
        <v>0.44890160000000001</v>
      </c>
      <c r="BR68" s="7">
        <v>0.14464109999999999</v>
      </c>
      <c r="BS68" s="7">
        <v>0.85535899999999998</v>
      </c>
      <c r="BT68" s="7">
        <v>0.55497370000000001</v>
      </c>
      <c r="BU68" s="7">
        <v>0.69686530000000002</v>
      </c>
      <c r="BV68" s="7">
        <v>0.44306980000000001</v>
      </c>
      <c r="BW68" s="7">
        <v>4.0777400000000004</v>
      </c>
      <c r="BX68" s="7">
        <v>8.3632410000000004</v>
      </c>
      <c r="BY68" s="7">
        <v>2.0509499999999998</v>
      </c>
      <c r="BZ68" s="7">
        <v>0</v>
      </c>
      <c r="CA68" s="7">
        <v>0.47217969999999998</v>
      </c>
      <c r="CB68" s="7">
        <v>0.52782019999999996</v>
      </c>
      <c r="CC68" s="7">
        <v>0.13967289999999999</v>
      </c>
      <c r="CD68" s="7">
        <v>0.86032710000000001</v>
      </c>
      <c r="CE68" s="7">
        <v>9.1067300000000007</v>
      </c>
      <c r="CF68" s="7">
        <v>10.72437</v>
      </c>
      <c r="CG68" s="7">
        <v>4.0984769999999999</v>
      </c>
      <c r="CH68" s="7">
        <v>8.2560310000000001</v>
      </c>
      <c r="CI68" s="7">
        <v>1.683424</v>
      </c>
      <c r="CJ68" s="7">
        <v>1.5921369999999999</v>
      </c>
      <c r="CK68" s="7">
        <v>0.94577290000000003</v>
      </c>
      <c r="CL68" s="7">
        <v>1.350252</v>
      </c>
      <c r="CM68" s="7">
        <v>0.56350199999999995</v>
      </c>
      <c r="CN68" s="7">
        <v>0.60514999999999997</v>
      </c>
      <c r="CO68" s="7">
        <v>0.53786230000000002</v>
      </c>
      <c r="CP68" s="7">
        <v>-6.6929999999999995E-4</v>
      </c>
      <c r="CQ68" s="7">
        <v>9.5449000000000003E-3</v>
      </c>
      <c r="CR68" s="7">
        <v>-3.4952999999999998E-3</v>
      </c>
      <c r="CS68" s="7">
        <v>1.4612160000000001</v>
      </c>
      <c r="CT68" s="7">
        <v>1.8780215572015073</v>
      </c>
      <c r="CU68" s="7">
        <v>1.2976159826695428</v>
      </c>
      <c r="CV68" s="7">
        <v>1.172857</v>
      </c>
      <c r="CW68" s="7">
        <v>1.904544</v>
      </c>
      <c r="CX68" s="7">
        <v>1.4273199999999999</v>
      </c>
      <c r="CY68" s="7">
        <v>1.9917511479535741</v>
      </c>
      <c r="CZ68" s="6"/>
      <c r="DA68" s="7"/>
      <c r="DB68" s="7"/>
      <c r="DC68" s="7"/>
      <c r="DD68" s="7"/>
      <c r="DE68" s="7"/>
      <c r="DF68" s="7"/>
      <c r="DI68" s="33"/>
      <c r="DJ68" s="11"/>
    </row>
    <row r="69" spans="1:114" customFormat="1" x14ac:dyDescent="0.3">
      <c r="A69" s="5">
        <v>2014</v>
      </c>
      <c r="B69" s="3">
        <v>319601</v>
      </c>
      <c r="C69" s="3">
        <v>17608138</v>
      </c>
      <c r="D69" s="12">
        <v>8.3593679863542505</v>
      </c>
      <c r="E69" s="2">
        <v>8.4385449883163606</v>
      </c>
      <c r="F69" s="3">
        <v>11874450</v>
      </c>
      <c r="G69" s="3">
        <v>3073981</v>
      </c>
      <c r="H69" s="3">
        <v>2562276</v>
      </c>
      <c r="I69" s="3">
        <v>606331</v>
      </c>
      <c r="J69" s="3">
        <v>-508900</v>
      </c>
      <c r="K69" s="3">
        <f t="shared" si="16"/>
        <v>17608127.379999999</v>
      </c>
      <c r="L69" s="3">
        <f t="shared" si="17"/>
        <v>3577616.13</v>
      </c>
      <c r="M69" s="3">
        <f t="shared" si="18"/>
        <v>14030511.25</v>
      </c>
      <c r="N69" s="10">
        <v>9.0037765502929688</v>
      </c>
      <c r="O69" s="10">
        <v>6.3480114936828613</v>
      </c>
      <c r="P69" s="10">
        <v>10.656479835510254</v>
      </c>
      <c r="Q69" s="9">
        <v>1697373.75</v>
      </c>
      <c r="R69" s="9">
        <v>1880242.38</v>
      </c>
      <c r="S69" s="9">
        <v>1898140.25</v>
      </c>
      <c r="T69" s="9">
        <v>12132371</v>
      </c>
      <c r="U69" s="3">
        <v>9245439</v>
      </c>
      <c r="V69" s="3">
        <v>1778240.75</v>
      </c>
      <c r="W69" s="3">
        <v>7467198.5</v>
      </c>
      <c r="X69" s="2">
        <v>0.5442817211151123</v>
      </c>
      <c r="Y69" s="2">
        <v>7.7175102233886719</v>
      </c>
      <c r="Z69" s="2">
        <v>5.7472414970397949</v>
      </c>
      <c r="AA69" s="2">
        <v>8.7123737335205078</v>
      </c>
      <c r="AB69" s="2">
        <v>12.810535430908203</v>
      </c>
      <c r="AC69" s="2">
        <v>8.90216064453125</v>
      </c>
      <c r="AD69" s="2">
        <v>14.359843254089355</v>
      </c>
      <c r="AE69" s="2">
        <v>2.6348671913146973</v>
      </c>
      <c r="AF69" s="2">
        <v>1.345181941986084</v>
      </c>
      <c r="AG69" s="2">
        <v>3.6696851253509521</v>
      </c>
      <c r="AH69" s="2">
        <v>0.47718209028244019</v>
      </c>
      <c r="AI69" s="2">
        <v>0.56296080350875854</v>
      </c>
      <c r="AJ69" s="3">
        <f t="shared" si="19"/>
        <v>14012618</v>
      </c>
      <c r="AK69" s="3">
        <v>3199010</v>
      </c>
      <c r="AL69" s="3">
        <v>10813608</v>
      </c>
      <c r="AM69" s="2">
        <v>7.5350749175695002</v>
      </c>
      <c r="AN69" s="2">
        <v>9.01653945844539</v>
      </c>
      <c r="AO69" s="2">
        <v>7.3270206911504001</v>
      </c>
      <c r="AP69" s="2">
        <v>4.0054721195362104</v>
      </c>
      <c r="AQ69" s="2">
        <v>7.9175979071036897</v>
      </c>
      <c r="AR69" s="2">
        <v>14.0443281097737</v>
      </c>
      <c r="AS69" s="3">
        <v>3595519</v>
      </c>
      <c r="AT69" s="10">
        <v>12.4259465478841</v>
      </c>
      <c r="AU69" s="10">
        <v>6.6722564008273002</v>
      </c>
      <c r="AV69" s="6"/>
      <c r="AW69" s="7">
        <f t="shared" si="12"/>
        <v>0.47208097367998009</v>
      </c>
      <c r="AX69" s="7">
        <f t="shared" si="13"/>
        <v>0.52791902632001986</v>
      </c>
      <c r="AY69" s="7">
        <f t="shared" si="14"/>
        <v>0.13418213498159043</v>
      </c>
      <c r="AZ69" s="7">
        <f t="shared" si="15"/>
        <v>0.86581786501840963</v>
      </c>
      <c r="BA69" s="7">
        <v>41.93177</v>
      </c>
      <c r="BB69" s="7">
        <v>0.5222135</v>
      </c>
      <c r="BC69" s="7">
        <v>0.4777865</v>
      </c>
      <c r="BD69" s="7">
        <v>0.64724230000000005</v>
      </c>
      <c r="BE69" s="7">
        <v>0</v>
      </c>
      <c r="BF69" s="7">
        <v>8.4839509999999994</v>
      </c>
      <c r="BG69" s="7">
        <v>8.4839529999999996</v>
      </c>
      <c r="BH69" s="7">
        <v>1</v>
      </c>
      <c r="BI69" s="7">
        <v>0.83056479999999999</v>
      </c>
      <c r="BJ69" s="7">
        <v>0.1965953</v>
      </c>
      <c r="BK69" s="7">
        <v>0.80340469999999997</v>
      </c>
      <c r="BL69" s="7">
        <v>0.29117480000000001</v>
      </c>
      <c r="BM69" s="7">
        <v>3.9300000000000004E-15</v>
      </c>
      <c r="BN69" s="7">
        <v>7.0996370000000004</v>
      </c>
      <c r="BO69" s="7">
        <v>7.0996370000000004</v>
      </c>
      <c r="BP69" s="7">
        <v>1</v>
      </c>
      <c r="BQ69" s="7">
        <v>0.44890160000000001</v>
      </c>
      <c r="BR69" s="7">
        <v>0.1443856</v>
      </c>
      <c r="BS69" s="7">
        <v>0.8556144</v>
      </c>
      <c r="BT69" s="7">
        <v>0.55497370000000001</v>
      </c>
      <c r="BU69" s="7">
        <v>0.69686530000000002</v>
      </c>
      <c r="BV69" s="7">
        <v>0.44306980000000001</v>
      </c>
      <c r="BW69" s="7">
        <v>4.1186949999999998</v>
      </c>
      <c r="BX69" s="7">
        <v>8.4884730000000008</v>
      </c>
      <c r="BY69" s="7">
        <v>2.060962</v>
      </c>
      <c r="BZ69" s="7">
        <v>0</v>
      </c>
      <c r="CA69" s="7">
        <v>0.47393610000000003</v>
      </c>
      <c r="CB69" s="7">
        <v>0.52606390000000003</v>
      </c>
      <c r="CC69" s="7">
        <v>0.13884959999999999</v>
      </c>
      <c r="CD69" s="7">
        <v>0.86115039999999998</v>
      </c>
      <c r="CE69" s="7">
        <v>9.6298410000000008</v>
      </c>
      <c r="CF69" s="7">
        <v>11.20722</v>
      </c>
      <c r="CG69" s="7">
        <v>4.0147709999999996</v>
      </c>
      <c r="CH69" s="7">
        <v>8.4210229999999999</v>
      </c>
      <c r="CI69" s="7">
        <v>1.678712</v>
      </c>
      <c r="CJ69" s="7">
        <v>1.5907</v>
      </c>
      <c r="CK69" s="7">
        <v>0.94757179999999996</v>
      </c>
      <c r="CL69" s="7">
        <v>1.347858</v>
      </c>
      <c r="CM69" s="7">
        <v>0.56350199999999995</v>
      </c>
      <c r="CN69" s="7">
        <v>0.60514999999999997</v>
      </c>
      <c r="CO69" s="7">
        <v>0.53786230000000002</v>
      </c>
      <c r="CP69" s="7">
        <v>5.0965000000000003E-3</v>
      </c>
      <c r="CQ69" s="7">
        <v>-4.1466999999999997E-3</v>
      </c>
      <c r="CR69" s="7">
        <v>7.6861999999999998E-3</v>
      </c>
      <c r="CS69" s="7">
        <v>1.468683</v>
      </c>
      <c r="CT69" s="7">
        <v>1.8702505485525316</v>
      </c>
      <c r="CU69" s="7">
        <v>1.3076297194393662</v>
      </c>
      <c r="CV69" s="7">
        <v>1.1733560000000001</v>
      </c>
      <c r="CW69" s="7">
        <v>1.9073659999999999</v>
      </c>
      <c r="CX69" s="7">
        <v>1.4345589999999999</v>
      </c>
      <c r="CY69" s="7">
        <v>2.0072171679931232</v>
      </c>
      <c r="CZ69" s="6"/>
      <c r="DA69" s="7"/>
      <c r="DB69" s="7"/>
      <c r="DC69" s="7"/>
      <c r="DD69" s="7"/>
      <c r="DE69" s="7"/>
      <c r="DF69" s="7"/>
      <c r="DI69" s="33"/>
      <c r="DJ69" s="11"/>
    </row>
    <row r="70" spans="1:114" customFormat="1" x14ac:dyDescent="0.3">
      <c r="A70" s="5">
        <v>2015</v>
      </c>
      <c r="B70" s="3">
        <v>322113</v>
      </c>
      <c r="C70" s="3">
        <v>18295019</v>
      </c>
      <c r="D70" s="12">
        <v>8.60553011940031</v>
      </c>
      <c r="E70" s="2">
        <v>8.51692487259667</v>
      </c>
      <c r="F70" s="3">
        <v>12297438</v>
      </c>
      <c r="G70" s="3">
        <v>3288481</v>
      </c>
      <c r="H70" s="3">
        <v>2603988</v>
      </c>
      <c r="I70" s="3">
        <v>629431</v>
      </c>
      <c r="J70" s="3">
        <v>-524320</v>
      </c>
      <c r="K70" s="3">
        <f t="shared" si="16"/>
        <v>18295043.379999999</v>
      </c>
      <c r="L70" s="3">
        <f t="shared" si="17"/>
        <v>3531353</v>
      </c>
      <c r="M70" s="3">
        <f t="shared" si="18"/>
        <v>14763690.379999999</v>
      </c>
      <c r="N70" s="10">
        <v>9.0630388259887695</v>
      </c>
      <c r="O70" s="10">
        <v>6.0438618659973145</v>
      </c>
      <c r="P70" s="10">
        <v>10.888636589050293</v>
      </c>
      <c r="Q70" s="9">
        <v>1749683.62</v>
      </c>
      <c r="R70" s="9">
        <v>1781669.38</v>
      </c>
      <c r="S70" s="9">
        <v>2028109.38</v>
      </c>
      <c r="T70" s="9">
        <v>12735581</v>
      </c>
      <c r="U70" s="3">
        <v>9820352</v>
      </c>
      <c r="V70" s="3">
        <v>1941590.875</v>
      </c>
      <c r="W70" s="3">
        <v>7878761</v>
      </c>
      <c r="X70" s="2">
        <v>0.55202215909957886</v>
      </c>
      <c r="Y70" s="2">
        <v>7.9391217231750488</v>
      </c>
      <c r="Z70" s="2">
        <v>5.942415714263916</v>
      </c>
      <c r="AA70" s="2">
        <v>8.9502849578857422</v>
      </c>
      <c r="AB70" s="2">
        <v>13.100831985473633</v>
      </c>
      <c r="AC70" s="2">
        <v>9.0904836654663086</v>
      </c>
      <c r="AD70" s="2">
        <v>14.691830635070801</v>
      </c>
      <c r="AE70" s="2">
        <v>2.6970009803771973</v>
      </c>
      <c r="AF70" s="2">
        <v>1.3658593893051147</v>
      </c>
      <c r="AG70" s="2">
        <v>3.763556957244873</v>
      </c>
      <c r="AH70" s="2">
        <v>0.50804018974304199</v>
      </c>
      <c r="AI70" s="2">
        <v>0.56403976678848267</v>
      </c>
      <c r="AJ70" s="3">
        <f t="shared" si="19"/>
        <v>14517229</v>
      </c>
      <c r="AK70" s="3">
        <v>3302348</v>
      </c>
      <c r="AL70" s="3">
        <v>11214881</v>
      </c>
      <c r="AM70" s="2">
        <v>7.7288517599831001</v>
      </c>
      <c r="AN70" s="2">
        <v>9.1070327526228194</v>
      </c>
      <c r="AO70" s="2">
        <v>7.4523986705335101</v>
      </c>
      <c r="AP70" s="2">
        <v>4.0652971060369101</v>
      </c>
      <c r="AQ70" s="2">
        <v>8.1034405302801193</v>
      </c>
      <c r="AR70" s="2">
        <v>14.2314453005669</v>
      </c>
      <c r="AS70" s="3">
        <v>3777790</v>
      </c>
      <c r="AT70" s="10">
        <v>12.9728563474387</v>
      </c>
      <c r="AU70" s="10">
        <v>6.7149506249711797</v>
      </c>
      <c r="AV70" s="6"/>
      <c r="AW70" s="7">
        <f t="shared" si="12"/>
        <v>0.46314968024981784</v>
      </c>
      <c r="AX70" s="7">
        <f t="shared" si="13"/>
        <v>0.53685031975018216</v>
      </c>
      <c r="AY70" s="7">
        <f t="shared" si="14"/>
        <v>0.12272774343373968</v>
      </c>
      <c r="AZ70" s="7">
        <f t="shared" si="15"/>
        <v>0.8772722565662604</v>
      </c>
      <c r="BA70" s="7">
        <v>42.973999999999997</v>
      </c>
      <c r="BB70" s="7">
        <v>0.5065501</v>
      </c>
      <c r="BC70" s="7">
        <v>0.4934499</v>
      </c>
      <c r="BD70" s="7">
        <v>0.64724230000000005</v>
      </c>
      <c r="BE70" s="7">
        <v>0</v>
      </c>
      <c r="BF70" s="7">
        <v>8.8543210000000006</v>
      </c>
      <c r="BG70" s="7">
        <v>8.8543210000000006</v>
      </c>
      <c r="BH70" s="7">
        <v>1</v>
      </c>
      <c r="BI70" s="7">
        <v>0.83056479999999999</v>
      </c>
      <c r="BJ70" s="7">
        <v>0.1868784</v>
      </c>
      <c r="BK70" s="7">
        <v>0.8131216</v>
      </c>
      <c r="BL70" s="7">
        <v>0.29117480000000001</v>
      </c>
      <c r="BM70" s="7">
        <v>3.9300000000000004E-15</v>
      </c>
      <c r="BN70" s="7">
        <v>7.261145</v>
      </c>
      <c r="BO70" s="7">
        <v>7.261145</v>
      </c>
      <c r="BP70" s="7">
        <v>1</v>
      </c>
      <c r="BQ70" s="7">
        <v>0.44890160000000001</v>
      </c>
      <c r="BR70" s="7">
        <v>0.1380092</v>
      </c>
      <c r="BS70" s="7">
        <v>0.86199079999999995</v>
      </c>
      <c r="BT70" s="7">
        <v>0.55497370000000001</v>
      </c>
      <c r="BU70" s="7">
        <v>0.69686530000000002</v>
      </c>
      <c r="BV70" s="7">
        <v>0.44306980000000001</v>
      </c>
      <c r="BW70" s="7">
        <v>4.2357120000000004</v>
      </c>
      <c r="BX70" s="7">
        <v>8.6417549999999999</v>
      </c>
      <c r="BY70" s="7">
        <v>2.0402130000000001</v>
      </c>
      <c r="BZ70" s="7">
        <v>0</v>
      </c>
      <c r="CA70" s="7">
        <v>0.47257470000000001</v>
      </c>
      <c r="CB70" s="7">
        <v>0.52742529999999999</v>
      </c>
      <c r="CC70" s="7">
        <v>0.13098270000000001</v>
      </c>
      <c r="CD70" s="7">
        <v>0.86901729999999999</v>
      </c>
      <c r="CE70" s="7">
        <v>10.34163</v>
      </c>
      <c r="CF70" s="7">
        <v>11.59652</v>
      </c>
      <c r="CG70" s="7">
        <v>3.9642940000000002</v>
      </c>
      <c r="CH70" s="7">
        <v>8.6204129999999992</v>
      </c>
      <c r="CI70" s="7">
        <v>1.7873559999999999</v>
      </c>
      <c r="CJ70" s="7">
        <v>1.6127880000000001</v>
      </c>
      <c r="CK70" s="7">
        <v>0.90233189999999996</v>
      </c>
      <c r="CL70" s="7">
        <v>1.350976</v>
      </c>
      <c r="CM70" s="7">
        <v>0.56350199999999995</v>
      </c>
      <c r="CN70" s="7">
        <v>0.60514999999999997</v>
      </c>
      <c r="CO70" s="7">
        <v>0.53786230000000002</v>
      </c>
      <c r="CP70" s="7">
        <v>-1.9337E-3</v>
      </c>
      <c r="CQ70" s="7">
        <v>1.3876299999999999E-2</v>
      </c>
      <c r="CR70" s="7">
        <v>-6.3994999999999998E-3</v>
      </c>
      <c r="CS70" s="7">
        <v>1.4658450000000001</v>
      </c>
      <c r="CT70" s="7">
        <v>1.8997660703050783</v>
      </c>
      <c r="CU70" s="7">
        <v>1.311208080796745</v>
      </c>
      <c r="CV70" s="7">
        <v>1.154911</v>
      </c>
      <c r="CW70" s="7">
        <v>1.8866830000000001</v>
      </c>
      <c r="CX70" s="7">
        <v>1.431818</v>
      </c>
      <c r="CY70" s="7">
        <v>2.0253169381745719</v>
      </c>
      <c r="CZ70" s="6"/>
      <c r="DA70" s="7"/>
      <c r="DB70" s="7"/>
      <c r="DC70" s="7"/>
      <c r="DD70" s="7"/>
      <c r="DE70" s="7"/>
      <c r="DF70" s="7"/>
      <c r="DI70" s="33"/>
      <c r="DJ70" s="11"/>
    </row>
    <row r="71" spans="1:114" customFormat="1" x14ac:dyDescent="0.3">
      <c r="A71" s="5">
        <v>2016</v>
      </c>
      <c r="B71" s="3">
        <v>324609</v>
      </c>
      <c r="C71" s="3">
        <v>18804913</v>
      </c>
      <c r="D71" s="12">
        <v>8.7620971361881708</v>
      </c>
      <c r="E71" s="2">
        <v>8.5978694315954503</v>
      </c>
      <c r="F71" s="3">
        <v>12726849</v>
      </c>
      <c r="G71" s="3">
        <v>3278305</v>
      </c>
      <c r="H71" s="3">
        <v>2653374</v>
      </c>
      <c r="I71" s="3">
        <v>649657</v>
      </c>
      <c r="J71" s="3">
        <v>-503272</v>
      </c>
      <c r="K71" s="3">
        <f t="shared" si="16"/>
        <v>18804953.25</v>
      </c>
      <c r="L71" s="3">
        <f t="shared" si="17"/>
        <v>3494771</v>
      </c>
      <c r="M71" s="3">
        <f t="shared" si="18"/>
        <v>15310182.25</v>
      </c>
      <c r="N71" s="10">
        <v>9.1655387878417969</v>
      </c>
      <c r="O71" s="10">
        <v>5.9331636428833008</v>
      </c>
      <c r="P71" s="10">
        <v>11.095589637756348</v>
      </c>
      <c r="Q71" s="9">
        <v>1773402.88</v>
      </c>
      <c r="R71" s="9">
        <v>1721368.12</v>
      </c>
      <c r="S71" s="9">
        <v>2115491.25</v>
      </c>
      <c r="T71" s="9">
        <v>13194691</v>
      </c>
      <c r="U71" s="3">
        <v>10122224</v>
      </c>
      <c r="V71" s="3">
        <v>1967737.625</v>
      </c>
      <c r="W71" s="3">
        <v>8154486.5</v>
      </c>
      <c r="X71" s="2">
        <v>0.55991381406784058</v>
      </c>
      <c r="Y71" s="2">
        <v>8.0666570663452148</v>
      </c>
      <c r="Z71" s="2">
        <v>6.0005249977111816</v>
      </c>
      <c r="AA71" s="2">
        <v>9.1084661483764648</v>
      </c>
      <c r="AB71" s="2">
        <v>13.408846855163574</v>
      </c>
      <c r="AC71" s="2">
        <v>9.2883148193359375</v>
      </c>
      <c r="AD71" s="2">
        <v>15.044181823730469</v>
      </c>
      <c r="AE71" s="2">
        <v>2.7411878108978271</v>
      </c>
      <c r="AF71" s="2">
        <v>1.3710312843322754</v>
      </c>
      <c r="AG71" s="2">
        <v>3.8368697166442871</v>
      </c>
      <c r="AH71" s="2">
        <v>0.54030811786651611</v>
      </c>
      <c r="AI71" s="2">
        <v>0.56494379043579102</v>
      </c>
      <c r="AJ71" s="3">
        <f t="shared" si="19"/>
        <v>14916019</v>
      </c>
      <c r="AK71" s="3">
        <v>3300996</v>
      </c>
      <c r="AL71" s="3">
        <v>11615023</v>
      </c>
      <c r="AM71" s="2">
        <v>7.8478089956131099</v>
      </c>
      <c r="AN71" s="2">
        <v>9.2153673472697797</v>
      </c>
      <c r="AO71" s="2">
        <v>7.7546027060119602</v>
      </c>
      <c r="AP71" s="2">
        <v>3.9052692258155499</v>
      </c>
      <c r="AQ71" s="2">
        <v>8.2408880104655804</v>
      </c>
      <c r="AR71" s="2">
        <v>14.4933856796781</v>
      </c>
      <c r="AS71" s="3">
        <v>3888894</v>
      </c>
      <c r="AT71" s="10">
        <v>13.3493875278396</v>
      </c>
      <c r="AU71" s="10">
        <v>6.7174645784968998</v>
      </c>
      <c r="AV71" s="6"/>
      <c r="AW71" s="7">
        <f t="shared" si="12"/>
        <v>0.45601726884758365</v>
      </c>
      <c r="AX71" s="7">
        <f t="shared" si="13"/>
        <v>0.54398273115241635</v>
      </c>
      <c r="AY71" s="7">
        <f t="shared" si="14"/>
        <v>0.1154036804327174</v>
      </c>
      <c r="AZ71" s="7">
        <f t="shared" si="15"/>
        <v>0.88459631956728257</v>
      </c>
      <c r="BA71" s="7">
        <v>43.800109999999997</v>
      </c>
      <c r="BB71" s="7">
        <v>0.49806669999999997</v>
      </c>
      <c r="BC71" s="7">
        <v>0.50193330000000003</v>
      </c>
      <c r="BD71" s="7">
        <v>0.64724230000000005</v>
      </c>
      <c r="BE71" s="7">
        <v>0</v>
      </c>
      <c r="BF71" s="7">
        <v>9.0759570000000007</v>
      </c>
      <c r="BG71" s="7">
        <v>9.075958</v>
      </c>
      <c r="BH71" s="7">
        <v>1</v>
      </c>
      <c r="BI71" s="7">
        <v>0.83056479999999999</v>
      </c>
      <c r="BJ71" s="7">
        <v>0.18177650000000001</v>
      </c>
      <c r="BK71" s="7">
        <v>0.81822349999999999</v>
      </c>
      <c r="BL71" s="7">
        <v>0.29117480000000001</v>
      </c>
      <c r="BM71" s="7">
        <v>3.9300000000000004E-15</v>
      </c>
      <c r="BN71" s="7">
        <v>7.363016</v>
      </c>
      <c r="BO71" s="7">
        <v>7.363016</v>
      </c>
      <c r="BP71" s="7">
        <v>1</v>
      </c>
      <c r="BQ71" s="7">
        <v>0.44890160000000001</v>
      </c>
      <c r="BR71" s="7">
        <v>0.13478689999999999</v>
      </c>
      <c r="BS71" s="7">
        <v>0.86521309999999996</v>
      </c>
      <c r="BT71" s="7">
        <v>0.55497370000000001</v>
      </c>
      <c r="BU71" s="7">
        <v>0.69686530000000002</v>
      </c>
      <c r="BV71" s="7">
        <v>0.44306980000000001</v>
      </c>
      <c r="BW71" s="7">
        <v>4.3125900000000001</v>
      </c>
      <c r="BX71" s="7">
        <v>8.7409099999999995</v>
      </c>
      <c r="BY71" s="7">
        <v>2.0268350000000002</v>
      </c>
      <c r="BZ71" s="7">
        <v>0</v>
      </c>
      <c r="CA71" s="7">
        <v>0.46690090000000001</v>
      </c>
      <c r="CB71" s="7">
        <v>0.53309910000000005</v>
      </c>
      <c r="CC71" s="7">
        <v>0.1219765</v>
      </c>
      <c r="CD71" s="7">
        <v>0.87802349999999996</v>
      </c>
      <c r="CE71" s="7">
        <v>10.62419</v>
      </c>
      <c r="CF71" s="7">
        <v>11.7486</v>
      </c>
      <c r="CG71" s="7">
        <v>3.9093499999999999</v>
      </c>
      <c r="CH71" s="7">
        <v>8.7541519999999995</v>
      </c>
      <c r="CI71" s="7">
        <v>1.849051</v>
      </c>
      <c r="CJ71" s="7">
        <v>1.641051</v>
      </c>
      <c r="CK71" s="7">
        <v>0.88750969999999996</v>
      </c>
      <c r="CL71" s="7">
        <v>1.365073</v>
      </c>
      <c r="CM71" s="7">
        <v>0.56350199999999995</v>
      </c>
      <c r="CN71" s="7">
        <v>0.60514999999999997</v>
      </c>
      <c r="CO71" s="7">
        <v>0.53786230000000002</v>
      </c>
      <c r="CP71" s="7">
        <v>-1.53209E-2</v>
      </c>
      <c r="CQ71" s="7">
        <v>-5.8561999999999998E-3</v>
      </c>
      <c r="CR71" s="7">
        <v>-1.7783500000000001E-2</v>
      </c>
      <c r="CS71" s="7">
        <v>1.4435579999999999</v>
      </c>
      <c r="CT71" s="7">
        <v>1.8963353613936631</v>
      </c>
      <c r="CU71" s="7">
        <v>1.3063654518699797</v>
      </c>
      <c r="CV71" s="7">
        <v>1.156677</v>
      </c>
      <c r="CW71" s="7">
        <v>1.8685989999999999</v>
      </c>
      <c r="CX71" s="7">
        <v>1.4102520000000001</v>
      </c>
      <c r="CY71" s="7">
        <v>2.0411966939684234</v>
      </c>
      <c r="CZ71" s="6"/>
      <c r="DA71" s="7"/>
      <c r="DB71" s="7"/>
      <c r="DC71" s="7"/>
      <c r="DD71" s="7"/>
      <c r="DE71" s="7"/>
      <c r="DF71" s="7"/>
      <c r="DI71" s="33"/>
      <c r="DJ71" s="11"/>
    </row>
    <row r="72" spans="1:114" customFormat="1" x14ac:dyDescent="0.3">
      <c r="A72" s="5">
        <v>2017</v>
      </c>
      <c r="B72" s="3">
        <v>326860</v>
      </c>
      <c r="C72" s="3">
        <v>19612102</v>
      </c>
      <c r="D72" s="12">
        <v>8.9774665589370706</v>
      </c>
      <c r="E72" s="2">
        <v>8.7518109487372602</v>
      </c>
      <c r="F72" s="3">
        <v>13290626</v>
      </c>
      <c r="G72" s="3">
        <v>3467664</v>
      </c>
      <c r="H72" s="3">
        <v>2715714</v>
      </c>
      <c r="I72" s="3">
        <v>681427</v>
      </c>
      <c r="J72" s="3">
        <v>-543328</v>
      </c>
      <c r="K72" s="3">
        <f t="shared" si="16"/>
        <v>19612097.120000001</v>
      </c>
      <c r="L72" s="3">
        <f t="shared" si="17"/>
        <v>3707796.87</v>
      </c>
      <c r="M72" s="3">
        <f t="shared" si="18"/>
        <v>15904300.25</v>
      </c>
      <c r="N72" s="10">
        <v>9.3344888687133789</v>
      </c>
      <c r="O72" s="10">
        <v>6.1371908187866211</v>
      </c>
      <c r="P72" s="10">
        <v>11.255931854248047</v>
      </c>
      <c r="Q72" s="9">
        <v>1884302.75</v>
      </c>
      <c r="R72" s="9">
        <v>1823494.12</v>
      </c>
      <c r="S72" s="9">
        <v>2232115.25</v>
      </c>
      <c r="T72" s="9">
        <v>13672185</v>
      </c>
      <c r="U72" s="3">
        <v>10573499</v>
      </c>
      <c r="V72" s="3">
        <v>2047949.625</v>
      </c>
      <c r="W72" s="3">
        <v>8525549</v>
      </c>
      <c r="X72" s="2">
        <v>0.56109160184860229</v>
      </c>
      <c r="Y72" s="2">
        <v>8.264592170715332</v>
      </c>
      <c r="Z72" s="2">
        <v>6.1587367057800293</v>
      </c>
      <c r="AA72" s="2">
        <v>9.3277721405029297</v>
      </c>
      <c r="AB72" s="2">
        <v>13.710339546203613</v>
      </c>
      <c r="AC72" s="2">
        <v>9.4324169158935547</v>
      </c>
      <c r="AD72" s="2">
        <v>15.410539627075195</v>
      </c>
      <c r="AE72" s="2">
        <v>2.7760024070739746</v>
      </c>
      <c r="AF72" s="2">
        <v>1.3876616954803467</v>
      </c>
      <c r="AG72" s="2">
        <v>3.886127233505249</v>
      </c>
      <c r="AH72" s="2">
        <v>0.54091036319732666</v>
      </c>
      <c r="AI72" s="2">
        <v>0.56619358062744141</v>
      </c>
      <c r="AJ72" s="3">
        <f t="shared" si="19"/>
        <v>15495685</v>
      </c>
      <c r="AK72" s="3">
        <v>3421645</v>
      </c>
      <c r="AL72" s="3">
        <v>12074040</v>
      </c>
      <c r="AM72" s="2">
        <v>8.0036300861938301</v>
      </c>
      <c r="AN72" s="2">
        <v>9.38711027391264</v>
      </c>
      <c r="AO72" s="2">
        <v>8.0577045287048499</v>
      </c>
      <c r="AP72" s="2">
        <v>3.8957326425688401</v>
      </c>
      <c r="AQ72" s="2">
        <v>8.3613863086732394</v>
      </c>
      <c r="AR72" s="2">
        <v>14.849030825097399</v>
      </c>
      <c r="AS72" s="3">
        <v>4116417</v>
      </c>
      <c r="AT72" s="10">
        <v>13.9198218262806</v>
      </c>
      <c r="AU72" s="10">
        <v>6.8190881841031201</v>
      </c>
      <c r="AV72" s="6"/>
      <c r="AW72" s="7">
        <f t="shared" si="12"/>
        <v>0.45775301487846959</v>
      </c>
      <c r="AX72" s="7">
        <f t="shared" si="13"/>
        <v>0.54224698512153047</v>
      </c>
      <c r="AY72" s="7">
        <f t="shared" si="14"/>
        <v>0.11767758649870648</v>
      </c>
      <c r="AZ72" s="7">
        <f t="shared" si="15"/>
        <v>0.88232241350129348</v>
      </c>
      <c r="BA72" s="7">
        <v>45.246110000000002</v>
      </c>
      <c r="BB72" s="7">
        <v>0.50373290000000004</v>
      </c>
      <c r="BC72" s="7">
        <v>0.49626710000000002</v>
      </c>
      <c r="BD72" s="7">
        <v>0.64724230000000005</v>
      </c>
      <c r="BE72" s="7">
        <v>0</v>
      </c>
      <c r="BF72" s="7">
        <v>9.1560170000000003</v>
      </c>
      <c r="BG72" s="7">
        <v>9.1560190000000006</v>
      </c>
      <c r="BH72" s="7">
        <v>1</v>
      </c>
      <c r="BI72" s="7">
        <v>0.83056479999999999</v>
      </c>
      <c r="BJ72" s="7">
        <v>0.1851719</v>
      </c>
      <c r="BK72" s="7">
        <v>0.81482810000000006</v>
      </c>
      <c r="BL72" s="7">
        <v>0.29117480000000001</v>
      </c>
      <c r="BM72" s="7">
        <v>3.9300000000000004E-15</v>
      </c>
      <c r="BN72" s="7">
        <v>7.4816010000000004</v>
      </c>
      <c r="BO72" s="7">
        <v>7.4816010000000004</v>
      </c>
      <c r="BP72" s="7">
        <v>1</v>
      </c>
      <c r="BQ72" s="7">
        <v>0.44890160000000001</v>
      </c>
      <c r="BR72" s="7">
        <v>0.1359313</v>
      </c>
      <c r="BS72" s="7">
        <v>0.86406859999999996</v>
      </c>
      <c r="BT72" s="7">
        <v>0.55497370000000001</v>
      </c>
      <c r="BU72" s="7">
        <v>0.69686530000000002</v>
      </c>
      <c r="BV72" s="7">
        <v>0.44306980000000001</v>
      </c>
      <c r="BW72" s="7">
        <v>4.3382199999999997</v>
      </c>
      <c r="BX72" s="7">
        <v>8.906898</v>
      </c>
      <c r="BY72" s="7">
        <v>2.0531229999999998</v>
      </c>
      <c r="BZ72" s="7">
        <v>0.98539940000000004</v>
      </c>
      <c r="CA72" s="7">
        <v>0.46550279999999999</v>
      </c>
      <c r="CB72" s="7">
        <v>0.53449720000000001</v>
      </c>
      <c r="CC72" s="7">
        <v>0.1201121</v>
      </c>
      <c r="CD72" s="7">
        <v>0.87988789999999995</v>
      </c>
      <c r="CE72" s="7">
        <v>10.808350000000001</v>
      </c>
      <c r="CF72" s="7">
        <v>12.11938</v>
      </c>
      <c r="CG72" s="7">
        <v>3.9996830000000001</v>
      </c>
      <c r="CH72" s="7">
        <v>8.9013240000000007</v>
      </c>
      <c r="CI72" s="7">
        <v>1.8076129999999999</v>
      </c>
      <c r="CJ72" s="7">
        <v>1.645208</v>
      </c>
      <c r="CK72" s="7">
        <v>0.91015509999999999</v>
      </c>
      <c r="CL72" s="7">
        <v>1.3686670000000001</v>
      </c>
      <c r="CM72" s="7">
        <v>0.56350199999999995</v>
      </c>
      <c r="CN72" s="7">
        <v>0.60514999999999997</v>
      </c>
      <c r="CO72" s="7">
        <v>0.53786230000000002</v>
      </c>
      <c r="CP72" s="7">
        <v>-9.1473000000000006E-3</v>
      </c>
      <c r="CQ72" s="7">
        <v>6.8405999999999996E-3</v>
      </c>
      <c r="CR72" s="7">
        <v>-1.3241299999999999E-2</v>
      </c>
      <c r="CS72" s="7">
        <v>1.4304140000000001</v>
      </c>
      <c r="CT72" s="7">
        <v>1.9202045706999824</v>
      </c>
      <c r="CU72" s="7">
        <v>1.3143507547871935</v>
      </c>
      <c r="CV72" s="7">
        <v>1.171907</v>
      </c>
      <c r="CW72" s="7">
        <v>1.8891039999999999</v>
      </c>
      <c r="CX72" s="7">
        <v>1.3977470000000001</v>
      </c>
      <c r="CY72" s="7">
        <v>2.0620976460985578</v>
      </c>
      <c r="CZ72" s="6"/>
      <c r="DA72" s="7"/>
      <c r="DB72" s="7"/>
      <c r="DC72" s="7"/>
      <c r="DD72" s="7"/>
      <c r="DE72" s="7"/>
      <c r="DF72" s="7"/>
      <c r="DI72" s="33"/>
      <c r="DJ72" s="11"/>
    </row>
    <row r="73" spans="1:114" customFormat="1" x14ac:dyDescent="0.3">
      <c r="A73" s="8">
        <v>2018</v>
      </c>
      <c r="B73" s="3">
        <v>328795</v>
      </c>
      <c r="C73" s="3">
        <v>20656516</v>
      </c>
      <c r="D73" s="13">
        <v>9.24382799174073</v>
      </c>
      <c r="E73" s="2">
        <v>8.9522623038283395</v>
      </c>
      <c r="F73" s="3">
        <v>13934442</v>
      </c>
      <c r="G73" s="3">
        <v>3724770</v>
      </c>
      <c r="H73" s="3">
        <v>2859732</v>
      </c>
      <c r="I73" s="3">
        <v>730649</v>
      </c>
      <c r="J73" s="3">
        <v>-593077</v>
      </c>
      <c r="K73" s="3">
        <f>L73+M73</f>
        <v>20656528.5</v>
      </c>
      <c r="L73" s="3">
        <f t="shared" si="17"/>
        <v>3961873</v>
      </c>
      <c r="M73" s="3">
        <f t="shared" si="18"/>
        <v>16694655.5</v>
      </c>
      <c r="N73" s="11">
        <v>9.5877256393432617</v>
      </c>
      <c r="O73" s="11">
        <v>6.3425788879394531</v>
      </c>
      <c r="P73" s="11">
        <v>11.54304027557373</v>
      </c>
      <c r="Q73" s="9">
        <v>2022117.38</v>
      </c>
      <c r="R73" s="9">
        <v>1939755.62</v>
      </c>
      <c r="S73" s="9">
        <v>2376887.5</v>
      </c>
      <c r="T73" s="9">
        <v>14317768</v>
      </c>
      <c r="U73" s="3">
        <v>11092959</v>
      </c>
      <c r="V73" s="3">
        <v>2147625</v>
      </c>
      <c r="W73" s="3">
        <v>8945334</v>
      </c>
      <c r="X73" s="2">
        <v>0.55963248014450073</v>
      </c>
      <c r="Y73" s="2">
        <v>8.4951953887939453</v>
      </c>
      <c r="Z73" s="2">
        <v>6.3775105476379395</v>
      </c>
      <c r="AA73" s="2">
        <v>9.5698604583740234</v>
      </c>
      <c r="AB73">
        <v>14.037237167358398</v>
      </c>
      <c r="AC73" s="2">
        <v>9.6057834625244141</v>
      </c>
      <c r="AD73" s="2">
        <v>15.801541328430176</v>
      </c>
      <c r="AE73" s="2">
        <v>2.8328330516815186</v>
      </c>
      <c r="AF73" s="2">
        <v>1.4272518157958984</v>
      </c>
      <c r="AG73" s="2">
        <v>3.9582009315490723</v>
      </c>
      <c r="AH73" s="2">
        <v>0.53015285730361938</v>
      </c>
      <c r="AI73" s="2">
        <v>0.5672154426574707</v>
      </c>
      <c r="AJ73" s="3">
        <f>AK73+AL73</f>
        <v>16257505</v>
      </c>
      <c r="AK73" s="3">
        <v>3580860</v>
      </c>
      <c r="AL73" s="3">
        <v>12676645</v>
      </c>
      <c r="AM73">
        <v>8.1974869910334398</v>
      </c>
      <c r="AN73">
        <v>9.6157089279924506</v>
      </c>
      <c r="AO73">
        <v>8.3194605736699501</v>
      </c>
      <c r="AP73">
        <v>3.9487324373999502</v>
      </c>
      <c r="AQ73">
        <v>8.5289051457716791</v>
      </c>
      <c r="AR73">
        <v>15.2839226616235</v>
      </c>
      <c r="AS73" s="3">
        <v>4399011</v>
      </c>
      <c r="AT73" s="10">
        <v>14.619292873051201</v>
      </c>
      <c r="AU73" s="10">
        <v>6.93855925374924</v>
      </c>
      <c r="AV73" s="6"/>
      <c r="AW73" s="7">
        <f t="shared" si="12"/>
        <v>0.45967609383511299</v>
      </c>
      <c r="AX73" s="7">
        <f t="shared" si="13"/>
        <v>0.54032390616488701</v>
      </c>
      <c r="AY73" s="7">
        <f t="shared" si="14"/>
        <v>0.11931433503277912</v>
      </c>
      <c r="AZ73" s="7">
        <f t="shared" si="15"/>
        <v>0.88068566496722078</v>
      </c>
      <c r="CT73" s="7">
        <v>1.9416589676097435</v>
      </c>
      <c r="CU73" s="7">
        <v>1.3200489774365141</v>
      </c>
      <c r="CY73" s="7">
        <v>2.0886816997750528</v>
      </c>
      <c r="CZ73" s="6"/>
      <c r="DA73" s="7"/>
      <c r="DB73" s="7"/>
      <c r="DC73" s="7"/>
      <c r="DD73" s="7"/>
      <c r="DE73" s="7"/>
      <c r="DF73" s="7"/>
      <c r="DI73" s="33"/>
      <c r="DJ73" s="11"/>
    </row>
    <row r="74" spans="1:114" customFormat="1" x14ac:dyDescent="0.3">
      <c r="A74" s="8">
        <v>2019</v>
      </c>
      <c r="B74" s="3">
        <v>330513</v>
      </c>
      <c r="C74" s="3">
        <v>21539982</v>
      </c>
      <c r="D74" s="13">
        <v>9.4826286022084592</v>
      </c>
      <c r="E74" s="2">
        <v>9.1000583128182306</v>
      </c>
      <c r="F74" s="3">
        <v>14437543</v>
      </c>
      <c r="G74" s="3">
        <v>3893734</v>
      </c>
      <c r="H74" s="3">
        <v>3012056</v>
      </c>
      <c r="I74" s="3">
        <v>773940</v>
      </c>
      <c r="J74" s="3">
        <v>-577290</v>
      </c>
      <c r="K74" s="3">
        <f t="shared" ref="K74:K78" si="20">L74+M74</f>
        <v>21539988</v>
      </c>
      <c r="L74" s="3">
        <f t="shared" si="17"/>
        <v>4011589</v>
      </c>
      <c r="M74" s="3">
        <f t="shared" si="18"/>
        <v>17528399</v>
      </c>
      <c r="N74" s="11">
        <v>9.7383518218994141</v>
      </c>
      <c r="O74" s="11">
        <v>6.3151111602783203</v>
      </c>
      <c r="P74" s="11">
        <v>11.784029006958008</v>
      </c>
      <c r="Q74" s="9">
        <v>2072811</v>
      </c>
      <c r="R74" s="9">
        <v>1938778</v>
      </c>
      <c r="S74" s="9">
        <v>2521905</v>
      </c>
      <c r="T74" s="9">
        <v>15006494</v>
      </c>
      <c r="U74" s="3">
        <v>11559954</v>
      </c>
      <c r="V74" s="3">
        <v>2233367.25</v>
      </c>
      <c r="W74" s="3">
        <v>9326587</v>
      </c>
      <c r="X74" s="2">
        <v>0.55776989459991455</v>
      </c>
      <c r="Y74" s="2">
        <v>8.7187709808349609</v>
      </c>
      <c r="Z74" s="2">
        <v>6.4924335479736328</v>
      </c>
      <c r="AA74" s="2">
        <v>9.8420429229736328</v>
      </c>
      <c r="AB74">
        <v>14.361440658569336</v>
      </c>
      <c r="AC74" s="2">
        <v>9.7868528366088867</v>
      </c>
      <c r="AD74" s="2">
        <v>16.184921264648438</v>
      </c>
      <c r="AE74" s="2">
        <v>2.8785085678100586</v>
      </c>
      <c r="AF74" s="2">
        <v>1.465760350227356</v>
      </c>
      <c r="AG74" s="2">
        <v>4.0117850303649902</v>
      </c>
      <c r="AH74" s="2">
        <v>0.53158313035964966</v>
      </c>
      <c r="AI74" s="2">
        <v>0.56446969509124756</v>
      </c>
      <c r="AJ74" s="3">
        <f t="shared" ref="AJ74:AJ78" si="21">AK74+AL74</f>
        <v>16945263</v>
      </c>
      <c r="AK74" s="3">
        <v>3733841</v>
      </c>
      <c r="AL74" s="3">
        <v>13211422</v>
      </c>
      <c r="AM74">
        <v>8.4016233343993498</v>
      </c>
      <c r="AN74">
        <v>9.7789737572599797</v>
      </c>
      <c r="AO74">
        <v>8.6141336877872998</v>
      </c>
      <c r="AP74">
        <v>3.9765802031366699</v>
      </c>
      <c r="AQ74">
        <v>8.7061126136736302</v>
      </c>
      <c r="AR74">
        <v>15.6044717766229</v>
      </c>
      <c r="AS74" s="3">
        <v>4594718</v>
      </c>
      <c r="AT74" s="10">
        <v>15.047327394209301</v>
      </c>
      <c r="AU74" s="10">
        <v>7.0410935012484197</v>
      </c>
      <c r="AV74" s="6"/>
      <c r="AW74" s="7">
        <f t="shared" ref="AW74:AW78" si="22">Q74/(Q74+S74)</f>
        <v>0.45112929721880524</v>
      </c>
      <c r="AX74" s="7">
        <f t="shared" si="13"/>
        <v>0.54887070278119476</v>
      </c>
      <c r="AY74" s="7">
        <f t="shared" ref="AY74:AY78" si="23">R74/(R74+T74)</f>
        <v>0.11441409733641336</v>
      </c>
      <c r="AZ74" s="7">
        <f t="shared" ref="AZ74:AZ78" si="24">T74/(T74+R74)</f>
        <v>0.88558590266358661</v>
      </c>
      <c r="CT74" s="7">
        <v>1.9314168440652164</v>
      </c>
      <c r="CU74" s="7">
        <v>1.3333111329227267</v>
      </c>
      <c r="CY74" s="7">
        <v>2.1059339959962093</v>
      </c>
      <c r="CZ74" s="6"/>
      <c r="DA74" s="7"/>
      <c r="DB74" s="7"/>
      <c r="DC74" s="7"/>
      <c r="DD74" s="7"/>
      <c r="DE74" s="7"/>
      <c r="DF74" s="7"/>
      <c r="DI74" s="33"/>
      <c r="DJ74" s="11"/>
    </row>
    <row r="75" spans="1:114" customFormat="1" x14ac:dyDescent="0.3">
      <c r="A75" s="8">
        <v>2020</v>
      </c>
      <c r="B75" s="3">
        <v>331840</v>
      </c>
      <c r="C75" s="3">
        <v>21354105</v>
      </c>
      <c r="D75" s="13">
        <v>9.2774934913367506</v>
      </c>
      <c r="E75" s="2">
        <v>9.2210058173187495</v>
      </c>
      <c r="F75" s="3">
        <v>14225657</v>
      </c>
      <c r="G75" s="3">
        <v>3755013</v>
      </c>
      <c r="H75" s="3">
        <v>3180853</v>
      </c>
      <c r="I75" s="3">
        <v>818785</v>
      </c>
      <c r="J75" s="3">
        <v>-626203</v>
      </c>
      <c r="K75" s="3">
        <f t="shared" si="20"/>
        <v>21354093.5</v>
      </c>
      <c r="L75" s="3">
        <f t="shared" si="17"/>
        <v>3817794</v>
      </c>
      <c r="M75" s="3">
        <f t="shared" si="18"/>
        <v>17536299.5</v>
      </c>
      <c r="N75" s="11">
        <v>9.8568582534790039</v>
      </c>
      <c r="O75" s="11">
        <v>6.1744694709777832</v>
      </c>
      <c r="P75" s="11">
        <v>12.02871036529541</v>
      </c>
      <c r="Q75" s="9">
        <v>2006084.5</v>
      </c>
      <c r="R75" s="9">
        <v>1811709.5</v>
      </c>
      <c r="S75" s="9">
        <v>2603785.5</v>
      </c>
      <c r="T75" s="9">
        <v>14932514</v>
      </c>
      <c r="U75" s="3">
        <v>11364555</v>
      </c>
      <c r="V75" s="3">
        <v>2136374.5</v>
      </c>
      <c r="W75" s="3">
        <v>9228181</v>
      </c>
      <c r="X75" s="2">
        <v>0.55508852005004883</v>
      </c>
      <c r="Y75" s="2">
        <v>8.547724723815918</v>
      </c>
      <c r="Z75" s="2">
        <v>6.3396410942077637</v>
      </c>
      <c r="AA75" s="2">
        <v>9.6583995819091797</v>
      </c>
      <c r="AB75">
        <v>14.713427543640137</v>
      </c>
      <c r="AC75" s="2">
        <v>10.000422477722168</v>
      </c>
      <c r="AD75" s="2">
        <v>16.592729568481445</v>
      </c>
      <c r="AE75" s="2">
        <v>2.7580521106719971</v>
      </c>
      <c r="AF75" s="2">
        <v>1.3871017694473267</v>
      </c>
      <c r="AG75" s="2">
        <v>3.8551535606384277</v>
      </c>
      <c r="AH75" s="2">
        <v>0.53891664743423462</v>
      </c>
      <c r="AI75" s="2">
        <v>0.55905789136886597</v>
      </c>
      <c r="AJ75" s="3">
        <f t="shared" si="21"/>
        <v>16744238</v>
      </c>
      <c r="AK75" s="3">
        <v>3787185</v>
      </c>
      <c r="AL75" s="3">
        <v>12957053</v>
      </c>
      <c r="AM75">
        <v>8.1891916213907194</v>
      </c>
      <c r="AN75">
        <v>9.9136241916166092</v>
      </c>
      <c r="AO75">
        <v>9.0708226815781003</v>
      </c>
      <c r="AP75">
        <v>3.8303228081452398</v>
      </c>
      <c r="AQ75">
        <v>8.3660991393082096</v>
      </c>
      <c r="AR75">
        <v>15.926011169398199</v>
      </c>
      <c r="AS75" s="3">
        <v>4609869</v>
      </c>
      <c r="AT75" s="10">
        <v>14.9246937639198</v>
      </c>
      <c r="AU75" s="10">
        <v>7.12235760667539</v>
      </c>
      <c r="AV75" s="6"/>
      <c r="AW75" s="7">
        <f t="shared" si="22"/>
        <v>0.43517159919910975</v>
      </c>
      <c r="AX75" s="7">
        <f t="shared" si="13"/>
        <v>0.56482840080089025</v>
      </c>
      <c r="AY75" s="7">
        <f t="shared" si="23"/>
        <v>0.10819907534081828</v>
      </c>
      <c r="AZ75" s="7">
        <f t="shared" si="24"/>
        <v>0.8918009246591817</v>
      </c>
      <c r="CT75" s="7">
        <v>1.9271587960387428</v>
      </c>
      <c r="CU75" s="7">
        <v>1.3236158420940836</v>
      </c>
      <c r="CY75" s="7">
        <v>2.0919389087402256</v>
      </c>
      <c r="CZ75" s="6"/>
      <c r="DA75" s="7"/>
      <c r="DB75" s="7"/>
      <c r="DC75" s="7"/>
      <c r="DD75" s="7"/>
      <c r="DE75" s="7"/>
      <c r="DF75" s="7"/>
      <c r="DI75" s="33"/>
      <c r="DJ75" s="11"/>
    </row>
    <row r="76" spans="1:114" customFormat="1" x14ac:dyDescent="0.3">
      <c r="A76" s="8">
        <v>2021</v>
      </c>
      <c r="B76" s="3">
        <v>332505</v>
      </c>
      <c r="C76" s="3">
        <v>23681171</v>
      </c>
      <c r="D76" s="13">
        <v>9.8393033485950294</v>
      </c>
      <c r="E76" s="2">
        <v>9.6419839475258797</v>
      </c>
      <c r="F76" s="3">
        <v>16113945</v>
      </c>
      <c r="G76" s="3">
        <v>4223772</v>
      </c>
      <c r="H76" s="3">
        <v>3375284</v>
      </c>
      <c r="I76" s="3">
        <v>828198</v>
      </c>
      <c r="J76" s="3">
        <v>-860029</v>
      </c>
      <c r="K76" s="3">
        <f t="shared" si="20"/>
        <v>23681157.5</v>
      </c>
      <c r="L76" s="3">
        <f t="shared" si="17"/>
        <v>4371715</v>
      </c>
      <c r="M76" s="3">
        <f t="shared" si="18"/>
        <v>19309442.5</v>
      </c>
      <c r="N76" s="11">
        <v>10.398921012878418</v>
      </c>
      <c r="O76" s="11">
        <v>6.7920675277709961</v>
      </c>
      <c r="P76" s="11">
        <v>12.56256103515625</v>
      </c>
      <c r="Q76" s="9">
        <v>2184974.5</v>
      </c>
      <c r="R76" s="9">
        <v>2186740.5</v>
      </c>
      <c r="S76" s="9">
        <v>2854805.5</v>
      </c>
      <c r="T76" s="9">
        <v>16454637</v>
      </c>
      <c r="U76" s="3">
        <v>12378272</v>
      </c>
      <c r="V76" s="3">
        <v>2270455</v>
      </c>
      <c r="W76" s="3">
        <v>10107817</v>
      </c>
      <c r="X76" s="2">
        <v>0.54502725601196289</v>
      </c>
      <c r="Y76" s="2">
        <v>9.0701942443847656</v>
      </c>
      <c r="Z76" s="2">
        <v>6.6014237403869629</v>
      </c>
      <c r="AA76" s="2">
        <v>10.295631408691406</v>
      </c>
      <c r="AB76">
        <v>14.994697570800781</v>
      </c>
      <c r="AC76" s="2">
        <v>10.151399612426758</v>
      </c>
      <c r="AD76" s="2">
        <v>16.927215576171875</v>
      </c>
      <c r="AE76" s="2">
        <v>2.8544209003448486</v>
      </c>
      <c r="AF76" s="2">
        <v>1.4234329462051392</v>
      </c>
      <c r="AG76" s="2">
        <v>3.9975881576538086</v>
      </c>
      <c r="AH76" s="2">
        <v>0.51996833086013794</v>
      </c>
      <c r="AI76" s="2">
        <v>0.55113017559051514</v>
      </c>
      <c r="AJ76" s="3">
        <f t="shared" si="21"/>
        <v>18641393</v>
      </c>
      <c r="AK76" s="3">
        <v>4420203</v>
      </c>
      <c r="AL76" s="3">
        <v>14221190</v>
      </c>
      <c r="AM76">
        <v>8.6990442889914199</v>
      </c>
      <c r="AN76">
        <v>10.389986713643999</v>
      </c>
      <c r="AO76">
        <v>9.8009451993869696</v>
      </c>
      <c r="AP76">
        <v>4.1375169649780403</v>
      </c>
      <c r="AQ76">
        <v>8.8049195933474298</v>
      </c>
      <c r="AR76">
        <v>16.608649952747001</v>
      </c>
      <c r="AS76" s="3">
        <v>5039777</v>
      </c>
      <c r="AT76" s="10">
        <v>15.7356625835189</v>
      </c>
      <c r="AU76" s="10">
        <v>7.3852789834455903</v>
      </c>
      <c r="AV76" s="6"/>
      <c r="AW76" s="7">
        <f t="shared" si="22"/>
        <v>0.43354561111794565</v>
      </c>
      <c r="AX76" s="7">
        <f t="shared" si="13"/>
        <v>0.56645438888205435</v>
      </c>
      <c r="AY76" s="7">
        <f t="shared" si="23"/>
        <v>0.11730573558740495</v>
      </c>
      <c r="AZ76" s="7">
        <f t="shared" si="24"/>
        <v>0.88269426441259502</v>
      </c>
      <c r="CT76" s="7">
        <v>1.9648328270893161</v>
      </c>
      <c r="CU76" s="7">
        <v>1.3704154619559092</v>
      </c>
      <c r="CY76" s="7">
        <v>2.1763934363126305</v>
      </c>
      <c r="CZ76" s="6"/>
      <c r="DA76" s="7"/>
      <c r="DB76" s="7"/>
      <c r="DC76" s="7"/>
      <c r="DD76" s="7"/>
      <c r="DE76" s="7"/>
      <c r="DF76" s="7"/>
      <c r="DI76" s="33"/>
      <c r="DJ76" s="11"/>
    </row>
    <row r="77" spans="1:114" customFormat="1" x14ac:dyDescent="0.3">
      <c r="A77" s="8">
        <v>2022</v>
      </c>
      <c r="B77" s="3">
        <v>334372</v>
      </c>
      <c r="C77" s="3">
        <v>26006893</v>
      </c>
      <c r="D77" s="13">
        <v>10.0864530029626</v>
      </c>
      <c r="E77" s="2">
        <v>10.3294591398372</v>
      </c>
      <c r="F77" s="3">
        <v>17690841</v>
      </c>
      <c r="G77" s="3">
        <v>4821222</v>
      </c>
      <c r="H77" s="3">
        <v>3566533</v>
      </c>
      <c r="I77" s="3">
        <v>887233</v>
      </c>
      <c r="J77" s="3">
        <v>-958935</v>
      </c>
      <c r="K77" s="3">
        <f t="shared" si="20"/>
        <v>26006915.5</v>
      </c>
      <c r="L77" s="3">
        <f t="shared" si="17"/>
        <v>4992982.25</v>
      </c>
      <c r="M77" s="3">
        <f t="shared" si="18"/>
        <v>21013933.25</v>
      </c>
      <c r="N77" s="11">
        <v>11.274673461914063</v>
      </c>
      <c r="O77" s="11">
        <v>7.8974223136901855</v>
      </c>
      <c r="P77" s="11">
        <v>13.383896827697754</v>
      </c>
      <c r="Q77" s="9">
        <v>2427501.75</v>
      </c>
      <c r="R77" s="9">
        <v>2565480.5</v>
      </c>
      <c r="S77" s="9">
        <v>3131301.25</v>
      </c>
      <c r="T77" s="9">
        <v>17882632</v>
      </c>
      <c r="U77" s="3">
        <v>13569368</v>
      </c>
      <c r="V77" s="3">
        <v>2513202</v>
      </c>
      <c r="W77" s="3">
        <v>11056166</v>
      </c>
      <c r="X77" s="2">
        <v>0.53567361831665039</v>
      </c>
      <c r="Y77" s="2">
        <v>9.2353200912475586</v>
      </c>
      <c r="Z77" s="2">
        <v>6.4847893714904785</v>
      </c>
      <c r="AA77" s="2">
        <v>10.577735900878906</v>
      </c>
      <c r="AB77">
        <v>15.32447338104248</v>
      </c>
      <c r="AC77" s="2">
        <v>10.321933746337891</v>
      </c>
      <c r="AD77" s="2">
        <v>17.324220657348633</v>
      </c>
      <c r="AE77" s="2">
        <v>2.9616611003875732</v>
      </c>
      <c r="AF77" s="2">
        <v>1.4749537706375122</v>
      </c>
      <c r="AG77" s="2">
        <v>4.1490201950073242</v>
      </c>
      <c r="AH77" s="2">
        <v>0.49276766180992126</v>
      </c>
      <c r="AI77" s="2">
        <v>0.54646015167236328</v>
      </c>
      <c r="AJ77" s="3">
        <f t="shared" si="21"/>
        <v>20448085</v>
      </c>
      <c r="AK77" s="3">
        <v>4896781</v>
      </c>
      <c r="AL77" s="3">
        <v>15551304</v>
      </c>
      <c r="AM77">
        <v>8.92900940325341</v>
      </c>
      <c r="AN77">
        <v>11.103439515624901</v>
      </c>
      <c r="AO77">
        <v>9.5380502749311393</v>
      </c>
      <c r="AP77">
        <v>4.70995337054923</v>
      </c>
      <c r="AQ77">
        <v>9.0993521182437096</v>
      </c>
      <c r="AR77">
        <v>17.574384640269098</v>
      </c>
      <c r="AS77" s="3">
        <v>5558807</v>
      </c>
      <c r="AT77" s="10">
        <v>16.0547048997772</v>
      </c>
      <c r="AU77" s="10">
        <v>7.9839882384532403</v>
      </c>
      <c r="AV77" s="6"/>
      <c r="AW77" s="7">
        <f t="shared" si="22"/>
        <v>0.43669504927589625</v>
      </c>
      <c r="AX77" s="7">
        <f t="shared" si="13"/>
        <v>0.56330495072410369</v>
      </c>
      <c r="AY77" s="7">
        <f t="shared" si="23"/>
        <v>0.12546294920863724</v>
      </c>
      <c r="AZ77" s="7">
        <f t="shared" si="24"/>
        <v>0.87453705079136279</v>
      </c>
      <c r="CT77" s="7">
        <v>1.8781482536768745</v>
      </c>
      <c r="CU77" s="7">
        <v>1.364903925690836</v>
      </c>
      <c r="CY77" s="7">
        <v>2.1449880655580333</v>
      </c>
      <c r="CZ77" s="6"/>
      <c r="DA77" s="7"/>
      <c r="DB77" s="7"/>
      <c r="DC77" s="7"/>
      <c r="DD77" s="7"/>
      <c r="DE77" s="7"/>
      <c r="DF77" s="7"/>
      <c r="DI77" s="33"/>
      <c r="DJ77" s="11"/>
    </row>
    <row r="78" spans="1:114" customFormat="1" x14ac:dyDescent="0.3">
      <c r="A78" s="8">
        <v>2023</v>
      </c>
      <c r="B78" s="3">
        <v>337141</v>
      </c>
      <c r="C78" s="3">
        <v>27720709</v>
      </c>
      <c r="D78" s="13">
        <v>10.3776820181345</v>
      </c>
      <c r="E78" s="2">
        <v>10.7011771848387</v>
      </c>
      <c r="F78" s="3">
        <v>18822769</v>
      </c>
      <c r="G78" s="3">
        <v>4984761</v>
      </c>
      <c r="H78" s="3">
        <v>3723954</v>
      </c>
      <c r="I78" s="3">
        <v>986568</v>
      </c>
      <c r="J78" s="3">
        <v>-797342</v>
      </c>
      <c r="K78" s="3">
        <f t="shared" si="20"/>
        <v>27720687.25</v>
      </c>
      <c r="L78" s="3">
        <f t="shared" si="17"/>
        <v>5193443</v>
      </c>
      <c r="M78" s="3">
        <f t="shared" si="18"/>
        <v>22527244.25</v>
      </c>
      <c r="N78" s="11">
        <v>11.668087005615234</v>
      </c>
      <c r="O78" s="11">
        <v>7.9339852333068848</v>
      </c>
      <c r="P78" s="11">
        <v>13.954963684082031</v>
      </c>
      <c r="Q78" s="9">
        <v>2589420.75</v>
      </c>
      <c r="R78" s="9">
        <v>2604022.25</v>
      </c>
      <c r="S78" s="9">
        <v>3340208.25</v>
      </c>
      <c r="T78" s="9">
        <v>19187036</v>
      </c>
      <c r="U78" s="3">
        <v>14300017</v>
      </c>
      <c r="V78" s="3">
        <v>2632089.75</v>
      </c>
      <c r="W78" s="3">
        <v>11667927</v>
      </c>
      <c r="X78" s="2">
        <v>0.53139841556549072</v>
      </c>
      <c r="Y78" s="2">
        <v>9.4895401000976563</v>
      </c>
      <c r="Z78" s="2">
        <v>6.7004246711730957</v>
      </c>
      <c r="AA78" s="2">
        <v>10.853689193725586</v>
      </c>
      <c r="AB78">
        <v>15.644364356994629</v>
      </c>
      <c r="AC78" s="2">
        <v>10.51102352142334</v>
      </c>
      <c r="AD78" s="2">
        <v>17.698392868041992</v>
      </c>
      <c r="AE78" s="2">
        <v>2.9960243701934814</v>
      </c>
      <c r="AF78" s="2">
        <v>1.4760050773620605</v>
      </c>
      <c r="AG78" s="2">
        <v>4.2074594497680664</v>
      </c>
      <c r="AH78" s="2">
        <v>0.48720294237136841</v>
      </c>
      <c r="AI78" s="2">
        <v>0.54256194829940796</v>
      </c>
      <c r="AJ78" s="3">
        <f t="shared" si="21"/>
        <v>21791075</v>
      </c>
      <c r="AK78" s="3">
        <v>5091442</v>
      </c>
      <c r="AL78" s="3">
        <v>16699633</v>
      </c>
      <c r="AM78">
        <v>9.1786068671035803</v>
      </c>
      <c r="AN78">
        <v>11.5109205144961</v>
      </c>
      <c r="AO78">
        <v>9.9665350343467001</v>
      </c>
      <c r="AP78">
        <v>4.6866458449201698</v>
      </c>
      <c r="AQ78">
        <v>9.3717427242633207</v>
      </c>
      <c r="AR78">
        <v>18.323581185180402</v>
      </c>
      <c r="AS78" s="3">
        <v>5929633</v>
      </c>
      <c r="AT78" s="10">
        <v>16.572661469933099</v>
      </c>
      <c r="AU78" s="10">
        <v>8.2504222415258202</v>
      </c>
      <c r="AV78" s="6"/>
      <c r="AW78" s="7">
        <f t="shared" si="22"/>
        <v>0.43669186554504508</v>
      </c>
      <c r="AX78" s="7">
        <f t="shared" si="13"/>
        <v>0.56330813445495498</v>
      </c>
      <c r="AY78" s="7">
        <f t="shared" si="23"/>
        <v>0.11949957730942232</v>
      </c>
      <c r="AZ78" s="7">
        <f t="shared" si="24"/>
        <v>0.88050042269057771</v>
      </c>
      <c r="CT78" s="7">
        <v>1.9244900047123736</v>
      </c>
      <c r="CU78" s="7">
        <v>1.3766101081188256</v>
      </c>
      <c r="CY78" s="7">
        <v>2.1784198594712381</v>
      </c>
      <c r="CZ78" s="6"/>
      <c r="DA78" s="7"/>
      <c r="DB78" s="7"/>
      <c r="DC78" s="7"/>
      <c r="DD78" s="7"/>
      <c r="DE78" s="7"/>
      <c r="DF78" s="7"/>
      <c r="DI78" s="33"/>
      <c r="DJ78" s="11"/>
    </row>
    <row r="79" spans="1:114" customFormat="1" x14ac:dyDescent="0.3">
      <c r="A79" s="17"/>
      <c r="B79" s="18"/>
      <c r="C79" s="19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20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21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21"/>
      <c r="CZ79" s="16"/>
    </row>
    <row r="80" spans="1:114" x14ac:dyDescent="0.3">
      <c r="AO80" s="24"/>
      <c r="AP80" s="25"/>
      <c r="AQ80" s="24"/>
      <c r="AR80" s="26"/>
      <c r="AS80" s="26"/>
      <c r="AT80" s="24"/>
    </row>
    <row r="81" spans="7:46" x14ac:dyDescent="0.3">
      <c r="G81" s="15"/>
      <c r="AM81" s="24"/>
      <c r="AO81" s="24"/>
      <c r="AP81" s="25"/>
      <c r="AQ81" s="24"/>
      <c r="AR81" s="25"/>
      <c r="AS81" s="25"/>
      <c r="AT81" s="24"/>
    </row>
    <row r="82" spans="7:46" x14ac:dyDescent="0.3">
      <c r="G82" s="15"/>
      <c r="AM82" s="24"/>
      <c r="AO82" s="24"/>
      <c r="AP82" s="25"/>
      <c r="AQ82" s="24"/>
      <c r="AR82" s="25"/>
      <c r="AS82" s="25"/>
      <c r="AT82" s="24"/>
    </row>
    <row r="83" spans="7:46" x14ac:dyDescent="0.3">
      <c r="G83" s="15"/>
      <c r="AM83" s="24"/>
      <c r="AO83" s="24"/>
      <c r="AP83" s="25"/>
      <c r="AQ83" s="24"/>
      <c r="AR83" s="26"/>
      <c r="AS83" s="26"/>
      <c r="AT83" s="24"/>
    </row>
    <row r="84" spans="7:46" x14ac:dyDescent="0.3">
      <c r="G84" s="15"/>
    </row>
    <row r="85" spans="7:46" x14ac:dyDescent="0.3">
      <c r="G85" s="27"/>
    </row>
    <row r="86" spans="7:46" x14ac:dyDescent="0.3">
      <c r="G86" s="15"/>
    </row>
    <row r="87" spans="7:46" x14ac:dyDescent="0.3">
      <c r="G87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Vizcaino (staff)</cp:lastModifiedBy>
  <dcterms:created xsi:type="dcterms:W3CDTF">2025-11-27T10:29:49Z</dcterms:created>
  <dcterms:modified xsi:type="dcterms:W3CDTF">2026-02-23T20:39:35Z</dcterms:modified>
</cp:coreProperties>
</file>