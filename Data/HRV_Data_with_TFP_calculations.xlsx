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cho\Dropbox\Omar&amp;Nacho\Baqaee_Burstein\Note on Structural Change\"/>
    </mc:Choice>
  </mc:AlternateContent>
  <xr:revisionPtr revIDLastSave="0" documentId="13_ncr:1_{F49CB73D-C0AB-4267-BF58-495A4FFF6602}" xr6:coauthVersionLast="47" xr6:coauthVersionMax="47" xr10:uidLastSave="{00000000-0000-0000-0000-000000000000}"/>
  <bookViews>
    <workbookView xWindow="-23148" yWindow="-108" windowWidth="23256" windowHeight="12456" firstSheet="1" xr2:uid="{00000000-000D-0000-FFFF-FFFF00000000}"/>
  </bookViews>
  <sheets>
    <sheet name="Variables" sheetId="2" r:id="rId1"/>
    <sheet name="data" sheetId="1" r:id="rId2"/>
    <sheet name="TFP_Tot" sheetId="6" r:id="rId3"/>
    <sheet name="calA_X_TD" sheetId="10" r:id="rId4"/>
    <sheet name="TFP_Goods" sheetId="7" r:id="rId5"/>
    <sheet name="TFP_Serv" sheetId="8" r:id="rId6"/>
    <sheet name="TFP_Tot_Lequals1" sheetId="3" r:id="rId7"/>
    <sheet name="calA_X_TD_Lequals1" sheetId="11" r:id="rId8"/>
    <sheet name="TFP_Goods_Lequals1" sheetId="4" r:id="rId9"/>
    <sheet name="TFP_Serv_Lequals1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1" l="1"/>
  <c r="N5" i="11"/>
  <c r="N4" i="11"/>
  <c r="N3" i="11"/>
  <c r="J3" i="11"/>
  <c r="K3" i="11"/>
  <c r="K72" i="11"/>
  <c r="F72" i="11"/>
  <c r="E72" i="11"/>
  <c r="C72" i="11"/>
  <c r="B72" i="11"/>
  <c r="D72" i="11" s="1"/>
  <c r="F71" i="11"/>
  <c r="E71" i="11"/>
  <c r="C71" i="11"/>
  <c r="D71" i="11" s="1"/>
  <c r="B71" i="11"/>
  <c r="F70" i="11"/>
  <c r="E70" i="11"/>
  <c r="C70" i="11"/>
  <c r="B70" i="11"/>
  <c r="F69" i="11"/>
  <c r="E69" i="11"/>
  <c r="K69" i="11" s="1"/>
  <c r="D69" i="11"/>
  <c r="J69" i="11" s="1"/>
  <c r="C69" i="11"/>
  <c r="B69" i="11"/>
  <c r="F68" i="11"/>
  <c r="E68" i="11"/>
  <c r="C68" i="11"/>
  <c r="B68" i="11"/>
  <c r="D68" i="11" s="1"/>
  <c r="J68" i="11" s="1"/>
  <c r="F67" i="11"/>
  <c r="E67" i="11"/>
  <c r="K67" i="11" s="1"/>
  <c r="D67" i="11"/>
  <c r="C67" i="11"/>
  <c r="B67" i="11"/>
  <c r="F66" i="11"/>
  <c r="E66" i="11"/>
  <c r="K66" i="11" s="1"/>
  <c r="C66" i="11"/>
  <c r="B66" i="11"/>
  <c r="D66" i="11" s="1"/>
  <c r="F65" i="11"/>
  <c r="E65" i="11"/>
  <c r="C65" i="11"/>
  <c r="B65" i="11"/>
  <c r="D65" i="11" s="1"/>
  <c r="F64" i="11"/>
  <c r="E64" i="11"/>
  <c r="K64" i="11" s="1"/>
  <c r="C64" i="11"/>
  <c r="B64" i="11"/>
  <c r="D64" i="11" s="1"/>
  <c r="F63" i="11"/>
  <c r="E63" i="11"/>
  <c r="C63" i="11"/>
  <c r="B63" i="11"/>
  <c r="D63" i="11" s="1"/>
  <c r="F62" i="11"/>
  <c r="E62" i="11"/>
  <c r="C62" i="11"/>
  <c r="B62" i="11"/>
  <c r="F61" i="11"/>
  <c r="E61" i="11"/>
  <c r="C61" i="11"/>
  <c r="B61" i="11"/>
  <c r="D61" i="11" s="1"/>
  <c r="F60" i="11"/>
  <c r="E60" i="11"/>
  <c r="C60" i="11"/>
  <c r="B60" i="11"/>
  <c r="D60" i="11" s="1"/>
  <c r="J60" i="11" s="1"/>
  <c r="F59" i="11"/>
  <c r="E59" i="11"/>
  <c r="K59" i="11" s="1"/>
  <c r="D59" i="11"/>
  <c r="C59" i="11"/>
  <c r="B59" i="11"/>
  <c r="F58" i="11"/>
  <c r="E58" i="11"/>
  <c r="C58" i="11"/>
  <c r="B58" i="11"/>
  <c r="D58" i="11" s="1"/>
  <c r="F57" i="11"/>
  <c r="E57" i="11"/>
  <c r="K57" i="11" s="1"/>
  <c r="C57" i="11"/>
  <c r="B57" i="11"/>
  <c r="D57" i="11" s="1"/>
  <c r="F56" i="11"/>
  <c r="E56" i="11"/>
  <c r="K56" i="11" s="1"/>
  <c r="C56" i="11"/>
  <c r="B56" i="11"/>
  <c r="D56" i="11" s="1"/>
  <c r="F55" i="11"/>
  <c r="E55" i="11"/>
  <c r="C55" i="11"/>
  <c r="B55" i="11"/>
  <c r="D55" i="11" s="1"/>
  <c r="F54" i="11"/>
  <c r="E54" i="11"/>
  <c r="C54" i="11"/>
  <c r="B54" i="11"/>
  <c r="F53" i="11"/>
  <c r="E53" i="11"/>
  <c r="C53" i="11"/>
  <c r="B53" i="11"/>
  <c r="D53" i="11" s="1"/>
  <c r="F52" i="11"/>
  <c r="E52" i="11"/>
  <c r="C52" i="11"/>
  <c r="B52" i="11"/>
  <c r="D52" i="11" s="1"/>
  <c r="F51" i="11"/>
  <c r="E51" i="11"/>
  <c r="C51" i="11"/>
  <c r="B51" i="11"/>
  <c r="F50" i="11"/>
  <c r="E50" i="11"/>
  <c r="C50" i="11"/>
  <c r="B50" i="11"/>
  <c r="D50" i="11" s="1"/>
  <c r="F49" i="11"/>
  <c r="E49" i="11"/>
  <c r="C49" i="11"/>
  <c r="B49" i="11"/>
  <c r="F48" i="11"/>
  <c r="E48" i="11"/>
  <c r="C48" i="11"/>
  <c r="B48" i="11"/>
  <c r="F47" i="11"/>
  <c r="E47" i="11"/>
  <c r="K47" i="11" s="1"/>
  <c r="C47" i="11"/>
  <c r="B47" i="11"/>
  <c r="D47" i="11" s="1"/>
  <c r="F46" i="11"/>
  <c r="E46" i="11"/>
  <c r="C46" i="11"/>
  <c r="B46" i="11"/>
  <c r="F45" i="11"/>
  <c r="E45" i="11"/>
  <c r="C45" i="11"/>
  <c r="B45" i="11"/>
  <c r="D45" i="11" s="1"/>
  <c r="J45" i="11" s="1"/>
  <c r="F44" i="11"/>
  <c r="E44" i="11"/>
  <c r="C44" i="11"/>
  <c r="B44" i="11"/>
  <c r="D44" i="11" s="1"/>
  <c r="F43" i="11"/>
  <c r="E43" i="11"/>
  <c r="K43" i="11" s="1"/>
  <c r="C43" i="11"/>
  <c r="B43" i="11"/>
  <c r="D43" i="11" s="1"/>
  <c r="J43" i="11" s="1"/>
  <c r="F42" i="11"/>
  <c r="E42" i="11"/>
  <c r="C42" i="11"/>
  <c r="B42" i="11"/>
  <c r="D42" i="11" s="1"/>
  <c r="F41" i="11"/>
  <c r="E41" i="11"/>
  <c r="K41" i="11" s="1"/>
  <c r="C41" i="11"/>
  <c r="B41" i="11"/>
  <c r="F40" i="11"/>
  <c r="E40" i="11"/>
  <c r="K40" i="11" s="1"/>
  <c r="C40" i="11"/>
  <c r="B40" i="11"/>
  <c r="F39" i="11"/>
  <c r="E39" i="11"/>
  <c r="K39" i="11" s="1"/>
  <c r="C39" i="11"/>
  <c r="B39" i="11"/>
  <c r="F38" i="11"/>
  <c r="E38" i="11"/>
  <c r="C38" i="11"/>
  <c r="B38" i="11"/>
  <c r="F37" i="11"/>
  <c r="E37" i="11"/>
  <c r="K37" i="11" s="1"/>
  <c r="D37" i="11"/>
  <c r="C37" i="11"/>
  <c r="B37" i="11"/>
  <c r="F36" i="11"/>
  <c r="E36" i="11"/>
  <c r="C36" i="11"/>
  <c r="B36" i="11"/>
  <c r="F35" i="11"/>
  <c r="E35" i="11"/>
  <c r="K35" i="11" s="1"/>
  <c r="C35" i="11"/>
  <c r="B35" i="11"/>
  <c r="D35" i="11" s="1"/>
  <c r="F34" i="11"/>
  <c r="E34" i="11"/>
  <c r="C34" i="11"/>
  <c r="B34" i="11"/>
  <c r="D34" i="11" s="1"/>
  <c r="F33" i="11"/>
  <c r="E33" i="11"/>
  <c r="K33" i="11" s="1"/>
  <c r="C33" i="11"/>
  <c r="B33" i="11"/>
  <c r="F32" i="11"/>
  <c r="E32" i="11"/>
  <c r="K32" i="11" s="1"/>
  <c r="C32" i="11"/>
  <c r="B32" i="11"/>
  <c r="F31" i="11"/>
  <c r="E31" i="11"/>
  <c r="C31" i="11"/>
  <c r="B31" i="11"/>
  <c r="D31" i="11" s="1"/>
  <c r="F30" i="11"/>
  <c r="E30" i="11"/>
  <c r="C30" i="11"/>
  <c r="B30" i="11"/>
  <c r="D30" i="11" s="1"/>
  <c r="F29" i="11"/>
  <c r="E29" i="11"/>
  <c r="C29" i="11"/>
  <c r="B29" i="11"/>
  <c r="D29" i="11" s="1"/>
  <c r="F28" i="11"/>
  <c r="E28" i="11"/>
  <c r="C28" i="11"/>
  <c r="B28" i="11"/>
  <c r="F27" i="11"/>
  <c r="E27" i="11"/>
  <c r="C27" i="11"/>
  <c r="B27" i="11"/>
  <c r="D27" i="11" s="1"/>
  <c r="F26" i="11"/>
  <c r="E26" i="11"/>
  <c r="C26" i="11"/>
  <c r="B26" i="11"/>
  <c r="D26" i="11" s="1"/>
  <c r="F25" i="11"/>
  <c r="E25" i="11"/>
  <c r="C25" i="11"/>
  <c r="B25" i="11"/>
  <c r="F24" i="11"/>
  <c r="E24" i="11"/>
  <c r="K24" i="11" s="1"/>
  <c r="C24" i="11"/>
  <c r="B24" i="11"/>
  <c r="F23" i="11"/>
  <c r="E23" i="11"/>
  <c r="C23" i="11"/>
  <c r="B23" i="11"/>
  <c r="F22" i="11"/>
  <c r="E22" i="11"/>
  <c r="C22" i="11"/>
  <c r="B22" i="11"/>
  <c r="F21" i="11"/>
  <c r="E21" i="11"/>
  <c r="C21" i="11"/>
  <c r="B21" i="11"/>
  <c r="D21" i="11" s="1"/>
  <c r="F20" i="11"/>
  <c r="E20" i="11"/>
  <c r="C20" i="11"/>
  <c r="B20" i="11"/>
  <c r="F19" i="11"/>
  <c r="E19" i="11"/>
  <c r="C19" i="11"/>
  <c r="B19" i="11"/>
  <c r="D19" i="11" s="1"/>
  <c r="F18" i="11"/>
  <c r="E18" i="11"/>
  <c r="C18" i="11"/>
  <c r="B18" i="11"/>
  <c r="F17" i="11"/>
  <c r="E17" i="11"/>
  <c r="C17" i="11"/>
  <c r="D17" i="11" s="1"/>
  <c r="B17" i="11"/>
  <c r="F16" i="11"/>
  <c r="E16" i="11"/>
  <c r="K16" i="11" s="1"/>
  <c r="C16" i="11"/>
  <c r="B16" i="11"/>
  <c r="D16" i="11" s="1"/>
  <c r="F15" i="11"/>
  <c r="E15" i="11"/>
  <c r="C15" i="11"/>
  <c r="B15" i="11"/>
  <c r="D15" i="11" s="1"/>
  <c r="F14" i="11"/>
  <c r="E14" i="11"/>
  <c r="K14" i="11" s="1"/>
  <c r="C14" i="11"/>
  <c r="B14" i="11"/>
  <c r="D14" i="11" s="1"/>
  <c r="J14" i="11" s="1"/>
  <c r="F13" i="11"/>
  <c r="E13" i="11"/>
  <c r="C13" i="11"/>
  <c r="B13" i="11"/>
  <c r="D13" i="11" s="1"/>
  <c r="F12" i="11"/>
  <c r="E12" i="11"/>
  <c r="K12" i="11" s="1"/>
  <c r="C12" i="11"/>
  <c r="B12" i="11"/>
  <c r="D12" i="11" s="1"/>
  <c r="J12" i="11" s="1"/>
  <c r="F11" i="11"/>
  <c r="E11" i="11"/>
  <c r="C11" i="11"/>
  <c r="B11" i="11"/>
  <c r="D11" i="11" s="1"/>
  <c r="F10" i="11"/>
  <c r="E10" i="11"/>
  <c r="K10" i="11" s="1"/>
  <c r="C10" i="11"/>
  <c r="B10" i="11"/>
  <c r="D10" i="11" s="1"/>
  <c r="J10" i="11" s="1"/>
  <c r="F9" i="11"/>
  <c r="E9" i="11"/>
  <c r="C9" i="11"/>
  <c r="B9" i="11"/>
  <c r="D9" i="11" s="1"/>
  <c r="F8" i="11"/>
  <c r="E8" i="11"/>
  <c r="K8" i="11" s="1"/>
  <c r="C8" i="11"/>
  <c r="B8" i="11"/>
  <c r="D8" i="11" s="1"/>
  <c r="J8" i="11" s="1"/>
  <c r="F7" i="11"/>
  <c r="E7" i="11"/>
  <c r="C7" i="11"/>
  <c r="B7" i="11"/>
  <c r="D7" i="11" s="1"/>
  <c r="F6" i="11"/>
  <c r="E6" i="11"/>
  <c r="K6" i="11" s="1"/>
  <c r="C6" i="11"/>
  <c r="B6" i="11"/>
  <c r="D6" i="11" s="1"/>
  <c r="J6" i="11" s="1"/>
  <c r="F5" i="11"/>
  <c r="E5" i="11"/>
  <c r="C5" i="11"/>
  <c r="B5" i="11"/>
  <c r="D5" i="11" s="1"/>
  <c r="F4" i="11"/>
  <c r="E4" i="11"/>
  <c r="K4" i="11" s="1"/>
  <c r="C4" i="11"/>
  <c r="B4" i="11"/>
  <c r="D4" i="11" s="1"/>
  <c r="F3" i="11"/>
  <c r="E3" i="11"/>
  <c r="C3" i="11"/>
  <c r="B3" i="11"/>
  <c r="D3" i="11" s="1"/>
  <c r="O2" i="11"/>
  <c r="H2" i="11"/>
  <c r="H3" i="11" s="1"/>
  <c r="H4" i="11" s="1"/>
  <c r="H5" i="11" s="1"/>
  <c r="H6" i="11" s="1"/>
  <c r="H7" i="11" s="1"/>
  <c r="H8" i="11" s="1"/>
  <c r="H9" i="11" s="1"/>
  <c r="H10" i="11" s="1"/>
  <c r="F2" i="11"/>
  <c r="E2" i="11"/>
  <c r="C2" i="11"/>
  <c r="B2" i="11"/>
  <c r="D2" i="11" s="1"/>
  <c r="C1" i="11"/>
  <c r="B1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J49" i="10" s="1"/>
  <c r="D50" i="10"/>
  <c r="D51" i="10"/>
  <c r="D52" i="10"/>
  <c r="D53" i="10"/>
  <c r="D54" i="10"/>
  <c r="D55" i="10"/>
  <c r="D56" i="10"/>
  <c r="D57" i="10"/>
  <c r="J57" i="10" s="1"/>
  <c r="D58" i="10"/>
  <c r="D59" i="10"/>
  <c r="D60" i="10"/>
  <c r="D61" i="10"/>
  <c r="D62" i="10"/>
  <c r="D63" i="10"/>
  <c r="D64" i="10"/>
  <c r="D65" i="10"/>
  <c r="J65" i="10" s="1"/>
  <c r="D66" i="10"/>
  <c r="D67" i="10"/>
  <c r="D68" i="10"/>
  <c r="D69" i="10"/>
  <c r="D70" i="10"/>
  <c r="D71" i="10"/>
  <c r="D72" i="10"/>
  <c r="D2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C1" i="10"/>
  <c r="B1" i="10"/>
  <c r="F72" i="10"/>
  <c r="E72" i="10"/>
  <c r="F71" i="10"/>
  <c r="E71" i="10"/>
  <c r="F70" i="10"/>
  <c r="E70" i="10"/>
  <c r="K70" i="10" s="1"/>
  <c r="F69" i="10"/>
  <c r="E69" i="10"/>
  <c r="F68" i="10"/>
  <c r="E68" i="10"/>
  <c r="F67" i="10"/>
  <c r="L67" i="10" s="1"/>
  <c r="E67" i="10"/>
  <c r="F66" i="10"/>
  <c r="E66" i="10"/>
  <c r="F65" i="10"/>
  <c r="E65" i="10"/>
  <c r="K65" i="10" s="1"/>
  <c r="F64" i="10"/>
  <c r="E64" i="10"/>
  <c r="F63" i="10"/>
  <c r="E63" i="10"/>
  <c r="F62" i="10"/>
  <c r="E62" i="10"/>
  <c r="K62" i="10" s="1"/>
  <c r="F61" i="10"/>
  <c r="E61" i="10"/>
  <c r="F60" i="10"/>
  <c r="E60" i="10"/>
  <c r="J60" i="10"/>
  <c r="F59" i="10"/>
  <c r="L59" i="10" s="1"/>
  <c r="E59" i="10"/>
  <c r="F58" i="10"/>
  <c r="E58" i="10"/>
  <c r="F57" i="10"/>
  <c r="E57" i="10"/>
  <c r="K57" i="10" s="1"/>
  <c r="F56" i="10"/>
  <c r="E56" i="10"/>
  <c r="F55" i="10"/>
  <c r="E55" i="10"/>
  <c r="F54" i="10"/>
  <c r="E54" i="10"/>
  <c r="K54" i="10" s="1"/>
  <c r="F53" i="10"/>
  <c r="E53" i="10"/>
  <c r="F52" i="10"/>
  <c r="E52" i="10"/>
  <c r="J52" i="10"/>
  <c r="F51" i="10"/>
  <c r="L51" i="10" s="1"/>
  <c r="E51" i="10"/>
  <c r="F50" i="10"/>
  <c r="E50" i="10"/>
  <c r="F49" i="10"/>
  <c r="E49" i="10"/>
  <c r="F48" i="10"/>
  <c r="E48" i="10"/>
  <c r="F47" i="10"/>
  <c r="E47" i="10"/>
  <c r="F46" i="10"/>
  <c r="L46" i="10" s="1"/>
  <c r="E46" i="10"/>
  <c r="F45" i="10"/>
  <c r="E45" i="10"/>
  <c r="F44" i="10"/>
  <c r="E44" i="10"/>
  <c r="J44" i="10"/>
  <c r="F43" i="10"/>
  <c r="L43" i="10" s="1"/>
  <c r="E43" i="10"/>
  <c r="F42" i="10"/>
  <c r="E42" i="10"/>
  <c r="F41" i="10"/>
  <c r="E41" i="10"/>
  <c r="K41" i="10" s="1"/>
  <c r="F40" i="10"/>
  <c r="E40" i="10"/>
  <c r="J40" i="10"/>
  <c r="F39" i="10"/>
  <c r="E39" i="10"/>
  <c r="F38" i="10"/>
  <c r="E38" i="10"/>
  <c r="K38" i="10" s="1"/>
  <c r="F37" i="10"/>
  <c r="E37" i="10"/>
  <c r="K37" i="10" s="1"/>
  <c r="F36" i="10"/>
  <c r="E36" i="10"/>
  <c r="F35" i="10"/>
  <c r="E35" i="10"/>
  <c r="F34" i="10"/>
  <c r="E34" i="10"/>
  <c r="F33" i="10"/>
  <c r="E33" i="10"/>
  <c r="F32" i="10"/>
  <c r="L32" i="10" s="1"/>
  <c r="E32" i="10"/>
  <c r="J32" i="10"/>
  <c r="F31" i="10"/>
  <c r="E31" i="10"/>
  <c r="F30" i="10"/>
  <c r="E30" i="10"/>
  <c r="K30" i="10" s="1"/>
  <c r="F29" i="10"/>
  <c r="E29" i="10"/>
  <c r="F28" i="10"/>
  <c r="E28" i="10"/>
  <c r="F27" i="10"/>
  <c r="L27" i="10" s="1"/>
  <c r="E27" i="10"/>
  <c r="F26" i="10"/>
  <c r="E26" i="10"/>
  <c r="J27" i="10"/>
  <c r="F25" i="10"/>
  <c r="E25" i="10"/>
  <c r="F24" i="10"/>
  <c r="E24" i="10"/>
  <c r="J24" i="10"/>
  <c r="F23" i="10"/>
  <c r="E23" i="10"/>
  <c r="F22" i="10"/>
  <c r="E22" i="10"/>
  <c r="F21" i="10"/>
  <c r="E21" i="10"/>
  <c r="K21" i="10" s="1"/>
  <c r="F20" i="10"/>
  <c r="E20" i="10"/>
  <c r="F19" i="10"/>
  <c r="E19" i="10"/>
  <c r="F18" i="10"/>
  <c r="E18" i="10"/>
  <c r="F17" i="10"/>
  <c r="E17" i="10"/>
  <c r="F16" i="10"/>
  <c r="E16" i="10"/>
  <c r="J16" i="10"/>
  <c r="F15" i="10"/>
  <c r="E15" i="10"/>
  <c r="F14" i="10"/>
  <c r="E14" i="10"/>
  <c r="K14" i="10" s="1"/>
  <c r="J15" i="10"/>
  <c r="F13" i="10"/>
  <c r="E13" i="10"/>
  <c r="F12" i="10"/>
  <c r="E12" i="10"/>
  <c r="F11" i="10"/>
  <c r="E11" i="10"/>
  <c r="F10" i="10"/>
  <c r="E10" i="10"/>
  <c r="F9" i="10"/>
  <c r="E9" i="10"/>
  <c r="F8" i="10"/>
  <c r="E8" i="10"/>
  <c r="J8" i="10"/>
  <c r="F7" i="10"/>
  <c r="E7" i="10"/>
  <c r="F6" i="10"/>
  <c r="E6" i="10"/>
  <c r="J7" i="10"/>
  <c r="F5" i="10"/>
  <c r="E5" i="10"/>
  <c r="F4" i="10"/>
  <c r="E4" i="10"/>
  <c r="F3" i="10"/>
  <c r="L3" i="10" s="1"/>
  <c r="E3" i="10"/>
  <c r="P2" i="10"/>
  <c r="H2" i="10"/>
  <c r="H3" i="10" s="1"/>
  <c r="H4" i="10" s="1"/>
  <c r="H5" i="10" s="1"/>
  <c r="H6" i="10" s="1"/>
  <c r="H7" i="10" s="1"/>
  <c r="H8" i="10" s="1"/>
  <c r="H9" i="10" s="1"/>
  <c r="H10" i="10" s="1"/>
  <c r="H11" i="10" s="1"/>
  <c r="H12" i="10" s="1"/>
  <c r="F2" i="10"/>
  <c r="E2" i="10"/>
  <c r="N75" i="8"/>
  <c r="F2" i="5"/>
  <c r="F2" i="4"/>
  <c r="M72" i="3"/>
  <c r="L72" i="3"/>
  <c r="J3" i="3"/>
  <c r="I3" i="3"/>
  <c r="H3" i="3"/>
  <c r="N74" i="6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2" i="3"/>
  <c r="F3" i="8"/>
  <c r="F4" i="8" s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2" i="8"/>
  <c r="F2" i="7"/>
  <c r="F3" i="7" s="1"/>
  <c r="J72" i="8"/>
  <c r="I72" i="8"/>
  <c r="H72" i="8"/>
  <c r="J71" i="8"/>
  <c r="I71" i="8"/>
  <c r="H71" i="8"/>
  <c r="J70" i="8"/>
  <c r="I70" i="8"/>
  <c r="H70" i="8"/>
  <c r="J69" i="8"/>
  <c r="I69" i="8"/>
  <c r="H69" i="8"/>
  <c r="J68" i="8"/>
  <c r="I68" i="8"/>
  <c r="H68" i="8"/>
  <c r="J67" i="8"/>
  <c r="I67" i="8"/>
  <c r="H67" i="8"/>
  <c r="J66" i="8"/>
  <c r="I66" i="8"/>
  <c r="H66" i="8"/>
  <c r="J65" i="8"/>
  <c r="I65" i="8"/>
  <c r="H65" i="8"/>
  <c r="J64" i="8"/>
  <c r="I64" i="8"/>
  <c r="H64" i="8"/>
  <c r="J63" i="8"/>
  <c r="I63" i="8"/>
  <c r="H63" i="8"/>
  <c r="J62" i="8"/>
  <c r="I62" i="8"/>
  <c r="H62" i="8"/>
  <c r="J61" i="8"/>
  <c r="I61" i="8"/>
  <c r="H61" i="8"/>
  <c r="J60" i="8"/>
  <c r="I60" i="8"/>
  <c r="H60" i="8"/>
  <c r="J59" i="8"/>
  <c r="I59" i="8"/>
  <c r="H59" i="8"/>
  <c r="J58" i="8"/>
  <c r="I58" i="8"/>
  <c r="H58" i="8"/>
  <c r="J57" i="8"/>
  <c r="I57" i="8"/>
  <c r="H57" i="8"/>
  <c r="J56" i="8"/>
  <c r="I56" i="8"/>
  <c r="H56" i="8"/>
  <c r="J55" i="8"/>
  <c r="I55" i="8"/>
  <c r="H55" i="8"/>
  <c r="J54" i="8"/>
  <c r="I54" i="8"/>
  <c r="H54" i="8"/>
  <c r="J53" i="8"/>
  <c r="I53" i="8"/>
  <c r="H53" i="8"/>
  <c r="J52" i="8"/>
  <c r="I52" i="8"/>
  <c r="H52" i="8"/>
  <c r="J51" i="8"/>
  <c r="I51" i="8"/>
  <c r="H51" i="8"/>
  <c r="J50" i="8"/>
  <c r="I50" i="8"/>
  <c r="H50" i="8"/>
  <c r="J49" i="8"/>
  <c r="I49" i="8"/>
  <c r="H49" i="8"/>
  <c r="J48" i="8"/>
  <c r="I48" i="8"/>
  <c r="H48" i="8"/>
  <c r="J47" i="8"/>
  <c r="I47" i="8"/>
  <c r="H47" i="8"/>
  <c r="J46" i="8"/>
  <c r="I46" i="8"/>
  <c r="H46" i="8"/>
  <c r="J45" i="8"/>
  <c r="I45" i="8"/>
  <c r="H45" i="8"/>
  <c r="J44" i="8"/>
  <c r="I44" i="8"/>
  <c r="H44" i="8"/>
  <c r="J43" i="8"/>
  <c r="I43" i="8"/>
  <c r="H43" i="8"/>
  <c r="J42" i="8"/>
  <c r="I42" i="8"/>
  <c r="H42" i="8"/>
  <c r="J41" i="8"/>
  <c r="I41" i="8"/>
  <c r="H41" i="8"/>
  <c r="J40" i="8"/>
  <c r="I40" i="8"/>
  <c r="H40" i="8"/>
  <c r="J39" i="8"/>
  <c r="I39" i="8"/>
  <c r="H39" i="8"/>
  <c r="J38" i="8"/>
  <c r="I38" i="8"/>
  <c r="H38" i="8"/>
  <c r="J37" i="8"/>
  <c r="I37" i="8"/>
  <c r="H37" i="8"/>
  <c r="J36" i="8"/>
  <c r="I36" i="8"/>
  <c r="H36" i="8"/>
  <c r="J35" i="8"/>
  <c r="I35" i="8"/>
  <c r="H35" i="8"/>
  <c r="J34" i="8"/>
  <c r="I34" i="8"/>
  <c r="H34" i="8"/>
  <c r="J33" i="8"/>
  <c r="I33" i="8"/>
  <c r="H33" i="8"/>
  <c r="J32" i="8"/>
  <c r="I32" i="8"/>
  <c r="H32" i="8"/>
  <c r="J31" i="8"/>
  <c r="I31" i="8"/>
  <c r="H31" i="8"/>
  <c r="J30" i="8"/>
  <c r="I30" i="8"/>
  <c r="H30" i="8"/>
  <c r="J29" i="8"/>
  <c r="I29" i="8"/>
  <c r="H29" i="8"/>
  <c r="J28" i="8"/>
  <c r="I28" i="8"/>
  <c r="H28" i="8"/>
  <c r="J27" i="8"/>
  <c r="I27" i="8"/>
  <c r="H27" i="8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J20" i="8"/>
  <c r="I20" i="8"/>
  <c r="H20" i="8"/>
  <c r="J19" i="8"/>
  <c r="I19" i="8"/>
  <c r="H19" i="8"/>
  <c r="J18" i="8"/>
  <c r="I18" i="8"/>
  <c r="H18" i="8"/>
  <c r="J17" i="8"/>
  <c r="I17" i="8"/>
  <c r="H17" i="8"/>
  <c r="J16" i="8"/>
  <c r="I16" i="8"/>
  <c r="H16" i="8"/>
  <c r="J15" i="8"/>
  <c r="I15" i="8"/>
  <c r="H15" i="8"/>
  <c r="J14" i="8"/>
  <c r="I14" i="8"/>
  <c r="H14" i="8"/>
  <c r="J13" i="8"/>
  <c r="I13" i="8"/>
  <c r="H13" i="8"/>
  <c r="J12" i="8"/>
  <c r="I12" i="8"/>
  <c r="H12" i="8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J4" i="8"/>
  <c r="I4" i="8"/>
  <c r="H4" i="8"/>
  <c r="J3" i="8"/>
  <c r="I3" i="8"/>
  <c r="H3" i="8"/>
  <c r="K3" i="8" s="1"/>
  <c r="F2" i="6"/>
  <c r="AI74" i="1"/>
  <c r="AH74" i="1"/>
  <c r="X74" i="1"/>
  <c r="J3" i="6"/>
  <c r="I3" i="6"/>
  <c r="H3" i="6"/>
  <c r="B72" i="6"/>
  <c r="J3" i="7"/>
  <c r="I3" i="7"/>
  <c r="H3" i="7"/>
  <c r="N2" i="7"/>
  <c r="D3" i="7"/>
  <c r="J4" i="7" s="1"/>
  <c r="D4" i="7"/>
  <c r="D5" i="7"/>
  <c r="D6" i="7"/>
  <c r="D7" i="7"/>
  <c r="J7" i="7" s="1"/>
  <c r="D8" i="7"/>
  <c r="D9" i="7"/>
  <c r="D10" i="7"/>
  <c r="J10" i="7" s="1"/>
  <c r="D11" i="7"/>
  <c r="J11" i="7" s="1"/>
  <c r="D12" i="7"/>
  <c r="D13" i="7"/>
  <c r="D14" i="7"/>
  <c r="D15" i="7"/>
  <c r="J15" i="7" s="1"/>
  <c r="D16" i="7"/>
  <c r="D17" i="7"/>
  <c r="D18" i="7"/>
  <c r="J18" i="7" s="1"/>
  <c r="D19" i="7"/>
  <c r="J20" i="7" s="1"/>
  <c r="D20" i="7"/>
  <c r="D21" i="7"/>
  <c r="D22" i="7"/>
  <c r="D23" i="7"/>
  <c r="J23" i="7" s="1"/>
  <c r="D24" i="7"/>
  <c r="D25" i="7"/>
  <c r="J25" i="7" s="1"/>
  <c r="D26" i="7"/>
  <c r="J26" i="7" s="1"/>
  <c r="D27" i="7"/>
  <c r="J28" i="7" s="1"/>
  <c r="D28" i="7"/>
  <c r="D29" i="7"/>
  <c r="D30" i="7"/>
  <c r="D31" i="7"/>
  <c r="J31" i="7" s="1"/>
  <c r="D32" i="7"/>
  <c r="D33" i="7"/>
  <c r="J33" i="7" s="1"/>
  <c r="D34" i="7"/>
  <c r="J34" i="7" s="1"/>
  <c r="D35" i="7"/>
  <c r="J36" i="7" s="1"/>
  <c r="D36" i="7"/>
  <c r="D37" i="7"/>
  <c r="D38" i="7"/>
  <c r="D39" i="7"/>
  <c r="J40" i="7" s="1"/>
  <c r="D40" i="7"/>
  <c r="D41" i="7"/>
  <c r="D42" i="7"/>
  <c r="J43" i="7" s="1"/>
  <c r="D43" i="7"/>
  <c r="J44" i="7" s="1"/>
  <c r="D44" i="7"/>
  <c r="D45" i="7"/>
  <c r="D46" i="7"/>
  <c r="D47" i="7"/>
  <c r="J48" i="7" s="1"/>
  <c r="D48" i="7"/>
  <c r="D49" i="7"/>
  <c r="D50" i="7"/>
  <c r="J50" i="7" s="1"/>
  <c r="D51" i="7"/>
  <c r="J52" i="7" s="1"/>
  <c r="D52" i="7"/>
  <c r="D53" i="7"/>
  <c r="D54" i="7"/>
  <c r="D55" i="7"/>
  <c r="J56" i="7" s="1"/>
  <c r="D56" i="7"/>
  <c r="D57" i="7"/>
  <c r="D58" i="7"/>
  <c r="J58" i="7" s="1"/>
  <c r="D59" i="7"/>
  <c r="D60" i="7"/>
  <c r="D61" i="7"/>
  <c r="D62" i="7"/>
  <c r="D63" i="7"/>
  <c r="J63" i="7" s="1"/>
  <c r="D64" i="7"/>
  <c r="D65" i="7"/>
  <c r="J65" i="7" s="1"/>
  <c r="D66" i="7"/>
  <c r="J66" i="7" s="1"/>
  <c r="D67" i="7"/>
  <c r="D68" i="7"/>
  <c r="D69" i="7"/>
  <c r="D70" i="7"/>
  <c r="D71" i="7"/>
  <c r="J72" i="7" s="1"/>
  <c r="D72" i="7"/>
  <c r="D2" i="7"/>
  <c r="C3" i="7"/>
  <c r="C4" i="7"/>
  <c r="I4" i="7" s="1"/>
  <c r="C5" i="7"/>
  <c r="C6" i="7"/>
  <c r="C7" i="7"/>
  <c r="I7" i="7" s="1"/>
  <c r="C8" i="7"/>
  <c r="C9" i="7"/>
  <c r="C10" i="7"/>
  <c r="I11" i="7" s="1"/>
  <c r="C11" i="7"/>
  <c r="C12" i="7"/>
  <c r="C13" i="7"/>
  <c r="C14" i="7"/>
  <c r="C15" i="7"/>
  <c r="C16" i="7"/>
  <c r="I17" i="7" s="1"/>
  <c r="C17" i="7"/>
  <c r="C18" i="7"/>
  <c r="I18" i="7" s="1"/>
  <c r="C19" i="7"/>
  <c r="C20" i="7"/>
  <c r="I21" i="7" s="1"/>
  <c r="C21" i="7"/>
  <c r="C22" i="7"/>
  <c r="C23" i="7"/>
  <c r="C24" i="7"/>
  <c r="I24" i="7" s="1"/>
  <c r="C25" i="7"/>
  <c r="C26" i="7"/>
  <c r="I26" i="7" s="1"/>
  <c r="C27" i="7"/>
  <c r="I27" i="7" s="1"/>
  <c r="C28" i="7"/>
  <c r="C29" i="7"/>
  <c r="C30" i="7"/>
  <c r="C31" i="7"/>
  <c r="C32" i="7"/>
  <c r="I33" i="7" s="1"/>
  <c r="C33" i="7"/>
  <c r="C34" i="7"/>
  <c r="I34" i="7" s="1"/>
  <c r="C35" i="7"/>
  <c r="C36" i="7"/>
  <c r="I37" i="7" s="1"/>
  <c r="C37" i="7"/>
  <c r="C38" i="7"/>
  <c r="C39" i="7"/>
  <c r="C40" i="7"/>
  <c r="I40" i="7" s="1"/>
  <c r="C41" i="7"/>
  <c r="C42" i="7"/>
  <c r="I43" i="7" s="1"/>
  <c r="C43" i="7"/>
  <c r="C44" i="7"/>
  <c r="I44" i="7" s="1"/>
  <c r="C45" i="7"/>
  <c r="C46" i="7"/>
  <c r="C47" i="7"/>
  <c r="I47" i="7" s="1"/>
  <c r="C48" i="7"/>
  <c r="C49" i="7"/>
  <c r="C50" i="7"/>
  <c r="I50" i="7" s="1"/>
  <c r="C51" i="7"/>
  <c r="I51" i="7" s="1"/>
  <c r="C52" i="7"/>
  <c r="C53" i="7"/>
  <c r="C54" i="7"/>
  <c r="C55" i="7"/>
  <c r="I56" i="7" s="1"/>
  <c r="C56" i="7"/>
  <c r="I57" i="7" s="1"/>
  <c r="C57" i="7"/>
  <c r="C58" i="7"/>
  <c r="I58" i="7" s="1"/>
  <c r="C59" i="7"/>
  <c r="I59" i="7" s="1"/>
  <c r="C60" i="7"/>
  <c r="I61" i="7" s="1"/>
  <c r="C61" i="7"/>
  <c r="C62" i="7"/>
  <c r="C63" i="7"/>
  <c r="C64" i="7"/>
  <c r="I64" i="7" s="1"/>
  <c r="C65" i="7"/>
  <c r="C66" i="7"/>
  <c r="I66" i="7" s="1"/>
  <c r="C67" i="7"/>
  <c r="I68" i="7" s="1"/>
  <c r="C68" i="7"/>
  <c r="C69" i="7"/>
  <c r="C70" i="7"/>
  <c r="C71" i="7"/>
  <c r="I71" i="7" s="1"/>
  <c r="C72" i="7"/>
  <c r="C2" i="7"/>
  <c r="B3" i="7"/>
  <c r="B4" i="7"/>
  <c r="H5" i="7" s="1"/>
  <c r="B5" i="7"/>
  <c r="B6" i="7"/>
  <c r="B7" i="7"/>
  <c r="B8" i="7"/>
  <c r="B9" i="7"/>
  <c r="B10" i="7"/>
  <c r="H11" i="7" s="1"/>
  <c r="B11" i="7"/>
  <c r="B12" i="7"/>
  <c r="H13" i="7" s="1"/>
  <c r="B13" i="7"/>
  <c r="B14" i="7"/>
  <c r="B15" i="7"/>
  <c r="H16" i="7" s="1"/>
  <c r="B16" i="7"/>
  <c r="B17" i="7"/>
  <c r="B18" i="7"/>
  <c r="H19" i="7" s="1"/>
  <c r="B19" i="7"/>
  <c r="B20" i="7"/>
  <c r="H21" i="7" s="1"/>
  <c r="B21" i="7"/>
  <c r="B22" i="7"/>
  <c r="B23" i="7"/>
  <c r="B24" i="7"/>
  <c r="B25" i="7"/>
  <c r="B26" i="7"/>
  <c r="H27" i="7" s="1"/>
  <c r="B27" i="7"/>
  <c r="B28" i="7"/>
  <c r="H29" i="7" s="1"/>
  <c r="B29" i="7"/>
  <c r="B30" i="7"/>
  <c r="B31" i="7"/>
  <c r="B32" i="7"/>
  <c r="B33" i="7"/>
  <c r="B34" i="7"/>
  <c r="H35" i="7" s="1"/>
  <c r="B35" i="7"/>
  <c r="B36" i="7"/>
  <c r="H37" i="7" s="1"/>
  <c r="B37" i="7"/>
  <c r="B38" i="7"/>
  <c r="B39" i="7"/>
  <c r="H40" i="7" s="1"/>
  <c r="B40" i="7"/>
  <c r="B41" i="7"/>
  <c r="B42" i="7"/>
  <c r="H43" i="7" s="1"/>
  <c r="B43" i="7"/>
  <c r="B44" i="7"/>
  <c r="H45" i="7" s="1"/>
  <c r="B45" i="7"/>
  <c r="B46" i="7"/>
  <c r="B47" i="7"/>
  <c r="H48" i="7" s="1"/>
  <c r="B48" i="7"/>
  <c r="B49" i="7"/>
  <c r="B50" i="7"/>
  <c r="H51" i="7" s="1"/>
  <c r="B51" i="7"/>
  <c r="B52" i="7"/>
  <c r="H53" i="7" s="1"/>
  <c r="B53" i="7"/>
  <c r="B54" i="7"/>
  <c r="B55" i="7"/>
  <c r="H56" i="7" s="1"/>
  <c r="B56" i="7"/>
  <c r="B57" i="7"/>
  <c r="B58" i="7"/>
  <c r="H59" i="7" s="1"/>
  <c r="B59" i="7"/>
  <c r="B60" i="7"/>
  <c r="H61" i="7" s="1"/>
  <c r="B61" i="7"/>
  <c r="B62" i="7"/>
  <c r="B63" i="7"/>
  <c r="H64" i="7" s="1"/>
  <c r="B64" i="7"/>
  <c r="B65" i="7"/>
  <c r="B66" i="7"/>
  <c r="H67" i="7" s="1"/>
  <c r="B67" i="7"/>
  <c r="B68" i="7"/>
  <c r="H69" i="7" s="1"/>
  <c r="B69" i="7"/>
  <c r="B70" i="7"/>
  <c r="B71" i="7"/>
  <c r="H72" i="7" s="1"/>
  <c r="B72" i="7"/>
  <c r="B2" i="7"/>
  <c r="I72" i="7"/>
  <c r="J71" i="7"/>
  <c r="H71" i="7"/>
  <c r="J70" i="7"/>
  <c r="I70" i="7"/>
  <c r="H70" i="7"/>
  <c r="J69" i="7"/>
  <c r="I69" i="7"/>
  <c r="J68" i="7"/>
  <c r="J67" i="7"/>
  <c r="I65" i="7"/>
  <c r="H65" i="7"/>
  <c r="J64" i="7"/>
  <c r="I63" i="7"/>
  <c r="H63" i="7"/>
  <c r="J62" i="7"/>
  <c r="I62" i="7"/>
  <c r="H62" i="7"/>
  <c r="J61" i="7"/>
  <c r="J60" i="7"/>
  <c r="I60" i="7"/>
  <c r="J57" i="7"/>
  <c r="H57" i="7"/>
  <c r="I55" i="7"/>
  <c r="H55" i="7"/>
  <c r="J54" i="7"/>
  <c r="I54" i="7"/>
  <c r="H54" i="7"/>
  <c r="J53" i="7"/>
  <c r="I53" i="7"/>
  <c r="I52" i="7"/>
  <c r="J49" i="7"/>
  <c r="I49" i="7"/>
  <c r="H49" i="7"/>
  <c r="I48" i="7"/>
  <c r="J47" i="7"/>
  <c r="H47" i="7"/>
  <c r="J46" i="7"/>
  <c r="I46" i="7"/>
  <c r="H46" i="7"/>
  <c r="J45" i="7"/>
  <c r="I45" i="7"/>
  <c r="J41" i="7"/>
  <c r="I41" i="7"/>
  <c r="H41" i="7"/>
  <c r="I39" i="7"/>
  <c r="H39" i="7"/>
  <c r="J38" i="7"/>
  <c r="I38" i="7"/>
  <c r="H38" i="7"/>
  <c r="J37" i="7"/>
  <c r="I36" i="7"/>
  <c r="H33" i="7"/>
  <c r="J32" i="7"/>
  <c r="H32" i="7"/>
  <c r="I31" i="7"/>
  <c r="H31" i="7"/>
  <c r="J30" i="7"/>
  <c r="I30" i="7"/>
  <c r="H30" i="7"/>
  <c r="J29" i="7"/>
  <c r="I29" i="7"/>
  <c r="I28" i="7"/>
  <c r="I25" i="7"/>
  <c r="H25" i="7"/>
  <c r="J24" i="7"/>
  <c r="H24" i="7"/>
  <c r="I23" i="7"/>
  <c r="H23" i="7"/>
  <c r="J22" i="7"/>
  <c r="I22" i="7"/>
  <c r="H22" i="7"/>
  <c r="J21" i="7"/>
  <c r="I20" i="7"/>
  <c r="I19" i="7"/>
  <c r="J17" i="7"/>
  <c r="H17" i="7"/>
  <c r="J16" i="7"/>
  <c r="I15" i="7"/>
  <c r="J14" i="7"/>
  <c r="I14" i="7"/>
  <c r="H14" i="7"/>
  <c r="J13" i="7"/>
  <c r="I13" i="7"/>
  <c r="J12" i="7"/>
  <c r="I12" i="7"/>
  <c r="J9" i="7"/>
  <c r="I9" i="7"/>
  <c r="H9" i="7"/>
  <c r="J8" i="7"/>
  <c r="I8" i="7"/>
  <c r="H8" i="7"/>
  <c r="H7" i="7"/>
  <c r="J6" i="7"/>
  <c r="I6" i="7"/>
  <c r="H6" i="7"/>
  <c r="J5" i="7"/>
  <c r="I5" i="7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2" i="6"/>
  <c r="D72" i="8"/>
  <c r="C72" i="8"/>
  <c r="B72" i="8"/>
  <c r="D71" i="8"/>
  <c r="C71" i="8"/>
  <c r="B71" i="8"/>
  <c r="D70" i="8"/>
  <c r="C70" i="8"/>
  <c r="B70" i="8"/>
  <c r="D69" i="8"/>
  <c r="C69" i="8"/>
  <c r="B69" i="8"/>
  <c r="D68" i="8"/>
  <c r="C68" i="8"/>
  <c r="B68" i="8"/>
  <c r="D67" i="8"/>
  <c r="C67" i="8"/>
  <c r="B67" i="8"/>
  <c r="D66" i="8"/>
  <c r="C66" i="8"/>
  <c r="B66" i="8"/>
  <c r="D65" i="8"/>
  <c r="C65" i="8"/>
  <c r="B65" i="8"/>
  <c r="D64" i="8"/>
  <c r="C64" i="8"/>
  <c r="B64" i="8"/>
  <c r="D63" i="8"/>
  <c r="C63" i="8"/>
  <c r="B63" i="8"/>
  <c r="D62" i="8"/>
  <c r="C62" i="8"/>
  <c r="B62" i="8"/>
  <c r="D61" i="8"/>
  <c r="C61" i="8"/>
  <c r="B61" i="8"/>
  <c r="D60" i="8"/>
  <c r="C60" i="8"/>
  <c r="B60" i="8"/>
  <c r="D59" i="8"/>
  <c r="C59" i="8"/>
  <c r="B59" i="8"/>
  <c r="D58" i="8"/>
  <c r="C58" i="8"/>
  <c r="B58" i="8"/>
  <c r="D57" i="8"/>
  <c r="C57" i="8"/>
  <c r="B57" i="8"/>
  <c r="D56" i="8"/>
  <c r="C56" i="8"/>
  <c r="B56" i="8"/>
  <c r="D55" i="8"/>
  <c r="C55" i="8"/>
  <c r="B55" i="8"/>
  <c r="D54" i="8"/>
  <c r="C54" i="8"/>
  <c r="B54" i="8"/>
  <c r="D53" i="8"/>
  <c r="C53" i="8"/>
  <c r="B53" i="8"/>
  <c r="D52" i="8"/>
  <c r="C52" i="8"/>
  <c r="B52" i="8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D45" i="8"/>
  <c r="C45" i="8"/>
  <c r="B45" i="8"/>
  <c r="D44" i="8"/>
  <c r="C44" i="8"/>
  <c r="B44" i="8"/>
  <c r="D43" i="8"/>
  <c r="C43" i="8"/>
  <c r="B43" i="8"/>
  <c r="D42" i="8"/>
  <c r="C42" i="8"/>
  <c r="B42" i="8"/>
  <c r="D41" i="8"/>
  <c r="C41" i="8"/>
  <c r="B41" i="8"/>
  <c r="D40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D3" i="8"/>
  <c r="C3" i="8"/>
  <c r="B3" i="8"/>
  <c r="N2" i="8"/>
  <c r="D2" i="8"/>
  <c r="C2" i="8"/>
  <c r="B2" i="8"/>
  <c r="D72" i="6"/>
  <c r="C72" i="6"/>
  <c r="D71" i="6"/>
  <c r="J71" i="6" s="1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J60" i="6" s="1"/>
  <c r="C60" i="6"/>
  <c r="D59" i="6"/>
  <c r="C59" i="6"/>
  <c r="D58" i="6"/>
  <c r="J58" i="6" s="1"/>
  <c r="C58" i="6"/>
  <c r="D57" i="6"/>
  <c r="C57" i="6"/>
  <c r="I57" i="6" s="1"/>
  <c r="D56" i="6"/>
  <c r="C56" i="6"/>
  <c r="D55" i="6"/>
  <c r="C55" i="6"/>
  <c r="D54" i="6"/>
  <c r="J54" i="6" s="1"/>
  <c r="C54" i="6"/>
  <c r="D53" i="6"/>
  <c r="C53" i="6"/>
  <c r="D52" i="6"/>
  <c r="C52" i="6"/>
  <c r="D51" i="6"/>
  <c r="C51" i="6"/>
  <c r="D50" i="6"/>
  <c r="C50" i="6"/>
  <c r="D49" i="6"/>
  <c r="J49" i="6" s="1"/>
  <c r="C49" i="6"/>
  <c r="I49" i="6" s="1"/>
  <c r="D48" i="6"/>
  <c r="C48" i="6"/>
  <c r="D47" i="6"/>
  <c r="J47" i="6" s="1"/>
  <c r="C47" i="6"/>
  <c r="D46" i="6"/>
  <c r="C46" i="6"/>
  <c r="D45" i="6"/>
  <c r="J45" i="6" s="1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J33" i="6" s="1"/>
  <c r="C33" i="6"/>
  <c r="D32" i="6"/>
  <c r="C32" i="6"/>
  <c r="D31" i="6"/>
  <c r="J31" i="6" s="1"/>
  <c r="C31" i="6"/>
  <c r="D30" i="6"/>
  <c r="C30" i="6"/>
  <c r="D29" i="6"/>
  <c r="J29" i="6" s="1"/>
  <c r="C29" i="6"/>
  <c r="D28" i="6"/>
  <c r="C28" i="6"/>
  <c r="D27" i="6"/>
  <c r="J27" i="6" s="1"/>
  <c r="C27" i="6"/>
  <c r="D26" i="6"/>
  <c r="C26" i="6"/>
  <c r="I26" i="6" s="1"/>
  <c r="D25" i="6"/>
  <c r="C25" i="6"/>
  <c r="D24" i="6"/>
  <c r="C24" i="6"/>
  <c r="I25" i="6" s="1"/>
  <c r="D23" i="6"/>
  <c r="C23" i="6"/>
  <c r="D22" i="6"/>
  <c r="C22" i="6"/>
  <c r="I22" i="6" s="1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J12" i="6" s="1"/>
  <c r="C12" i="6"/>
  <c r="D11" i="6"/>
  <c r="J11" i="6" s="1"/>
  <c r="C11" i="6"/>
  <c r="D10" i="6"/>
  <c r="C10" i="6"/>
  <c r="D9" i="6"/>
  <c r="C9" i="6"/>
  <c r="D8" i="6"/>
  <c r="C8" i="6"/>
  <c r="D7" i="6"/>
  <c r="J7" i="6" s="1"/>
  <c r="C7" i="6"/>
  <c r="D6" i="6"/>
  <c r="C6" i="6"/>
  <c r="D5" i="6"/>
  <c r="C5" i="6"/>
  <c r="D4" i="6"/>
  <c r="J4" i="6" s="1"/>
  <c r="C4" i="6"/>
  <c r="D3" i="6"/>
  <c r="C3" i="6"/>
  <c r="N2" i="6"/>
  <c r="D2" i="6"/>
  <c r="C2" i="6"/>
  <c r="K34" i="5"/>
  <c r="J72" i="5"/>
  <c r="I72" i="5"/>
  <c r="H72" i="5"/>
  <c r="J71" i="5"/>
  <c r="I71" i="5"/>
  <c r="H71" i="5"/>
  <c r="J70" i="5"/>
  <c r="I70" i="5"/>
  <c r="H70" i="5"/>
  <c r="J69" i="5"/>
  <c r="I69" i="5"/>
  <c r="H69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J63" i="5"/>
  <c r="I63" i="5"/>
  <c r="H63" i="5"/>
  <c r="J62" i="5"/>
  <c r="I62" i="5"/>
  <c r="H62" i="5"/>
  <c r="J61" i="5"/>
  <c r="K61" i="5" s="1"/>
  <c r="I61" i="5"/>
  <c r="H61" i="5"/>
  <c r="J60" i="5"/>
  <c r="K60" i="5" s="1"/>
  <c r="I60" i="5"/>
  <c r="H60" i="5"/>
  <c r="J59" i="5"/>
  <c r="I59" i="5"/>
  <c r="H59" i="5"/>
  <c r="J58" i="5"/>
  <c r="I58" i="5"/>
  <c r="H58" i="5"/>
  <c r="J57" i="5"/>
  <c r="I57" i="5"/>
  <c r="H57" i="5"/>
  <c r="K57" i="5" s="1"/>
  <c r="J56" i="5"/>
  <c r="I56" i="5"/>
  <c r="H56" i="5"/>
  <c r="J55" i="5"/>
  <c r="I55" i="5"/>
  <c r="H55" i="5"/>
  <c r="J54" i="5"/>
  <c r="I54" i="5"/>
  <c r="H54" i="5"/>
  <c r="J53" i="5"/>
  <c r="K53" i="5" s="1"/>
  <c r="I53" i="5"/>
  <c r="H53" i="5"/>
  <c r="J52" i="5"/>
  <c r="I52" i="5"/>
  <c r="H52" i="5"/>
  <c r="J51" i="5"/>
  <c r="I51" i="5"/>
  <c r="H51" i="5"/>
  <c r="J50" i="5"/>
  <c r="I50" i="5"/>
  <c r="H50" i="5"/>
  <c r="J49" i="5"/>
  <c r="I49" i="5"/>
  <c r="H49" i="5"/>
  <c r="K49" i="5" s="1"/>
  <c r="J48" i="5"/>
  <c r="I48" i="5"/>
  <c r="H48" i="5"/>
  <c r="J47" i="5"/>
  <c r="K47" i="5" s="1"/>
  <c r="I47" i="5"/>
  <c r="H47" i="5"/>
  <c r="J46" i="5"/>
  <c r="I46" i="5"/>
  <c r="H46" i="5"/>
  <c r="J45" i="5"/>
  <c r="I45" i="5"/>
  <c r="H45" i="5"/>
  <c r="J44" i="5"/>
  <c r="I44" i="5"/>
  <c r="H44" i="5"/>
  <c r="J43" i="5"/>
  <c r="I43" i="5"/>
  <c r="H43" i="5"/>
  <c r="J42" i="5"/>
  <c r="K42" i="5" s="1"/>
  <c r="I42" i="5"/>
  <c r="H42" i="5"/>
  <c r="J41" i="5"/>
  <c r="I41" i="5"/>
  <c r="H41" i="5"/>
  <c r="K41" i="5" s="1"/>
  <c r="J40" i="5"/>
  <c r="I40" i="5"/>
  <c r="H40" i="5"/>
  <c r="J39" i="5"/>
  <c r="K39" i="5" s="1"/>
  <c r="I39" i="5"/>
  <c r="H39" i="5"/>
  <c r="J38" i="5"/>
  <c r="I38" i="5"/>
  <c r="H38" i="5"/>
  <c r="J37" i="5"/>
  <c r="I37" i="5"/>
  <c r="H37" i="5"/>
  <c r="J36" i="5"/>
  <c r="I36" i="5"/>
  <c r="H36" i="5"/>
  <c r="J35" i="5"/>
  <c r="K35" i="5" s="1"/>
  <c r="I35" i="5"/>
  <c r="H35" i="5"/>
  <c r="J34" i="5"/>
  <c r="I34" i="5"/>
  <c r="H34" i="5"/>
  <c r="J33" i="5"/>
  <c r="I33" i="5"/>
  <c r="H33" i="5"/>
  <c r="K33" i="5" s="1"/>
  <c r="J32" i="5"/>
  <c r="I32" i="5"/>
  <c r="H32" i="5"/>
  <c r="J31" i="5"/>
  <c r="K31" i="5" s="1"/>
  <c r="I31" i="5"/>
  <c r="H31" i="5"/>
  <c r="J30" i="5"/>
  <c r="I30" i="5"/>
  <c r="H30" i="5"/>
  <c r="J29" i="5"/>
  <c r="I29" i="5"/>
  <c r="H29" i="5"/>
  <c r="J28" i="5"/>
  <c r="I28" i="5"/>
  <c r="H28" i="5"/>
  <c r="J27" i="5"/>
  <c r="K27" i="5" s="1"/>
  <c r="I27" i="5"/>
  <c r="H27" i="5"/>
  <c r="J26" i="5"/>
  <c r="K26" i="5" s="1"/>
  <c r="I26" i="5"/>
  <c r="H26" i="5"/>
  <c r="J25" i="5"/>
  <c r="I25" i="5"/>
  <c r="H25" i="5"/>
  <c r="J24" i="5"/>
  <c r="I24" i="5"/>
  <c r="H24" i="5"/>
  <c r="J23" i="5"/>
  <c r="K23" i="5" s="1"/>
  <c r="I23" i="5"/>
  <c r="H23" i="5"/>
  <c r="J22" i="5"/>
  <c r="I22" i="5"/>
  <c r="H22" i="5"/>
  <c r="J21" i="5"/>
  <c r="I21" i="5"/>
  <c r="H21" i="5"/>
  <c r="J20" i="5"/>
  <c r="K20" i="5" s="1"/>
  <c r="I20" i="5"/>
  <c r="H20" i="5"/>
  <c r="J19" i="5"/>
  <c r="K19" i="5" s="1"/>
  <c r="I19" i="5"/>
  <c r="H19" i="5"/>
  <c r="J18" i="5"/>
  <c r="I18" i="5"/>
  <c r="H18" i="5"/>
  <c r="J17" i="5"/>
  <c r="I17" i="5"/>
  <c r="H17" i="5"/>
  <c r="K17" i="5" s="1"/>
  <c r="J16" i="5"/>
  <c r="I16" i="5"/>
  <c r="H16" i="5"/>
  <c r="J15" i="5"/>
  <c r="K15" i="5" s="1"/>
  <c r="I15" i="5"/>
  <c r="H15" i="5"/>
  <c r="J14" i="5"/>
  <c r="I14" i="5"/>
  <c r="H14" i="5"/>
  <c r="J13" i="5"/>
  <c r="I13" i="5"/>
  <c r="H13" i="5"/>
  <c r="J12" i="5"/>
  <c r="K12" i="5" s="1"/>
  <c r="I12" i="5"/>
  <c r="H12" i="5"/>
  <c r="J11" i="5"/>
  <c r="K11" i="5" s="1"/>
  <c r="I11" i="5"/>
  <c r="H11" i="5"/>
  <c r="J10" i="5"/>
  <c r="K10" i="5" s="1"/>
  <c r="I10" i="5"/>
  <c r="H10" i="5"/>
  <c r="J9" i="5"/>
  <c r="I9" i="5"/>
  <c r="H9" i="5"/>
  <c r="K9" i="5" s="1"/>
  <c r="J8" i="5"/>
  <c r="I8" i="5"/>
  <c r="H8" i="5"/>
  <c r="J7" i="5"/>
  <c r="K7" i="5" s="1"/>
  <c r="I7" i="5"/>
  <c r="H7" i="5"/>
  <c r="J6" i="5"/>
  <c r="I6" i="5"/>
  <c r="H6" i="5"/>
  <c r="J5" i="5"/>
  <c r="I5" i="5"/>
  <c r="H5" i="5"/>
  <c r="J4" i="5"/>
  <c r="K4" i="5" s="1"/>
  <c r="I4" i="5"/>
  <c r="H4" i="5"/>
  <c r="J3" i="5"/>
  <c r="K3" i="5" s="1"/>
  <c r="I3" i="5"/>
  <c r="H3" i="5"/>
  <c r="J2" i="5"/>
  <c r="K2" i="5" s="1"/>
  <c r="I2" i="5"/>
  <c r="H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2" i="5"/>
  <c r="C3" i="5"/>
  <c r="C4" i="5"/>
  <c r="C5" i="5"/>
  <c r="C6" i="5"/>
  <c r="N6" i="5" s="1"/>
  <c r="C7" i="5"/>
  <c r="C8" i="5"/>
  <c r="C9" i="5"/>
  <c r="C10" i="5"/>
  <c r="C11" i="5"/>
  <c r="C12" i="5"/>
  <c r="C13" i="5"/>
  <c r="C14" i="5"/>
  <c r="N14" i="5" s="1"/>
  <c r="C15" i="5"/>
  <c r="N15" i="5" s="1"/>
  <c r="C16" i="5"/>
  <c r="C17" i="5"/>
  <c r="C18" i="5"/>
  <c r="C19" i="5"/>
  <c r="C20" i="5"/>
  <c r="C21" i="5"/>
  <c r="C22" i="5"/>
  <c r="N22" i="5" s="1"/>
  <c r="C23" i="5"/>
  <c r="N24" i="5" s="1"/>
  <c r="C24" i="5"/>
  <c r="C25" i="5"/>
  <c r="C26" i="5"/>
  <c r="C27" i="5"/>
  <c r="C28" i="5"/>
  <c r="C29" i="5"/>
  <c r="C30" i="5"/>
  <c r="C31" i="5"/>
  <c r="C32" i="5"/>
  <c r="C33" i="5"/>
  <c r="N33" i="5" s="1"/>
  <c r="C34" i="5"/>
  <c r="C35" i="5"/>
  <c r="C36" i="5"/>
  <c r="C37" i="5"/>
  <c r="C38" i="5"/>
  <c r="N38" i="5" s="1"/>
  <c r="C39" i="5"/>
  <c r="C40" i="5"/>
  <c r="C41" i="5"/>
  <c r="C42" i="5"/>
  <c r="C43" i="5"/>
  <c r="C44" i="5"/>
  <c r="C45" i="5"/>
  <c r="C46" i="5"/>
  <c r="C47" i="5"/>
  <c r="N47" i="5" s="1"/>
  <c r="C48" i="5"/>
  <c r="C49" i="5"/>
  <c r="C50" i="5"/>
  <c r="C51" i="5"/>
  <c r="C52" i="5"/>
  <c r="C53" i="5"/>
  <c r="C54" i="5"/>
  <c r="N54" i="5" s="1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N69" i="5" s="1"/>
  <c r="C70" i="5"/>
  <c r="C71" i="5"/>
  <c r="C72" i="5"/>
  <c r="C2" i="5"/>
  <c r="N3" i="5" s="1"/>
  <c r="B3" i="5"/>
  <c r="B4" i="5"/>
  <c r="B5" i="5"/>
  <c r="B6" i="5"/>
  <c r="B7" i="5"/>
  <c r="M7" i="5" s="1"/>
  <c r="B8" i="5"/>
  <c r="B9" i="5"/>
  <c r="B10" i="5"/>
  <c r="B11" i="5"/>
  <c r="B12" i="5"/>
  <c r="B13" i="5"/>
  <c r="B14" i="5"/>
  <c r="M14" i="5" s="1"/>
  <c r="B15" i="5"/>
  <c r="M15" i="5" s="1"/>
  <c r="B16" i="5"/>
  <c r="B17" i="5"/>
  <c r="B18" i="5"/>
  <c r="B19" i="5"/>
  <c r="B20" i="5"/>
  <c r="B21" i="5"/>
  <c r="B22" i="5"/>
  <c r="M22" i="5" s="1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M38" i="5" s="1"/>
  <c r="B39" i="5"/>
  <c r="B40" i="5"/>
  <c r="B41" i="5"/>
  <c r="B42" i="5"/>
  <c r="B43" i="5"/>
  <c r="B44" i="5"/>
  <c r="B45" i="5"/>
  <c r="B46" i="5"/>
  <c r="M46" i="5" s="1"/>
  <c r="B47" i="5"/>
  <c r="B48" i="5"/>
  <c r="B49" i="5"/>
  <c r="B50" i="5"/>
  <c r="B51" i="5"/>
  <c r="B52" i="5"/>
  <c r="B53" i="5"/>
  <c r="B54" i="5"/>
  <c r="M54" i="5" s="1"/>
  <c r="B55" i="5"/>
  <c r="B56" i="5"/>
  <c r="B57" i="5"/>
  <c r="B58" i="5"/>
  <c r="B59" i="5"/>
  <c r="B60" i="5"/>
  <c r="B61" i="5"/>
  <c r="B62" i="5"/>
  <c r="M62" i="5" s="1"/>
  <c r="B63" i="5"/>
  <c r="B64" i="5"/>
  <c r="B65" i="5"/>
  <c r="B66" i="5"/>
  <c r="B67" i="5"/>
  <c r="B68" i="5"/>
  <c r="B69" i="5"/>
  <c r="B70" i="5"/>
  <c r="M70" i="5" s="1"/>
  <c r="B71" i="5"/>
  <c r="B72" i="5"/>
  <c r="B2" i="5"/>
  <c r="N61" i="5"/>
  <c r="N53" i="5"/>
  <c r="N45" i="5"/>
  <c r="N37" i="5"/>
  <c r="N30" i="5"/>
  <c r="M30" i="5"/>
  <c r="N29" i="5"/>
  <c r="N21" i="5"/>
  <c r="M21" i="5"/>
  <c r="N13" i="5"/>
  <c r="M6" i="5"/>
  <c r="N5" i="5"/>
  <c r="S2" i="5"/>
  <c r="S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2" i="4"/>
  <c r="I3" i="4"/>
  <c r="I4" i="4"/>
  <c r="I5" i="4"/>
  <c r="I6" i="4"/>
  <c r="I7" i="4"/>
  <c r="I8" i="4"/>
  <c r="K8" i="4" s="1"/>
  <c r="I9" i="4"/>
  <c r="I10" i="4"/>
  <c r="I11" i="4"/>
  <c r="I12" i="4"/>
  <c r="I13" i="4"/>
  <c r="I14" i="4"/>
  <c r="I15" i="4"/>
  <c r="I16" i="4"/>
  <c r="K16" i="4" s="1"/>
  <c r="I17" i="4"/>
  <c r="I18" i="4"/>
  <c r="I19" i="4"/>
  <c r="I20" i="4"/>
  <c r="I21" i="4"/>
  <c r="I22" i="4"/>
  <c r="I23" i="4"/>
  <c r="I24" i="4"/>
  <c r="K24" i="4" s="1"/>
  <c r="I25" i="4"/>
  <c r="I26" i="4"/>
  <c r="I27" i="4"/>
  <c r="I28" i="4"/>
  <c r="I29" i="4"/>
  <c r="I30" i="4"/>
  <c r="I31" i="4"/>
  <c r="I32" i="4"/>
  <c r="K32" i="4" s="1"/>
  <c r="I33" i="4"/>
  <c r="I34" i="4"/>
  <c r="I35" i="4"/>
  <c r="I36" i="4"/>
  <c r="I37" i="4"/>
  <c r="I38" i="4"/>
  <c r="I39" i="4"/>
  <c r="I40" i="4"/>
  <c r="K40" i="4" s="1"/>
  <c r="I41" i="4"/>
  <c r="I42" i="4"/>
  <c r="I43" i="4"/>
  <c r="I44" i="4"/>
  <c r="I45" i="4"/>
  <c r="I46" i="4"/>
  <c r="I47" i="4"/>
  <c r="I48" i="4"/>
  <c r="K48" i="4" s="1"/>
  <c r="I49" i="4"/>
  <c r="I50" i="4"/>
  <c r="I51" i="4"/>
  <c r="I52" i="4"/>
  <c r="I53" i="4"/>
  <c r="I54" i="4"/>
  <c r="I55" i="4"/>
  <c r="I56" i="4"/>
  <c r="K56" i="4" s="1"/>
  <c r="I57" i="4"/>
  <c r="K57" i="4" s="1"/>
  <c r="I58" i="4"/>
  <c r="I59" i="4"/>
  <c r="I60" i="4"/>
  <c r="I61" i="4"/>
  <c r="I62" i="4"/>
  <c r="I63" i="4"/>
  <c r="I64" i="4"/>
  <c r="I65" i="4"/>
  <c r="K65" i="4" s="1"/>
  <c r="I66" i="4"/>
  <c r="I67" i="4"/>
  <c r="I68" i="4"/>
  <c r="I69" i="4"/>
  <c r="I70" i="4"/>
  <c r="I71" i="4"/>
  <c r="I72" i="4"/>
  <c r="I2" i="4"/>
  <c r="H4" i="4"/>
  <c r="K4" i="4" s="1"/>
  <c r="H5" i="4"/>
  <c r="H6" i="4"/>
  <c r="H7" i="4"/>
  <c r="K7" i="4" s="1"/>
  <c r="H8" i="4"/>
  <c r="H9" i="4"/>
  <c r="H10" i="4"/>
  <c r="H11" i="4"/>
  <c r="H12" i="4"/>
  <c r="K12" i="4" s="1"/>
  <c r="H13" i="4"/>
  <c r="K13" i="4" s="1"/>
  <c r="H14" i="4"/>
  <c r="H15" i="4"/>
  <c r="H16" i="4"/>
  <c r="H17" i="4"/>
  <c r="H18" i="4"/>
  <c r="H19" i="4"/>
  <c r="H20" i="4"/>
  <c r="K20" i="4" s="1"/>
  <c r="H21" i="4"/>
  <c r="K21" i="4" s="1"/>
  <c r="H22" i="4"/>
  <c r="H23" i="4"/>
  <c r="H24" i="4"/>
  <c r="H25" i="4"/>
  <c r="H26" i="4"/>
  <c r="H27" i="4"/>
  <c r="H28" i="4"/>
  <c r="K28" i="4" s="1"/>
  <c r="H29" i="4"/>
  <c r="K29" i="4" s="1"/>
  <c r="H30" i="4"/>
  <c r="H31" i="4"/>
  <c r="H32" i="4"/>
  <c r="H33" i="4"/>
  <c r="H34" i="4"/>
  <c r="H35" i="4"/>
  <c r="H36" i="4"/>
  <c r="K36" i="4" s="1"/>
  <c r="H37" i="4"/>
  <c r="H38" i="4"/>
  <c r="H39" i="4"/>
  <c r="H40" i="4"/>
  <c r="H41" i="4"/>
  <c r="H42" i="4"/>
  <c r="H43" i="4"/>
  <c r="H44" i="4"/>
  <c r="K44" i="4" s="1"/>
  <c r="H45" i="4"/>
  <c r="H46" i="4"/>
  <c r="H47" i="4"/>
  <c r="H48" i="4"/>
  <c r="H49" i="4"/>
  <c r="H50" i="4"/>
  <c r="H51" i="4"/>
  <c r="H52" i="4"/>
  <c r="K52" i="4" s="1"/>
  <c r="H53" i="4"/>
  <c r="H54" i="4"/>
  <c r="H55" i="4"/>
  <c r="K55" i="4" s="1"/>
  <c r="H56" i="4"/>
  <c r="H57" i="4"/>
  <c r="H58" i="4"/>
  <c r="H59" i="4"/>
  <c r="H60" i="4"/>
  <c r="K60" i="4" s="1"/>
  <c r="H61" i="4"/>
  <c r="K61" i="4" s="1"/>
  <c r="H62" i="4"/>
  <c r="H63" i="4"/>
  <c r="H64" i="4"/>
  <c r="H65" i="4"/>
  <c r="H66" i="4"/>
  <c r="K66" i="4" s="1"/>
  <c r="H67" i="4"/>
  <c r="H68" i="4"/>
  <c r="H69" i="4"/>
  <c r="H70" i="4"/>
  <c r="H71" i="4"/>
  <c r="K71" i="4" s="1"/>
  <c r="H72" i="4"/>
  <c r="H3" i="4"/>
  <c r="H2" i="4"/>
  <c r="AI75" i="1"/>
  <c r="AH75" i="1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2" i="4"/>
  <c r="C3" i="4"/>
  <c r="N3" i="4" s="1"/>
  <c r="C4" i="4"/>
  <c r="C5" i="4"/>
  <c r="C6" i="4"/>
  <c r="N6" i="4" s="1"/>
  <c r="C7" i="4"/>
  <c r="N7" i="4" s="1"/>
  <c r="C8" i="4"/>
  <c r="C9" i="4"/>
  <c r="C10" i="4"/>
  <c r="N10" i="4" s="1"/>
  <c r="C11" i="4"/>
  <c r="N11" i="4" s="1"/>
  <c r="C12" i="4"/>
  <c r="C13" i="4"/>
  <c r="C14" i="4"/>
  <c r="N14" i="4" s="1"/>
  <c r="C15" i="4"/>
  <c r="C16" i="4"/>
  <c r="C17" i="4"/>
  <c r="C18" i="4"/>
  <c r="N18" i="4" s="1"/>
  <c r="C19" i="4"/>
  <c r="N19" i="4" s="1"/>
  <c r="C20" i="4"/>
  <c r="C21" i="4"/>
  <c r="C22" i="4"/>
  <c r="C23" i="4"/>
  <c r="N23" i="4" s="1"/>
  <c r="C24" i="4"/>
  <c r="C25" i="4"/>
  <c r="C26" i="4"/>
  <c r="N26" i="4" s="1"/>
  <c r="C27" i="4"/>
  <c r="N27" i="4" s="1"/>
  <c r="C28" i="4"/>
  <c r="C29" i="4"/>
  <c r="C30" i="4"/>
  <c r="C31" i="4"/>
  <c r="N31" i="4" s="1"/>
  <c r="C32" i="4"/>
  <c r="C33" i="4"/>
  <c r="C34" i="4"/>
  <c r="N34" i="4" s="1"/>
  <c r="C35" i="4"/>
  <c r="N35" i="4" s="1"/>
  <c r="C36" i="4"/>
  <c r="C37" i="4"/>
  <c r="C38" i="4"/>
  <c r="C39" i="4"/>
  <c r="N39" i="4" s="1"/>
  <c r="C40" i="4"/>
  <c r="C41" i="4"/>
  <c r="C42" i="4"/>
  <c r="C43" i="4"/>
  <c r="N44" i="4" s="1"/>
  <c r="C44" i="4"/>
  <c r="C45" i="4"/>
  <c r="N45" i="4" s="1"/>
  <c r="C46" i="4"/>
  <c r="N46" i="4" s="1"/>
  <c r="C47" i="4"/>
  <c r="N47" i="4" s="1"/>
  <c r="C48" i="4"/>
  <c r="C49" i="4"/>
  <c r="C50" i="4"/>
  <c r="C51" i="4"/>
  <c r="C52" i="4"/>
  <c r="C53" i="4"/>
  <c r="C54" i="4"/>
  <c r="C55" i="4"/>
  <c r="N55" i="4" s="1"/>
  <c r="C56" i="4"/>
  <c r="C57" i="4"/>
  <c r="C58" i="4"/>
  <c r="N58" i="4" s="1"/>
  <c r="C59" i="4"/>
  <c r="N59" i="4" s="1"/>
  <c r="C60" i="4"/>
  <c r="C61" i="4"/>
  <c r="C62" i="4"/>
  <c r="C63" i="4"/>
  <c r="N63" i="4" s="1"/>
  <c r="C64" i="4"/>
  <c r="C65" i="4"/>
  <c r="C66" i="4"/>
  <c r="N66" i="4" s="1"/>
  <c r="C67" i="4"/>
  <c r="N67" i="4" s="1"/>
  <c r="C68" i="4"/>
  <c r="C69" i="4"/>
  <c r="C70" i="4"/>
  <c r="N70" i="4" s="1"/>
  <c r="C71" i="4"/>
  <c r="N71" i="4" s="1"/>
  <c r="C72" i="4"/>
  <c r="C2" i="4"/>
  <c r="B3" i="4"/>
  <c r="M3" i="4" s="1"/>
  <c r="B4" i="4"/>
  <c r="M4" i="4" s="1"/>
  <c r="B5" i="4"/>
  <c r="B6" i="4"/>
  <c r="M6" i="4" s="1"/>
  <c r="B7" i="4"/>
  <c r="B8" i="4"/>
  <c r="M8" i="4" s="1"/>
  <c r="B9" i="4"/>
  <c r="B10" i="4"/>
  <c r="B11" i="4"/>
  <c r="B12" i="4"/>
  <c r="M12" i="4" s="1"/>
  <c r="B13" i="4"/>
  <c r="B14" i="4"/>
  <c r="B15" i="4"/>
  <c r="B16" i="4"/>
  <c r="M16" i="4" s="1"/>
  <c r="B17" i="4"/>
  <c r="B18" i="4"/>
  <c r="B19" i="4"/>
  <c r="B20" i="4"/>
  <c r="M20" i="4" s="1"/>
  <c r="B21" i="4"/>
  <c r="B22" i="4"/>
  <c r="B23" i="4"/>
  <c r="B24" i="4"/>
  <c r="M24" i="4" s="1"/>
  <c r="B25" i="4"/>
  <c r="B26" i="4"/>
  <c r="B27" i="4"/>
  <c r="B28" i="4"/>
  <c r="M28" i="4" s="1"/>
  <c r="B29" i="4"/>
  <c r="B30" i="4"/>
  <c r="B31" i="4"/>
  <c r="M31" i="4" s="1"/>
  <c r="B32" i="4"/>
  <c r="B33" i="4"/>
  <c r="B34" i="4"/>
  <c r="B35" i="4"/>
  <c r="B36" i="4"/>
  <c r="M36" i="4" s="1"/>
  <c r="B37" i="4"/>
  <c r="B38" i="4"/>
  <c r="B39" i="4"/>
  <c r="M39" i="4" s="1"/>
  <c r="B40" i="4"/>
  <c r="M40" i="4" s="1"/>
  <c r="B41" i="4"/>
  <c r="B42" i="4"/>
  <c r="B43" i="4"/>
  <c r="B44" i="4"/>
  <c r="M44" i="4" s="1"/>
  <c r="B45" i="4"/>
  <c r="B46" i="4"/>
  <c r="M46" i="4" s="1"/>
  <c r="B47" i="4"/>
  <c r="B48" i="4"/>
  <c r="M48" i="4" s="1"/>
  <c r="B49" i="4"/>
  <c r="B50" i="4"/>
  <c r="B51" i="4"/>
  <c r="B52" i="4"/>
  <c r="M52" i="4" s="1"/>
  <c r="B53" i="4"/>
  <c r="B54" i="4"/>
  <c r="B55" i="4"/>
  <c r="B56" i="4"/>
  <c r="M56" i="4" s="1"/>
  <c r="B57" i="4"/>
  <c r="B58" i="4"/>
  <c r="B59" i="4"/>
  <c r="B60" i="4"/>
  <c r="M60" i="4" s="1"/>
  <c r="B61" i="4"/>
  <c r="B62" i="4"/>
  <c r="B63" i="4"/>
  <c r="M63" i="4" s="1"/>
  <c r="B64" i="4"/>
  <c r="M64" i="4" s="1"/>
  <c r="B65" i="4"/>
  <c r="B66" i="4"/>
  <c r="B67" i="4"/>
  <c r="B68" i="4"/>
  <c r="M68" i="4" s="1"/>
  <c r="B69" i="4"/>
  <c r="B70" i="4"/>
  <c r="B71" i="4"/>
  <c r="M71" i="4" s="1"/>
  <c r="B72" i="4"/>
  <c r="M72" i="4" s="1"/>
  <c r="B2" i="4"/>
  <c r="K69" i="4"/>
  <c r="K68" i="4"/>
  <c r="K64" i="4"/>
  <c r="K63" i="4"/>
  <c r="M62" i="4"/>
  <c r="K62" i="4"/>
  <c r="M55" i="4"/>
  <c r="K53" i="4"/>
  <c r="K47" i="4"/>
  <c r="K46" i="4"/>
  <c r="K45" i="4"/>
  <c r="N41" i="4"/>
  <c r="K41" i="4"/>
  <c r="K39" i="4"/>
  <c r="K37" i="4"/>
  <c r="N33" i="4"/>
  <c r="M32" i="4"/>
  <c r="K31" i="4"/>
  <c r="M30" i="4"/>
  <c r="K23" i="4"/>
  <c r="K22" i="4"/>
  <c r="N17" i="4"/>
  <c r="K15" i="4"/>
  <c r="K14" i="4"/>
  <c r="N9" i="4"/>
  <c r="N8" i="4"/>
  <c r="K6" i="4"/>
  <c r="N5" i="4"/>
  <c r="K5" i="4"/>
  <c r="O5" i="4" s="1"/>
  <c r="K3" i="4"/>
  <c r="O4" i="4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X75" i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3" i="3"/>
  <c r="D4" i="3"/>
  <c r="D2" i="3"/>
  <c r="C5" i="3"/>
  <c r="C6" i="3"/>
  <c r="I6" i="3" s="1"/>
  <c r="C7" i="3"/>
  <c r="C8" i="3"/>
  <c r="I8" i="3" s="1"/>
  <c r="C9" i="3"/>
  <c r="C10" i="3"/>
  <c r="C11" i="3"/>
  <c r="C12" i="3"/>
  <c r="C13" i="3"/>
  <c r="C14" i="3"/>
  <c r="C15" i="3"/>
  <c r="C16" i="3"/>
  <c r="I16" i="3" s="1"/>
  <c r="C17" i="3"/>
  <c r="C18" i="3"/>
  <c r="C19" i="3"/>
  <c r="C20" i="3"/>
  <c r="I21" i="3" s="1"/>
  <c r="C21" i="3"/>
  <c r="C22" i="3"/>
  <c r="C23" i="3"/>
  <c r="C24" i="3"/>
  <c r="C25" i="3"/>
  <c r="C26" i="3"/>
  <c r="C27" i="3"/>
  <c r="C28" i="3"/>
  <c r="I29" i="3" s="1"/>
  <c r="C29" i="3"/>
  <c r="C30" i="3"/>
  <c r="C31" i="3"/>
  <c r="C32" i="3"/>
  <c r="C33" i="3"/>
  <c r="I34" i="3" s="1"/>
  <c r="C34" i="3"/>
  <c r="C35" i="3"/>
  <c r="C36" i="3"/>
  <c r="C37" i="3"/>
  <c r="C38" i="3"/>
  <c r="C39" i="3"/>
  <c r="C40" i="3"/>
  <c r="I40" i="3" s="1"/>
  <c r="C41" i="3"/>
  <c r="I42" i="3" s="1"/>
  <c r="C42" i="3"/>
  <c r="C43" i="3"/>
  <c r="C44" i="3"/>
  <c r="C45" i="3"/>
  <c r="C46" i="3"/>
  <c r="I46" i="3" s="1"/>
  <c r="C47" i="3"/>
  <c r="C48" i="3"/>
  <c r="I48" i="3" s="1"/>
  <c r="C49" i="3"/>
  <c r="I50" i="3" s="1"/>
  <c r="C50" i="3"/>
  <c r="C51" i="3"/>
  <c r="C52" i="3"/>
  <c r="C53" i="3"/>
  <c r="C54" i="3"/>
  <c r="C55" i="3"/>
  <c r="C56" i="3"/>
  <c r="C57" i="3"/>
  <c r="I58" i="3" s="1"/>
  <c r="C58" i="3"/>
  <c r="C59" i="3"/>
  <c r="C60" i="3"/>
  <c r="C61" i="3"/>
  <c r="C62" i="3"/>
  <c r="C63" i="3"/>
  <c r="C64" i="3"/>
  <c r="I64" i="3" s="1"/>
  <c r="C65" i="3"/>
  <c r="I66" i="3" s="1"/>
  <c r="C66" i="3"/>
  <c r="C67" i="3"/>
  <c r="C68" i="3"/>
  <c r="C69" i="3"/>
  <c r="C70" i="3"/>
  <c r="C71" i="3"/>
  <c r="C72" i="3"/>
  <c r="I72" i="3" s="1"/>
  <c r="C4" i="3"/>
  <c r="I5" i="3" s="1"/>
  <c r="C3" i="3"/>
  <c r="C2" i="3"/>
  <c r="I71" i="3"/>
  <c r="I62" i="3"/>
  <c r="I56" i="3"/>
  <c r="I55" i="3"/>
  <c r="I49" i="3"/>
  <c r="I47" i="3"/>
  <c r="I41" i="3"/>
  <c r="I32" i="3"/>
  <c r="I31" i="3"/>
  <c r="I26" i="3"/>
  <c r="I24" i="3"/>
  <c r="I23" i="3"/>
  <c r="I18" i="3"/>
  <c r="I15" i="3"/>
  <c r="I10" i="3"/>
  <c r="I7" i="3"/>
  <c r="M2" i="3"/>
  <c r="H11" i="11" l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54" i="11" s="1"/>
  <c r="H55" i="11" s="1"/>
  <c r="H56" i="11" s="1"/>
  <c r="H57" i="11" s="1"/>
  <c r="H58" i="11" s="1"/>
  <c r="H59" i="11" s="1"/>
  <c r="H60" i="11" s="1"/>
  <c r="H61" i="11" s="1"/>
  <c r="H62" i="11" s="1"/>
  <c r="H63" i="11" s="1"/>
  <c r="H64" i="11" s="1"/>
  <c r="H65" i="11" s="1"/>
  <c r="H66" i="11" s="1"/>
  <c r="H67" i="11" s="1"/>
  <c r="H68" i="11" s="1"/>
  <c r="H69" i="11" s="1"/>
  <c r="H70" i="11" s="1"/>
  <c r="H71" i="11" s="1"/>
  <c r="H72" i="11" s="1"/>
  <c r="L10" i="11"/>
  <c r="L43" i="11"/>
  <c r="L45" i="11"/>
  <c r="J54" i="11"/>
  <c r="L54" i="11" s="1"/>
  <c r="L6" i="11"/>
  <c r="L8" i="11"/>
  <c r="L12" i="11"/>
  <c r="L14" i="11"/>
  <c r="D22" i="11"/>
  <c r="J22" i="11" s="1"/>
  <c r="K29" i="11"/>
  <c r="K31" i="11"/>
  <c r="D33" i="11"/>
  <c r="D39" i="11"/>
  <c r="D54" i="11"/>
  <c r="J66" i="11"/>
  <c r="J30" i="11"/>
  <c r="D41" i="11"/>
  <c r="J58" i="11"/>
  <c r="K71" i="11"/>
  <c r="D23" i="11"/>
  <c r="D38" i="11"/>
  <c r="J38" i="11" s="1"/>
  <c r="K45" i="11"/>
  <c r="D49" i="11"/>
  <c r="D51" i="11"/>
  <c r="J51" i="11" s="1"/>
  <c r="L51" i="11" s="1"/>
  <c r="K61" i="11"/>
  <c r="D70" i="11"/>
  <c r="J71" i="11" s="1"/>
  <c r="L71" i="11" s="1"/>
  <c r="J56" i="11"/>
  <c r="K5" i="11"/>
  <c r="K7" i="11"/>
  <c r="K9" i="11"/>
  <c r="K11" i="11"/>
  <c r="K13" i="11"/>
  <c r="K15" i="11"/>
  <c r="K17" i="11"/>
  <c r="K19" i="11"/>
  <c r="J27" i="11"/>
  <c r="K49" i="11"/>
  <c r="K51" i="11"/>
  <c r="K63" i="11"/>
  <c r="J72" i="11"/>
  <c r="L72" i="11" s="1"/>
  <c r="K21" i="11"/>
  <c r="K23" i="11"/>
  <c r="D25" i="11"/>
  <c r="J31" i="11"/>
  <c r="K53" i="11"/>
  <c r="D62" i="11"/>
  <c r="J62" i="11" s="1"/>
  <c r="J4" i="11"/>
  <c r="L4" i="11" s="1"/>
  <c r="J16" i="11"/>
  <c r="L16" i="11" s="1"/>
  <c r="K25" i="11"/>
  <c r="K27" i="11"/>
  <c r="J35" i="11"/>
  <c r="J50" i="11"/>
  <c r="J52" i="11"/>
  <c r="K55" i="11"/>
  <c r="J64" i="11"/>
  <c r="K65" i="11"/>
  <c r="J26" i="11"/>
  <c r="L26" i="11" s="1"/>
  <c r="J44" i="11"/>
  <c r="L44" i="11" s="1"/>
  <c r="J34" i="11"/>
  <c r="L34" i="11" s="1"/>
  <c r="J5" i="11"/>
  <c r="L5" i="11" s="1"/>
  <c r="J7" i="11"/>
  <c r="J9" i="11"/>
  <c r="L9" i="11" s="1"/>
  <c r="J11" i="11"/>
  <c r="L11" i="11" s="1"/>
  <c r="J13" i="11"/>
  <c r="L13" i="11" s="1"/>
  <c r="J15" i="11"/>
  <c r="J17" i="11"/>
  <c r="J42" i="11"/>
  <c r="L42" i="11" s="1"/>
  <c r="K60" i="11"/>
  <c r="J63" i="11"/>
  <c r="L63" i="11" s="1"/>
  <c r="K18" i="11"/>
  <c r="D24" i="11"/>
  <c r="J24" i="11" s="1"/>
  <c r="L24" i="11" s="1"/>
  <c r="K26" i="11"/>
  <c r="D32" i="11"/>
  <c r="J32" i="11" s="1"/>
  <c r="L32" i="11" s="1"/>
  <c r="K34" i="11"/>
  <c r="D40" i="11"/>
  <c r="J40" i="11" s="1"/>
  <c r="L40" i="11" s="1"/>
  <c r="K42" i="11"/>
  <c r="K54" i="11"/>
  <c r="J57" i="11"/>
  <c r="L57" i="11" s="1"/>
  <c r="K70" i="11"/>
  <c r="K44" i="11"/>
  <c r="J67" i="11"/>
  <c r="L67" i="11" s="1"/>
  <c r="J53" i="11"/>
  <c r="D18" i="11"/>
  <c r="J18" i="11" s="1"/>
  <c r="K20" i="11"/>
  <c r="K28" i="11"/>
  <c r="K36" i="11"/>
  <c r="K46" i="11"/>
  <c r="K58" i="11"/>
  <c r="J61" i="11"/>
  <c r="K48" i="11"/>
  <c r="K52" i="11"/>
  <c r="J55" i="11"/>
  <c r="L55" i="11" s="1"/>
  <c r="K68" i="11"/>
  <c r="D20" i="11"/>
  <c r="J20" i="11" s="1"/>
  <c r="K22" i="11"/>
  <c r="D28" i="11"/>
  <c r="J28" i="11" s="1"/>
  <c r="K30" i="11"/>
  <c r="D36" i="11"/>
  <c r="J36" i="11" s="1"/>
  <c r="L36" i="11" s="1"/>
  <c r="K38" i="11"/>
  <c r="D46" i="11"/>
  <c r="J46" i="11" s="1"/>
  <c r="L46" i="11" s="1"/>
  <c r="K50" i="11"/>
  <c r="K62" i="11"/>
  <c r="J65" i="11"/>
  <c r="L65" i="11" s="1"/>
  <c r="D48" i="11"/>
  <c r="J48" i="11" s="1"/>
  <c r="L48" i="11" s="1"/>
  <c r="J59" i="11"/>
  <c r="L59" i="11" s="1"/>
  <c r="K50" i="10"/>
  <c r="J68" i="10"/>
  <c r="L28" i="10"/>
  <c r="L23" i="10"/>
  <c r="K26" i="10"/>
  <c r="K34" i="10"/>
  <c r="K53" i="10"/>
  <c r="J56" i="10"/>
  <c r="L6" i="10"/>
  <c r="J20" i="10"/>
  <c r="J35" i="10"/>
  <c r="J39" i="10"/>
  <c r="J47" i="10"/>
  <c r="L44" i="10"/>
  <c r="J4" i="10"/>
  <c r="J12" i="10"/>
  <c r="J31" i="10"/>
  <c r="K32" i="10"/>
  <c r="L34" i="10"/>
  <c r="J37" i="10"/>
  <c r="L39" i="10"/>
  <c r="K42" i="10"/>
  <c r="L16" i="10"/>
  <c r="L36" i="10"/>
  <c r="K22" i="10"/>
  <c r="K61" i="10"/>
  <c r="J64" i="10"/>
  <c r="K69" i="10"/>
  <c r="J72" i="10"/>
  <c r="K6" i="10"/>
  <c r="J11" i="10"/>
  <c r="L12" i="10"/>
  <c r="K25" i="10"/>
  <c r="J28" i="10"/>
  <c r="J51" i="10"/>
  <c r="L53" i="10"/>
  <c r="L7" i="10"/>
  <c r="M7" i="10" s="1"/>
  <c r="K10" i="10"/>
  <c r="L48" i="10"/>
  <c r="K51" i="10"/>
  <c r="K59" i="10"/>
  <c r="K67" i="10"/>
  <c r="K17" i="10"/>
  <c r="L19" i="10"/>
  <c r="J23" i="10"/>
  <c r="K33" i="10"/>
  <c r="L35" i="10"/>
  <c r="K40" i="10"/>
  <c r="L42" i="10"/>
  <c r="K47" i="10"/>
  <c r="J55" i="10"/>
  <c r="L58" i="10"/>
  <c r="L66" i="10"/>
  <c r="L8" i="10"/>
  <c r="K15" i="10"/>
  <c r="L24" i="10"/>
  <c r="L40" i="10"/>
  <c r="J45" i="10"/>
  <c r="L47" i="10"/>
  <c r="K55" i="10"/>
  <c r="K63" i="10"/>
  <c r="K71" i="10"/>
  <c r="K13" i="10"/>
  <c r="L15" i="10"/>
  <c r="J19" i="10"/>
  <c r="K29" i="10"/>
  <c r="L31" i="10"/>
  <c r="K36" i="10"/>
  <c r="L38" i="10"/>
  <c r="J43" i="10"/>
  <c r="J53" i="10"/>
  <c r="L55" i="10"/>
  <c r="K58" i="10"/>
  <c r="J61" i="10"/>
  <c r="L63" i="10"/>
  <c r="K66" i="10"/>
  <c r="J69" i="10"/>
  <c r="L71" i="10"/>
  <c r="K11" i="10"/>
  <c r="L20" i="10"/>
  <c r="J5" i="10"/>
  <c r="K9" i="10"/>
  <c r="L11" i="10"/>
  <c r="J36" i="10"/>
  <c r="L62" i="10"/>
  <c r="L70" i="10"/>
  <c r="J3" i="10"/>
  <c r="K5" i="10"/>
  <c r="K18" i="10"/>
  <c r="J48" i="10"/>
  <c r="K3" i="10"/>
  <c r="J9" i="10"/>
  <c r="J13" i="10"/>
  <c r="J17" i="10"/>
  <c r="J21" i="10"/>
  <c r="J25" i="10"/>
  <c r="J29" i="10"/>
  <c r="J33" i="10"/>
  <c r="J41" i="10"/>
  <c r="K7" i="10"/>
  <c r="K19" i="10"/>
  <c r="K23" i="10"/>
  <c r="K27" i="10"/>
  <c r="K31" i="10"/>
  <c r="K35" i="10"/>
  <c r="K39" i="10"/>
  <c r="K43" i="10"/>
  <c r="K46" i="10"/>
  <c r="L49" i="10"/>
  <c r="L10" i="10"/>
  <c r="L14" i="10"/>
  <c r="L18" i="10"/>
  <c r="L22" i="10"/>
  <c r="L26" i="10"/>
  <c r="L30" i="10"/>
  <c r="L33" i="10"/>
  <c r="L37" i="10"/>
  <c r="L41" i="10"/>
  <c r="L45" i="10"/>
  <c r="K49" i="10"/>
  <c r="J54" i="10"/>
  <c r="J59" i="10"/>
  <c r="J63" i="10"/>
  <c r="J67" i="10"/>
  <c r="J71" i="10"/>
  <c r="K45" i="10"/>
  <c r="J50" i="10"/>
  <c r="K52" i="10"/>
  <c r="K56" i="10"/>
  <c r="K60" i="10"/>
  <c r="K64" i="10"/>
  <c r="K68" i="10"/>
  <c r="K72" i="10"/>
  <c r="J34" i="10"/>
  <c r="J38" i="10"/>
  <c r="J42" i="10"/>
  <c r="J46" i="10"/>
  <c r="K48" i="10"/>
  <c r="L52" i="10"/>
  <c r="L54" i="10"/>
  <c r="L56" i="10"/>
  <c r="L60" i="10"/>
  <c r="L64" i="10"/>
  <c r="L68" i="10"/>
  <c r="L72" i="10"/>
  <c r="L4" i="10"/>
  <c r="K8" i="10"/>
  <c r="K12" i="10"/>
  <c r="K20" i="10"/>
  <c r="K24" i="10"/>
  <c r="K28" i="10"/>
  <c r="K44" i="10"/>
  <c r="L50" i="10"/>
  <c r="H13" i="10"/>
  <c r="H14" i="10" s="1"/>
  <c r="H15" i="10" s="1"/>
  <c r="H16" i="10" s="1"/>
  <c r="K4" i="10"/>
  <c r="K16" i="10"/>
  <c r="L5" i="10"/>
  <c r="J6" i="10"/>
  <c r="L9" i="10"/>
  <c r="J10" i="10"/>
  <c r="L13" i="10"/>
  <c r="J14" i="10"/>
  <c r="L17" i="10"/>
  <c r="J18" i="10"/>
  <c r="L21" i="10"/>
  <c r="J22" i="10"/>
  <c r="L25" i="10"/>
  <c r="J26" i="10"/>
  <c r="L29" i="10"/>
  <c r="J30" i="10"/>
  <c r="L57" i="10"/>
  <c r="J58" i="10"/>
  <c r="L61" i="10"/>
  <c r="J62" i="10"/>
  <c r="L65" i="10"/>
  <c r="J66" i="10"/>
  <c r="L69" i="10"/>
  <c r="J70" i="10"/>
  <c r="I68" i="3"/>
  <c r="I60" i="3"/>
  <c r="I52" i="3"/>
  <c r="I44" i="3"/>
  <c r="I36" i="3"/>
  <c r="I12" i="3"/>
  <c r="I67" i="3"/>
  <c r="I59" i="3"/>
  <c r="I51" i="3"/>
  <c r="I43" i="3"/>
  <c r="I35" i="3"/>
  <c r="I27" i="3"/>
  <c r="I19" i="3"/>
  <c r="I11" i="3"/>
  <c r="K30" i="8"/>
  <c r="K14" i="8"/>
  <c r="K38" i="8"/>
  <c r="K46" i="8"/>
  <c r="K54" i="8"/>
  <c r="K62" i="8"/>
  <c r="K70" i="8"/>
  <c r="K4" i="8"/>
  <c r="K7" i="8"/>
  <c r="K12" i="8"/>
  <c r="K15" i="8"/>
  <c r="K20" i="8"/>
  <c r="K23" i="8"/>
  <c r="K28" i="8"/>
  <c r="K31" i="8"/>
  <c r="K36" i="8"/>
  <c r="K39" i="8"/>
  <c r="K44" i="8"/>
  <c r="K47" i="8"/>
  <c r="K52" i="8"/>
  <c r="K55" i="8"/>
  <c r="K60" i="8"/>
  <c r="K63" i="8"/>
  <c r="K68" i="8"/>
  <c r="K71" i="8"/>
  <c r="K9" i="8"/>
  <c r="K5" i="8"/>
  <c r="K10" i="8"/>
  <c r="K13" i="8"/>
  <c r="K18" i="8"/>
  <c r="K21" i="8"/>
  <c r="K26" i="8"/>
  <c r="K29" i="8"/>
  <c r="K34" i="8"/>
  <c r="K37" i="8"/>
  <c r="K42" i="8"/>
  <c r="K45" i="8"/>
  <c r="K50" i="8"/>
  <c r="K53" i="8"/>
  <c r="K58" i="8"/>
  <c r="K61" i="8"/>
  <c r="K66" i="8"/>
  <c r="K69" i="8"/>
  <c r="K17" i="8"/>
  <c r="K6" i="8"/>
  <c r="K22" i="8"/>
  <c r="K33" i="8"/>
  <c r="K41" i="8"/>
  <c r="K49" i="8"/>
  <c r="K57" i="8"/>
  <c r="K65" i="8"/>
  <c r="K8" i="8"/>
  <c r="K11" i="8"/>
  <c r="K16" i="8"/>
  <c r="K19" i="8"/>
  <c r="K24" i="8"/>
  <c r="K27" i="8"/>
  <c r="K32" i="8"/>
  <c r="K35" i="8"/>
  <c r="K40" i="8"/>
  <c r="K43" i="8"/>
  <c r="K48" i="8"/>
  <c r="K51" i="8"/>
  <c r="K56" i="8"/>
  <c r="K59" i="8"/>
  <c r="K64" i="8"/>
  <c r="K67" i="8"/>
  <c r="K72" i="8"/>
  <c r="K25" i="8"/>
  <c r="F4" i="7"/>
  <c r="K3" i="7"/>
  <c r="M3" i="7" s="1"/>
  <c r="N3" i="7"/>
  <c r="J59" i="7"/>
  <c r="J42" i="7"/>
  <c r="J51" i="7"/>
  <c r="J19" i="7"/>
  <c r="J27" i="7"/>
  <c r="J35" i="7"/>
  <c r="J55" i="7"/>
  <c r="J39" i="7"/>
  <c r="I35" i="7"/>
  <c r="I16" i="7"/>
  <c r="I32" i="7"/>
  <c r="I42" i="7"/>
  <c r="I10" i="7"/>
  <c r="I67" i="7"/>
  <c r="H4" i="7"/>
  <c r="H12" i="7"/>
  <c r="H20" i="7"/>
  <c r="H28" i="7"/>
  <c r="H36" i="7"/>
  <c r="H44" i="7"/>
  <c r="H52" i="7"/>
  <c r="H60" i="7"/>
  <c r="H68" i="7"/>
  <c r="H15" i="7"/>
  <c r="H10" i="7"/>
  <c r="H18" i="7"/>
  <c r="H26" i="7"/>
  <c r="H34" i="7"/>
  <c r="H42" i="7"/>
  <c r="H50" i="7"/>
  <c r="H58" i="7"/>
  <c r="H66" i="7"/>
  <c r="J16" i="6"/>
  <c r="J20" i="6"/>
  <c r="J24" i="6"/>
  <c r="J36" i="6"/>
  <c r="J40" i="6"/>
  <c r="J44" i="6"/>
  <c r="I9" i="6"/>
  <c r="I33" i="6"/>
  <c r="I37" i="6"/>
  <c r="I41" i="6"/>
  <c r="J52" i="6"/>
  <c r="J56" i="6"/>
  <c r="J64" i="6"/>
  <c r="J68" i="6"/>
  <c r="J72" i="6"/>
  <c r="J5" i="6"/>
  <c r="I30" i="6"/>
  <c r="I47" i="6"/>
  <c r="J14" i="6"/>
  <c r="J18" i="6"/>
  <c r="J22" i="6"/>
  <c r="J38" i="6"/>
  <c r="I62" i="6"/>
  <c r="I44" i="6"/>
  <c r="J62" i="6"/>
  <c r="J66" i="6"/>
  <c r="J70" i="6"/>
  <c r="I9" i="3"/>
  <c r="N48" i="4"/>
  <c r="M65" i="4"/>
  <c r="M57" i="4"/>
  <c r="M49" i="4"/>
  <c r="M41" i="4"/>
  <c r="M33" i="4"/>
  <c r="M25" i="4"/>
  <c r="M17" i="4"/>
  <c r="M9" i="4"/>
  <c r="N72" i="4"/>
  <c r="N64" i="4"/>
  <c r="N56" i="4"/>
  <c r="N49" i="4"/>
  <c r="N40" i="4"/>
  <c r="N32" i="4"/>
  <c r="N24" i="4"/>
  <c r="K69" i="5"/>
  <c r="H5" i="6"/>
  <c r="H8" i="6"/>
  <c r="J10" i="6"/>
  <c r="J35" i="6"/>
  <c r="J37" i="6"/>
  <c r="J39" i="6"/>
  <c r="J41" i="6"/>
  <c r="J43" i="6"/>
  <c r="I45" i="6"/>
  <c r="H56" i="6"/>
  <c r="M23" i="4"/>
  <c r="M15" i="4"/>
  <c r="N62" i="4"/>
  <c r="N54" i="4"/>
  <c r="N38" i="4"/>
  <c r="N30" i="4"/>
  <c r="N22" i="4"/>
  <c r="J9" i="6"/>
  <c r="J26" i="6"/>
  <c r="J51" i="6"/>
  <c r="J53" i="6"/>
  <c r="J55" i="6"/>
  <c r="J57" i="6"/>
  <c r="J59" i="6"/>
  <c r="H42" i="3"/>
  <c r="J42" i="3" s="1"/>
  <c r="H34" i="3"/>
  <c r="J34" i="3" s="1"/>
  <c r="H25" i="3"/>
  <c r="H18" i="3"/>
  <c r="J18" i="3" s="1"/>
  <c r="I25" i="3"/>
  <c r="I17" i="3"/>
  <c r="N52" i="4"/>
  <c r="K72" i="4"/>
  <c r="K25" i="5"/>
  <c r="O26" i="5" s="1"/>
  <c r="I11" i="6"/>
  <c r="J32" i="6"/>
  <c r="J34" i="6"/>
  <c r="J42" i="6"/>
  <c r="H61" i="6"/>
  <c r="J61" i="6"/>
  <c r="J63" i="6"/>
  <c r="J65" i="6"/>
  <c r="H4" i="3"/>
  <c r="K2" i="4"/>
  <c r="J13" i="6"/>
  <c r="J15" i="6"/>
  <c r="J19" i="6"/>
  <c r="J21" i="6"/>
  <c r="J46" i="6"/>
  <c r="J48" i="6"/>
  <c r="I4" i="6"/>
  <c r="I6" i="6"/>
  <c r="J23" i="6"/>
  <c r="J25" i="6"/>
  <c r="H37" i="6"/>
  <c r="K37" i="6" s="1"/>
  <c r="I55" i="6"/>
  <c r="I63" i="3"/>
  <c r="I39" i="3"/>
  <c r="K18" i="5"/>
  <c r="O18" i="5" s="1"/>
  <c r="K50" i="5"/>
  <c r="O50" i="5" s="1"/>
  <c r="K58" i="5"/>
  <c r="O58" i="5" s="1"/>
  <c r="K66" i="5"/>
  <c r="J6" i="6"/>
  <c r="J8" i="6"/>
  <c r="I31" i="6"/>
  <c r="H47" i="6"/>
  <c r="K47" i="6" s="1"/>
  <c r="J50" i="6"/>
  <c r="I68" i="6"/>
  <c r="I70" i="6"/>
  <c r="M21" i="4"/>
  <c r="I57" i="3"/>
  <c r="M14" i="4"/>
  <c r="N21" i="4"/>
  <c r="N25" i="4"/>
  <c r="M47" i="4"/>
  <c r="F3" i="5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M37" i="4"/>
  <c r="O57" i="4"/>
  <c r="J30" i="6"/>
  <c r="I36" i="6"/>
  <c r="H66" i="3"/>
  <c r="J66" i="3" s="1"/>
  <c r="M7" i="4"/>
  <c r="M22" i="4"/>
  <c r="N57" i="4"/>
  <c r="O65" i="4"/>
  <c r="J67" i="6"/>
  <c r="J69" i="6"/>
  <c r="I53" i="3"/>
  <c r="H64" i="3"/>
  <c r="J64" i="3" s="1"/>
  <c r="H48" i="3"/>
  <c r="J48" i="3" s="1"/>
  <c r="H39" i="3"/>
  <c r="H31" i="3"/>
  <c r="J31" i="3" s="1"/>
  <c r="H24" i="3"/>
  <c r="J24" i="3" s="1"/>
  <c r="H16" i="3"/>
  <c r="J16" i="3" s="1"/>
  <c r="H8" i="3"/>
  <c r="J8" i="3" s="1"/>
  <c r="I4" i="3"/>
  <c r="O66" i="4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P72" i="4" s="1"/>
  <c r="K67" i="4"/>
  <c r="O67" i="4" s="1"/>
  <c r="K59" i="4"/>
  <c r="O60" i="4" s="1"/>
  <c r="K51" i="4"/>
  <c r="O52" i="4" s="1"/>
  <c r="J17" i="6"/>
  <c r="I13" i="3"/>
  <c r="I70" i="3"/>
  <c r="I61" i="3"/>
  <c r="I54" i="3"/>
  <c r="I45" i="3"/>
  <c r="I38" i="3"/>
  <c r="I30" i="3"/>
  <c r="I22" i="3"/>
  <c r="I14" i="3"/>
  <c r="O3" i="4"/>
  <c r="M70" i="4"/>
  <c r="M54" i="4"/>
  <c r="M45" i="4"/>
  <c r="M38" i="4"/>
  <c r="M29" i="4"/>
  <c r="M13" i="4"/>
  <c r="M5" i="4"/>
  <c r="N53" i="4"/>
  <c r="N37" i="4"/>
  <c r="N29" i="4"/>
  <c r="N20" i="4"/>
  <c r="N13" i="4"/>
  <c r="N4" i="4"/>
  <c r="J28" i="6"/>
  <c r="O28" i="4"/>
  <c r="K58" i="4"/>
  <c r="O58" i="4" s="1"/>
  <c r="K50" i="4"/>
  <c r="K26" i="4"/>
  <c r="K18" i="4"/>
  <c r="K5" i="5"/>
  <c r="K13" i="5"/>
  <c r="K21" i="5"/>
  <c r="K29" i="5"/>
  <c r="O29" i="5" s="1"/>
  <c r="K37" i="5"/>
  <c r="K45" i="5"/>
  <c r="H43" i="6"/>
  <c r="H50" i="6"/>
  <c r="I50" i="6"/>
  <c r="I52" i="6"/>
  <c r="K43" i="4"/>
  <c r="O44" i="4" s="1"/>
  <c r="K35" i="4"/>
  <c r="K27" i="4"/>
  <c r="K19" i="4"/>
  <c r="O20" i="4" s="1"/>
  <c r="K11" i="4"/>
  <c r="O11" i="4" s="1"/>
  <c r="K49" i="4"/>
  <c r="K33" i="4"/>
  <c r="O33" i="4" s="1"/>
  <c r="K25" i="4"/>
  <c r="O26" i="4" s="1"/>
  <c r="K17" i="4"/>
  <c r="O17" i="4" s="1"/>
  <c r="K9" i="4"/>
  <c r="M56" i="5"/>
  <c r="M8" i="5"/>
  <c r="N71" i="5"/>
  <c r="N63" i="5"/>
  <c r="N55" i="5"/>
  <c r="N39" i="5"/>
  <c r="N31" i="5"/>
  <c r="N7" i="5"/>
  <c r="K8" i="5"/>
  <c r="K16" i="5"/>
  <c r="O17" i="5" s="1"/>
  <c r="K24" i="5"/>
  <c r="O25" i="5" s="1"/>
  <c r="K32" i="5"/>
  <c r="O32" i="5" s="1"/>
  <c r="K40" i="5"/>
  <c r="O40" i="5" s="1"/>
  <c r="K48" i="5"/>
  <c r="K56" i="5"/>
  <c r="O57" i="5" s="1"/>
  <c r="K64" i="5"/>
  <c r="O65" i="5" s="1"/>
  <c r="K72" i="5"/>
  <c r="I63" i="6"/>
  <c r="K43" i="5"/>
  <c r="K51" i="5"/>
  <c r="K59" i="5"/>
  <c r="O60" i="5" s="1"/>
  <c r="K65" i="5"/>
  <c r="K67" i="5"/>
  <c r="I28" i="6"/>
  <c r="I54" i="6"/>
  <c r="I56" i="6"/>
  <c r="H62" i="6"/>
  <c r="K6" i="5"/>
  <c r="O6" i="5" s="1"/>
  <c r="K14" i="5"/>
  <c r="K22" i="5"/>
  <c r="O22" i="5" s="1"/>
  <c r="K30" i="5"/>
  <c r="O31" i="5" s="1"/>
  <c r="K38" i="5"/>
  <c r="O39" i="5" s="1"/>
  <c r="K46" i="5"/>
  <c r="K54" i="5"/>
  <c r="O55" i="5" s="1"/>
  <c r="K62" i="5"/>
  <c r="O62" i="5" s="1"/>
  <c r="K70" i="5"/>
  <c r="O70" i="5" s="1"/>
  <c r="I10" i="6"/>
  <c r="H15" i="6"/>
  <c r="K15" i="6" s="1"/>
  <c r="I20" i="6"/>
  <c r="I58" i="6"/>
  <c r="I60" i="6"/>
  <c r="I69" i="6"/>
  <c r="K70" i="4"/>
  <c r="K54" i="4"/>
  <c r="O54" i="4" s="1"/>
  <c r="K38" i="4"/>
  <c r="O39" i="4" s="1"/>
  <c r="K30" i="4"/>
  <c r="O31" i="4" s="1"/>
  <c r="K28" i="5"/>
  <c r="O28" i="5" s="1"/>
  <c r="K36" i="5"/>
  <c r="K44" i="5"/>
  <c r="K52" i="5"/>
  <c r="K68" i="5"/>
  <c r="O68" i="5" s="1"/>
  <c r="I15" i="6"/>
  <c r="H23" i="6"/>
  <c r="I23" i="6"/>
  <c r="H29" i="6"/>
  <c r="I39" i="6"/>
  <c r="I40" i="6"/>
  <c r="I64" i="6"/>
  <c r="H70" i="6"/>
  <c r="K70" i="6" s="1"/>
  <c r="M67" i="5"/>
  <c r="M59" i="5"/>
  <c r="M51" i="5"/>
  <c r="M43" i="5"/>
  <c r="M35" i="5"/>
  <c r="M27" i="5"/>
  <c r="M19" i="5"/>
  <c r="M11" i="5"/>
  <c r="N26" i="5"/>
  <c r="N18" i="5"/>
  <c r="N10" i="5"/>
  <c r="K55" i="5"/>
  <c r="K63" i="5"/>
  <c r="K71" i="5"/>
  <c r="I7" i="6"/>
  <c r="I16" i="6"/>
  <c r="I66" i="6"/>
  <c r="I8" i="6"/>
  <c r="I13" i="6"/>
  <c r="I18" i="6"/>
  <c r="H35" i="6"/>
  <c r="I46" i="6"/>
  <c r="I61" i="6"/>
  <c r="I5" i="6"/>
  <c r="H12" i="6"/>
  <c r="H18" i="6"/>
  <c r="H27" i="6"/>
  <c r="I38" i="6"/>
  <c r="H40" i="6"/>
  <c r="I48" i="6"/>
  <c r="H52" i="6"/>
  <c r="K52" i="6" s="1"/>
  <c r="I53" i="6"/>
  <c r="H66" i="6"/>
  <c r="H58" i="6"/>
  <c r="I71" i="6"/>
  <c r="H19" i="6"/>
  <c r="H24" i="6"/>
  <c r="I32" i="6"/>
  <c r="H67" i="6"/>
  <c r="K67" i="6" s="1"/>
  <c r="H7" i="6"/>
  <c r="K7" i="6" s="1"/>
  <c r="I24" i="6"/>
  <c r="I29" i="6"/>
  <c r="H42" i="6"/>
  <c r="I42" i="6"/>
  <c r="H72" i="6"/>
  <c r="I21" i="6"/>
  <c r="H34" i="6"/>
  <c r="I34" i="6"/>
  <c r="H38" i="6"/>
  <c r="H59" i="6"/>
  <c r="I72" i="6"/>
  <c r="H11" i="6"/>
  <c r="H16" i="6"/>
  <c r="H21" i="6"/>
  <c r="H26" i="6"/>
  <c r="K26" i="6" s="1"/>
  <c r="H64" i="6"/>
  <c r="H69" i="6"/>
  <c r="H28" i="6"/>
  <c r="H51" i="6"/>
  <c r="I14" i="6"/>
  <c r="I17" i="6"/>
  <c r="H49" i="6"/>
  <c r="K49" i="6" s="1"/>
  <c r="H57" i="6"/>
  <c r="K57" i="6" s="1"/>
  <c r="I12" i="6"/>
  <c r="I65" i="6"/>
  <c r="I19" i="6"/>
  <c r="I27" i="6"/>
  <c r="I35" i="6"/>
  <c r="I43" i="6"/>
  <c r="I51" i="6"/>
  <c r="I59" i="6"/>
  <c r="I67" i="6"/>
  <c r="O66" i="5"/>
  <c r="O42" i="5"/>
  <c r="N62" i="5"/>
  <c r="N46" i="5"/>
  <c r="N23" i="5"/>
  <c r="M3" i="5"/>
  <c r="M65" i="5"/>
  <c r="M57" i="5"/>
  <c r="M49" i="5"/>
  <c r="M33" i="5"/>
  <c r="M9" i="5"/>
  <c r="N72" i="5"/>
  <c r="N48" i="5"/>
  <c r="N40" i="5"/>
  <c r="N32" i="5"/>
  <c r="N16" i="5"/>
  <c r="N8" i="5"/>
  <c r="O15" i="5"/>
  <c r="O27" i="5"/>
  <c r="O67" i="5"/>
  <c r="O3" i="5"/>
  <c r="O16" i="5"/>
  <c r="N70" i="5"/>
  <c r="M68" i="5"/>
  <c r="M60" i="5"/>
  <c r="M53" i="5"/>
  <c r="M44" i="5"/>
  <c r="M36" i="5"/>
  <c r="M29" i="5"/>
  <c r="M20" i="5"/>
  <c r="M13" i="5"/>
  <c r="M5" i="5"/>
  <c r="N68" i="5"/>
  <c r="N60" i="5"/>
  <c r="N52" i="5"/>
  <c r="N44" i="5"/>
  <c r="N36" i="5"/>
  <c r="N27" i="5"/>
  <c r="N20" i="5"/>
  <c r="N12" i="5"/>
  <c r="N4" i="5"/>
  <c r="O4" i="5"/>
  <c r="O72" i="5"/>
  <c r="M10" i="5"/>
  <c r="N65" i="5"/>
  <c r="N57" i="5"/>
  <c r="N49" i="5"/>
  <c r="N41" i="5"/>
  <c r="O8" i="5"/>
  <c r="O48" i="5"/>
  <c r="M71" i="5"/>
  <c r="M63" i="5"/>
  <c r="M55" i="5"/>
  <c r="M47" i="5"/>
  <c r="M31" i="5"/>
  <c r="M12" i="5"/>
  <c r="O13" i="5"/>
  <c r="O43" i="5"/>
  <c r="O34" i="5"/>
  <c r="M69" i="5"/>
  <c r="M42" i="5"/>
  <c r="M26" i="5"/>
  <c r="M18" i="5"/>
  <c r="O9" i="5"/>
  <c r="O35" i="5"/>
  <c r="M45" i="5"/>
  <c r="O61" i="5"/>
  <c r="O49" i="5"/>
  <c r="O59" i="5"/>
  <c r="O11" i="5"/>
  <c r="N67" i="5"/>
  <c r="N59" i="5"/>
  <c r="N51" i="5"/>
  <c r="N43" i="5"/>
  <c r="N35" i="5"/>
  <c r="O10" i="5"/>
  <c r="M28" i="5"/>
  <c r="M37" i="5"/>
  <c r="M52" i="5"/>
  <c r="M4" i="5"/>
  <c r="N25" i="5"/>
  <c r="N17" i="5"/>
  <c r="N9" i="5"/>
  <c r="N28" i="5"/>
  <c r="O20" i="5"/>
  <c r="O53" i="5"/>
  <c r="M72" i="5"/>
  <c r="N64" i="5"/>
  <c r="N56" i="5"/>
  <c r="O14" i="5"/>
  <c r="O23" i="5"/>
  <c r="M41" i="5"/>
  <c r="O47" i="5"/>
  <c r="M40" i="5"/>
  <c r="M24" i="5"/>
  <c r="M16" i="5"/>
  <c r="M61" i="5"/>
  <c r="O36" i="5"/>
  <c r="O5" i="5"/>
  <c r="O12" i="5"/>
  <c r="O21" i="5"/>
  <c r="O54" i="5"/>
  <c r="N11" i="5"/>
  <c r="N19" i="5"/>
  <c r="N50" i="5"/>
  <c r="N58" i="5"/>
  <c r="N66" i="5"/>
  <c r="N34" i="5"/>
  <c r="N42" i="5"/>
  <c r="M17" i="5"/>
  <c r="M48" i="5"/>
  <c r="M50" i="5"/>
  <c r="M64" i="5"/>
  <c r="M66" i="5"/>
  <c r="M32" i="5"/>
  <c r="M34" i="5"/>
  <c r="M39" i="5"/>
  <c r="M25" i="5"/>
  <c r="M58" i="5"/>
  <c r="M23" i="5"/>
  <c r="O27" i="4"/>
  <c r="K42" i="4"/>
  <c r="O42" i="4" s="1"/>
  <c r="K34" i="4"/>
  <c r="K10" i="4"/>
  <c r="O71" i="4"/>
  <c r="O55" i="4"/>
  <c r="O61" i="4"/>
  <c r="O21" i="4"/>
  <c r="O36" i="4"/>
  <c r="O6" i="4"/>
  <c r="O10" i="4"/>
  <c r="O37" i="4"/>
  <c r="O15" i="4"/>
  <c r="O46" i="4"/>
  <c r="O53" i="4"/>
  <c r="N12" i="4"/>
  <c r="O22" i="4"/>
  <c r="N28" i="4"/>
  <c r="O62" i="4"/>
  <c r="N65" i="4"/>
  <c r="M67" i="4"/>
  <c r="M58" i="4"/>
  <c r="M51" i="4"/>
  <c r="M42" i="4"/>
  <c r="M35" i="4"/>
  <c r="M27" i="4"/>
  <c r="M18" i="4"/>
  <c r="M10" i="4"/>
  <c r="O49" i="4"/>
  <c r="O13" i="4"/>
  <c r="O29" i="4"/>
  <c r="O47" i="4"/>
  <c r="M53" i="4"/>
  <c r="O69" i="4"/>
  <c r="N51" i="4"/>
  <c r="O7" i="4"/>
  <c r="O9" i="4"/>
  <c r="O41" i="4"/>
  <c r="M69" i="4"/>
  <c r="N16" i="4"/>
  <c r="M61" i="4"/>
  <c r="N43" i="4"/>
  <c r="O23" i="4"/>
  <c r="O45" i="4"/>
  <c r="O63" i="4"/>
  <c r="O70" i="4"/>
  <c r="O14" i="4"/>
  <c r="N68" i="4"/>
  <c r="N60" i="4"/>
  <c r="N15" i="4"/>
  <c r="N36" i="4"/>
  <c r="N61" i="4"/>
  <c r="N69" i="4"/>
  <c r="N42" i="4"/>
  <c r="N50" i="4"/>
  <c r="M11" i="4"/>
  <c r="M26" i="4"/>
  <c r="M43" i="4"/>
  <c r="M50" i="4"/>
  <c r="M59" i="4"/>
  <c r="M66" i="4"/>
  <c r="M19" i="4"/>
  <c r="M34" i="4"/>
  <c r="O8" i="4"/>
  <c r="O16" i="4"/>
  <c r="O24" i="4"/>
  <c r="O32" i="4"/>
  <c r="O40" i="4"/>
  <c r="O48" i="4"/>
  <c r="O56" i="4"/>
  <c r="O64" i="4"/>
  <c r="O72" i="4"/>
  <c r="I20" i="3"/>
  <c r="I37" i="3"/>
  <c r="I69" i="3"/>
  <c r="I33" i="3"/>
  <c r="I65" i="3"/>
  <c r="I28" i="3"/>
  <c r="H67" i="3"/>
  <c r="H59" i="3"/>
  <c r="J59" i="3" s="1"/>
  <c r="H51" i="3"/>
  <c r="J51" i="3" s="1"/>
  <c r="H43" i="3"/>
  <c r="J43" i="3" s="1"/>
  <c r="H35" i="3"/>
  <c r="H27" i="3"/>
  <c r="J27" i="3" s="1"/>
  <c r="H19" i="3"/>
  <c r="J19" i="3" s="1"/>
  <c r="H11" i="3"/>
  <c r="H56" i="3"/>
  <c r="J56" i="3" s="1"/>
  <c r="H50" i="3"/>
  <c r="J50" i="3" s="1"/>
  <c r="H10" i="3"/>
  <c r="J10" i="3" s="1"/>
  <c r="H58" i="3"/>
  <c r="J58" i="3" s="1"/>
  <c r="H70" i="3"/>
  <c r="H61" i="3"/>
  <c r="J61" i="3" s="1"/>
  <c r="H45" i="3"/>
  <c r="J45" i="3" s="1"/>
  <c r="H37" i="3"/>
  <c r="J37" i="3" s="1"/>
  <c r="H29" i="3"/>
  <c r="J29" i="3" s="1"/>
  <c r="H21" i="3"/>
  <c r="J21" i="3" s="1"/>
  <c r="L3" i="3"/>
  <c r="M3" i="3" s="1"/>
  <c r="H7" i="3"/>
  <c r="J7" i="3" s="1"/>
  <c r="H23" i="3"/>
  <c r="J23" i="3" s="1"/>
  <c r="H55" i="3"/>
  <c r="J55" i="3" s="1"/>
  <c r="H71" i="3"/>
  <c r="J71" i="3" s="1"/>
  <c r="H30" i="3"/>
  <c r="H36" i="3"/>
  <c r="J36" i="3" s="1"/>
  <c r="H9" i="3"/>
  <c r="J9" i="3" s="1"/>
  <c r="H33" i="3"/>
  <c r="J33" i="3" s="1"/>
  <c r="H49" i="3"/>
  <c r="J49" i="3" s="1"/>
  <c r="H57" i="3"/>
  <c r="J57" i="3" s="1"/>
  <c r="H65" i="3"/>
  <c r="H72" i="3"/>
  <c r="J72" i="3" s="1"/>
  <c r="L58" i="11" l="1"/>
  <c r="L18" i="11"/>
  <c r="J70" i="11"/>
  <c r="L70" i="11" s="1"/>
  <c r="L22" i="11"/>
  <c r="L53" i="11"/>
  <c r="L7" i="11"/>
  <c r="L64" i="11"/>
  <c r="L30" i="11"/>
  <c r="L28" i="11"/>
  <c r="L61" i="11"/>
  <c r="J29" i="11"/>
  <c r="L29" i="11" s="1"/>
  <c r="L62" i="11"/>
  <c r="L66" i="11"/>
  <c r="L52" i="11"/>
  <c r="L38" i="11"/>
  <c r="L20" i="11"/>
  <c r="L17" i="11"/>
  <c r="J33" i="11"/>
  <c r="L33" i="11" s="1"/>
  <c r="L50" i="11"/>
  <c r="L31" i="11"/>
  <c r="L27" i="11"/>
  <c r="J23" i="11"/>
  <c r="L23" i="11" s="1"/>
  <c r="J39" i="11"/>
  <c r="L39" i="11" s="1"/>
  <c r="L68" i="11"/>
  <c r="J21" i="11"/>
  <c r="L21" i="11" s="1"/>
  <c r="L15" i="11"/>
  <c r="L35" i="11"/>
  <c r="L56" i="11"/>
  <c r="L69" i="11"/>
  <c r="L60" i="11"/>
  <c r="J49" i="11"/>
  <c r="L49" i="11" s="1"/>
  <c r="J25" i="11"/>
  <c r="L25" i="11" s="1"/>
  <c r="J19" i="11"/>
  <c r="L19" i="11" s="1"/>
  <c r="O3" i="11"/>
  <c r="J47" i="11"/>
  <c r="L47" i="11" s="1"/>
  <c r="J37" i="11"/>
  <c r="L37" i="11" s="1"/>
  <c r="J41" i="11"/>
  <c r="L41" i="11" s="1"/>
  <c r="M4" i="10"/>
  <c r="M6" i="10"/>
  <c r="M3" i="10"/>
  <c r="O3" i="10" s="1"/>
  <c r="P3" i="10" s="1"/>
  <c r="M11" i="10"/>
  <c r="M5" i="10"/>
  <c r="M8" i="10"/>
  <c r="M12" i="10"/>
  <c r="M10" i="10"/>
  <c r="M9" i="10"/>
  <c r="M16" i="10"/>
  <c r="H17" i="10"/>
  <c r="M13" i="10"/>
  <c r="M14" i="10"/>
  <c r="M15" i="10"/>
  <c r="O63" i="5"/>
  <c r="O69" i="5"/>
  <c r="O19" i="5"/>
  <c r="O33" i="5"/>
  <c r="O64" i="5"/>
  <c r="O24" i="5"/>
  <c r="P24" i="5" s="1"/>
  <c r="O7" i="5"/>
  <c r="H41" i="3"/>
  <c r="J41" i="3" s="1"/>
  <c r="H47" i="3"/>
  <c r="J47" i="3" s="1"/>
  <c r="J25" i="3"/>
  <c r="H60" i="3"/>
  <c r="J60" i="3" s="1"/>
  <c r="H53" i="3"/>
  <c r="J53" i="3" s="1"/>
  <c r="J67" i="3"/>
  <c r="J11" i="3"/>
  <c r="H15" i="3"/>
  <c r="J15" i="3" s="1"/>
  <c r="J30" i="3"/>
  <c r="H13" i="3"/>
  <c r="J35" i="3"/>
  <c r="K4" i="7"/>
  <c r="M4" i="7" s="1"/>
  <c r="F5" i="7"/>
  <c r="N4" i="7"/>
  <c r="P22" i="5"/>
  <c r="P6" i="5"/>
  <c r="P8" i="4"/>
  <c r="P17" i="4"/>
  <c r="P53" i="4"/>
  <c r="P39" i="4"/>
  <c r="P63" i="4"/>
  <c r="P32" i="4"/>
  <c r="P31" i="4"/>
  <c r="P5" i="4"/>
  <c r="P9" i="4"/>
  <c r="K27" i="6"/>
  <c r="K18" i="6"/>
  <c r="K58" i="6"/>
  <c r="K64" i="6"/>
  <c r="K34" i="6"/>
  <c r="K40" i="6"/>
  <c r="K62" i="6"/>
  <c r="K50" i="6"/>
  <c r="P42" i="5"/>
  <c r="K16" i="6"/>
  <c r="H54" i="6"/>
  <c r="K54" i="6" s="1"/>
  <c r="M3" i="8"/>
  <c r="K11" i="6"/>
  <c r="O30" i="4"/>
  <c r="P40" i="5"/>
  <c r="K23" i="6"/>
  <c r="H17" i="3"/>
  <c r="J17" i="3" s="1"/>
  <c r="O38" i="4"/>
  <c r="O41" i="5"/>
  <c r="H68" i="3"/>
  <c r="J68" i="3" s="1"/>
  <c r="H63" i="3"/>
  <c r="J63" i="3" s="1"/>
  <c r="J13" i="3"/>
  <c r="H26" i="3"/>
  <c r="J26" i="3" s="1"/>
  <c r="P66" i="4"/>
  <c r="P69" i="4"/>
  <c r="O34" i="4"/>
  <c r="P34" i="4" s="1"/>
  <c r="H71" i="6"/>
  <c r="K71" i="6" s="1"/>
  <c r="P3" i="4"/>
  <c r="R3" i="4" s="1"/>
  <c r="S3" i="4" s="1"/>
  <c r="P52" i="4"/>
  <c r="H36" i="6"/>
  <c r="K36" i="6" s="1"/>
  <c r="P42" i="4"/>
  <c r="K61" i="6"/>
  <c r="H54" i="3"/>
  <c r="J54" i="3" s="1"/>
  <c r="O19" i="4"/>
  <c r="P19" i="4" s="1"/>
  <c r="K51" i="6"/>
  <c r="K19" i="6"/>
  <c r="H48" i="6"/>
  <c r="K48" i="6" s="1"/>
  <c r="O44" i="5"/>
  <c r="P44" i="5" s="1"/>
  <c r="H44" i="6"/>
  <c r="K44" i="6" s="1"/>
  <c r="O52" i="5"/>
  <c r="P44" i="4"/>
  <c r="O45" i="5"/>
  <c r="O50" i="4"/>
  <c r="P13" i="4"/>
  <c r="J39" i="3"/>
  <c r="K35" i="6"/>
  <c r="H46" i="3"/>
  <c r="J46" i="3" s="1"/>
  <c r="P26" i="5"/>
  <c r="P18" i="5"/>
  <c r="H14" i="6"/>
  <c r="K14" i="6" s="1"/>
  <c r="O71" i="5"/>
  <c r="P71" i="5" s="1"/>
  <c r="H53" i="6"/>
  <c r="H52" i="3"/>
  <c r="J52" i="3" s="1"/>
  <c r="P54" i="5"/>
  <c r="H31" i="6"/>
  <c r="K31" i="6" s="1"/>
  <c r="O37" i="5"/>
  <c r="P35" i="4"/>
  <c r="O68" i="4"/>
  <c r="P68" i="4" s="1"/>
  <c r="O30" i="5"/>
  <c r="P30" i="5" s="1"/>
  <c r="O38" i="5"/>
  <c r="P38" i="5" s="1"/>
  <c r="P70" i="5"/>
  <c r="P13" i="5"/>
  <c r="H63" i="6"/>
  <c r="K63" i="6" s="1"/>
  <c r="K29" i="6"/>
  <c r="O12" i="4"/>
  <c r="P12" i="4" s="1"/>
  <c r="P29" i="4"/>
  <c r="P30" i="4"/>
  <c r="P47" i="4"/>
  <c r="P55" i="4"/>
  <c r="O51" i="4"/>
  <c r="P51" i="4" s="1"/>
  <c r="P37" i="4"/>
  <c r="H32" i="3"/>
  <c r="J32" i="3" s="1"/>
  <c r="P26" i="4"/>
  <c r="P21" i="5"/>
  <c r="P67" i="5"/>
  <c r="O51" i="5"/>
  <c r="P51" i="5" s="1"/>
  <c r="H55" i="6"/>
  <c r="K55" i="6" s="1"/>
  <c r="H41" i="6"/>
  <c r="K41" i="6" s="1"/>
  <c r="K43" i="6"/>
  <c r="K28" i="6"/>
  <c r="H22" i="6"/>
  <c r="K22" i="6" s="1"/>
  <c r="P38" i="4"/>
  <c r="P36" i="4"/>
  <c r="P22" i="4"/>
  <c r="P33" i="4"/>
  <c r="P28" i="4"/>
  <c r="P56" i="4"/>
  <c r="P50" i="4"/>
  <c r="O59" i="4"/>
  <c r="H5" i="3"/>
  <c r="J5" i="3" s="1"/>
  <c r="H32" i="6"/>
  <c r="K32" i="6" s="1"/>
  <c r="K56" i="6"/>
  <c r="H45" i="6"/>
  <c r="K45" i="6" s="1"/>
  <c r="P45" i="4"/>
  <c r="P40" i="4"/>
  <c r="P7" i="4"/>
  <c r="P41" i="4"/>
  <c r="P59" i="4"/>
  <c r="P27" i="4"/>
  <c r="O46" i="5"/>
  <c r="P46" i="5" s="1"/>
  <c r="P49" i="5"/>
  <c r="K21" i="6"/>
  <c r="O25" i="4"/>
  <c r="P25" i="4" s="1"/>
  <c r="P37" i="5"/>
  <c r="H33" i="6"/>
  <c r="K33" i="6" s="1"/>
  <c r="K3" i="6"/>
  <c r="M3" i="6" s="1"/>
  <c r="N3" i="6" s="1"/>
  <c r="K72" i="6"/>
  <c r="H40" i="3"/>
  <c r="J40" i="3" s="1"/>
  <c r="P58" i="4"/>
  <c r="P27" i="5"/>
  <c r="P20" i="5"/>
  <c r="O56" i="5"/>
  <c r="P56" i="5" s="1"/>
  <c r="P3" i="5"/>
  <c r="R3" i="5" s="1"/>
  <c r="S3" i="5" s="1"/>
  <c r="P15" i="5"/>
  <c r="P62" i="5"/>
  <c r="H6" i="6"/>
  <c r="K6" i="6" s="1"/>
  <c r="K69" i="6"/>
  <c r="K59" i="6"/>
  <c r="H46" i="6"/>
  <c r="K46" i="6" s="1"/>
  <c r="K66" i="6"/>
  <c r="K12" i="6"/>
  <c r="K8" i="6"/>
  <c r="P54" i="4"/>
  <c r="P71" i="4"/>
  <c r="P49" i="4"/>
  <c r="P14" i="4"/>
  <c r="P46" i="4"/>
  <c r="P11" i="4"/>
  <c r="H28" i="3"/>
  <c r="J28" i="3" s="1"/>
  <c r="H20" i="3"/>
  <c r="J20" i="3" s="1"/>
  <c r="P61" i="4"/>
  <c r="P67" i="4"/>
  <c r="P7" i="5"/>
  <c r="P55" i="5"/>
  <c r="P69" i="5"/>
  <c r="P5" i="5"/>
  <c r="P10" i="5"/>
  <c r="K38" i="6"/>
  <c r="O18" i="4"/>
  <c r="P18" i="4" s="1"/>
  <c r="P70" i="4"/>
  <c r="P6" i="4"/>
  <c r="P24" i="4"/>
  <c r="P48" i="4"/>
  <c r="P20" i="4"/>
  <c r="P57" i="4"/>
  <c r="P15" i="4"/>
  <c r="J70" i="3"/>
  <c r="P19" i="5"/>
  <c r="P14" i="5"/>
  <c r="H62" i="3"/>
  <c r="J62" i="3" s="1"/>
  <c r="P10" i="4"/>
  <c r="P32" i="5"/>
  <c r="P65" i="5"/>
  <c r="P9" i="5"/>
  <c r="P8" i="5"/>
  <c r="P60" i="5"/>
  <c r="K5" i="6"/>
  <c r="H30" i="6"/>
  <c r="K30" i="6" s="1"/>
  <c r="K42" i="6"/>
  <c r="K24" i="6"/>
  <c r="K53" i="6"/>
  <c r="H4" i="6"/>
  <c r="K4" i="6" s="1"/>
  <c r="P16" i="4"/>
  <c r="P62" i="4"/>
  <c r="P4" i="4"/>
  <c r="R4" i="4" s="1"/>
  <c r="S4" i="4" s="1"/>
  <c r="P64" i="4"/>
  <c r="P60" i="4"/>
  <c r="P65" i="4"/>
  <c r="P21" i="4"/>
  <c r="P23" i="4"/>
  <c r="H17" i="6"/>
  <c r="K17" i="6" s="1"/>
  <c r="H60" i="6"/>
  <c r="K60" i="6" s="1"/>
  <c r="H68" i="6"/>
  <c r="K68" i="6" s="1"/>
  <c r="H39" i="6"/>
  <c r="K39" i="6" s="1"/>
  <c r="H20" i="6"/>
  <c r="K20" i="6" s="1"/>
  <c r="H13" i="6"/>
  <c r="K13" i="6" s="1"/>
  <c r="H25" i="6"/>
  <c r="K25" i="6" s="1"/>
  <c r="H65" i="6"/>
  <c r="K65" i="6" s="1"/>
  <c r="H10" i="6"/>
  <c r="K10" i="6" s="1"/>
  <c r="H9" i="6"/>
  <c r="K9" i="6" s="1"/>
  <c r="P33" i="5"/>
  <c r="P12" i="5"/>
  <c r="P16" i="5"/>
  <c r="P63" i="5"/>
  <c r="P72" i="5"/>
  <c r="P48" i="5"/>
  <c r="P43" i="5"/>
  <c r="P61" i="5"/>
  <c r="P41" i="5"/>
  <c r="P57" i="5"/>
  <c r="P23" i="5"/>
  <c r="P31" i="5"/>
  <c r="P29" i="5"/>
  <c r="P45" i="5"/>
  <c r="P35" i="5"/>
  <c r="P39" i="5"/>
  <c r="P68" i="5"/>
  <c r="P36" i="5"/>
  <c r="P53" i="5"/>
  <c r="P17" i="5"/>
  <c r="P4" i="5"/>
  <c r="R4" i="5" s="1"/>
  <c r="P59" i="5"/>
  <c r="P47" i="5"/>
  <c r="P50" i="5"/>
  <c r="P11" i="5"/>
  <c r="P34" i="5"/>
  <c r="P58" i="5"/>
  <c r="P52" i="5"/>
  <c r="P28" i="5"/>
  <c r="P66" i="5"/>
  <c r="P64" i="5"/>
  <c r="P25" i="5"/>
  <c r="O35" i="4"/>
  <c r="O43" i="4"/>
  <c r="P43" i="4" s="1"/>
  <c r="J65" i="3"/>
  <c r="J4" i="3"/>
  <c r="H69" i="3"/>
  <c r="J69" i="3" s="1"/>
  <c r="H44" i="3"/>
  <c r="J44" i="3" s="1"/>
  <c r="H38" i="3"/>
  <c r="J38" i="3" s="1"/>
  <c r="H6" i="3"/>
  <c r="J6" i="3" s="1"/>
  <c r="H22" i="3"/>
  <c r="J22" i="3" s="1"/>
  <c r="H14" i="3"/>
  <c r="J14" i="3" s="1"/>
  <c r="H12" i="3"/>
  <c r="J12" i="3" s="1"/>
  <c r="O4" i="11" l="1"/>
  <c r="O4" i="10"/>
  <c r="O5" i="10" s="1"/>
  <c r="P4" i="10"/>
  <c r="H18" i="10"/>
  <c r="M17" i="10"/>
  <c r="P5" i="10"/>
  <c r="O6" i="10"/>
  <c r="F6" i="7"/>
  <c r="K5" i="7"/>
  <c r="M5" i="7" s="1"/>
  <c r="N5" i="7"/>
  <c r="M4" i="8"/>
  <c r="M5" i="8" s="1"/>
  <c r="N3" i="8"/>
  <c r="M4" i="6"/>
  <c r="M5" i="6" s="1"/>
  <c r="R5" i="5"/>
  <c r="S5" i="5" s="1"/>
  <c r="S4" i="5"/>
  <c r="R5" i="4"/>
  <c r="R6" i="4" s="1"/>
  <c r="L4" i="3"/>
  <c r="L5" i="3" s="1"/>
  <c r="L6" i="3" s="1"/>
  <c r="L7" i="3" s="1"/>
  <c r="L8" i="3" s="1"/>
  <c r="O5" i="11" l="1"/>
  <c r="N6" i="11"/>
  <c r="O7" i="10"/>
  <c r="P6" i="10"/>
  <c r="H19" i="10"/>
  <c r="M18" i="10"/>
  <c r="F7" i="7"/>
  <c r="K6" i="7"/>
  <c r="M6" i="7" s="1"/>
  <c r="N4" i="8"/>
  <c r="N6" i="7"/>
  <c r="R6" i="5"/>
  <c r="N4" i="6"/>
  <c r="M6" i="8"/>
  <c r="N5" i="8"/>
  <c r="M6" i="6"/>
  <c r="N5" i="6"/>
  <c r="S6" i="5"/>
  <c r="R7" i="5"/>
  <c r="S5" i="4"/>
  <c r="M4" i="3"/>
  <c r="S6" i="4"/>
  <c r="R7" i="4"/>
  <c r="M5" i="3"/>
  <c r="M6" i="3"/>
  <c r="N7" i="11" l="1"/>
  <c r="O6" i="11"/>
  <c r="H20" i="10"/>
  <c r="M19" i="10"/>
  <c r="O8" i="10"/>
  <c r="P7" i="10"/>
  <c r="F8" i="7"/>
  <c r="K7" i="7"/>
  <c r="M7" i="7" s="1"/>
  <c r="N7" i="7"/>
  <c r="M7" i="8"/>
  <c r="N6" i="8"/>
  <c r="M7" i="6"/>
  <c r="N6" i="6"/>
  <c r="S7" i="5"/>
  <c r="R8" i="5"/>
  <c r="S7" i="4"/>
  <c r="R8" i="4"/>
  <c r="M7" i="3"/>
  <c r="O7" i="11" l="1"/>
  <c r="N8" i="11"/>
  <c r="O9" i="10"/>
  <c r="P8" i="10"/>
  <c r="H21" i="10"/>
  <c r="M20" i="10"/>
  <c r="F9" i="7"/>
  <c r="K8" i="7"/>
  <c r="M8" i="7" s="1"/>
  <c r="N8" i="7"/>
  <c r="N7" i="8"/>
  <c r="M8" i="8"/>
  <c r="N7" i="6"/>
  <c r="M8" i="6"/>
  <c r="S8" i="5"/>
  <c r="R9" i="5"/>
  <c r="S8" i="4"/>
  <c r="R9" i="4"/>
  <c r="M8" i="3"/>
  <c r="L9" i="3"/>
  <c r="N9" i="11" l="1"/>
  <c r="O8" i="11"/>
  <c r="H22" i="10"/>
  <c r="M21" i="10"/>
  <c r="P9" i="10"/>
  <c r="O10" i="10"/>
  <c r="F10" i="7"/>
  <c r="K9" i="7"/>
  <c r="M9" i="7" s="1"/>
  <c r="N9" i="7"/>
  <c r="N8" i="8"/>
  <c r="M9" i="8"/>
  <c r="M9" i="6"/>
  <c r="N8" i="6"/>
  <c r="S9" i="5"/>
  <c r="R10" i="5"/>
  <c r="S9" i="4"/>
  <c r="R10" i="4"/>
  <c r="M9" i="3"/>
  <c r="L10" i="3"/>
  <c r="O9" i="11" l="1"/>
  <c r="N10" i="11"/>
  <c r="H23" i="10"/>
  <c r="M22" i="10"/>
  <c r="O11" i="10"/>
  <c r="P10" i="10"/>
  <c r="F11" i="7"/>
  <c r="K10" i="7"/>
  <c r="M10" i="7" s="1"/>
  <c r="N10" i="7"/>
  <c r="M10" i="8"/>
  <c r="N9" i="8"/>
  <c r="M10" i="6"/>
  <c r="N9" i="6"/>
  <c r="R11" i="5"/>
  <c r="S10" i="5"/>
  <c r="S10" i="4"/>
  <c r="R11" i="4"/>
  <c r="L11" i="3"/>
  <c r="M10" i="3"/>
  <c r="N11" i="11" l="1"/>
  <c r="O10" i="11"/>
  <c r="H24" i="10"/>
  <c r="M23" i="10"/>
  <c r="O12" i="10"/>
  <c r="P11" i="10"/>
  <c r="F12" i="7"/>
  <c r="K11" i="7"/>
  <c r="M11" i="7" s="1"/>
  <c r="N11" i="7"/>
  <c r="M11" i="8"/>
  <c r="N10" i="8"/>
  <c r="N10" i="6"/>
  <c r="M11" i="6"/>
  <c r="S11" i="5"/>
  <c r="R12" i="5"/>
  <c r="S11" i="4"/>
  <c r="R12" i="4"/>
  <c r="M11" i="3"/>
  <c r="L12" i="3"/>
  <c r="O11" i="11" l="1"/>
  <c r="N12" i="11"/>
  <c r="M24" i="10"/>
  <c r="H25" i="10"/>
  <c r="O13" i="10"/>
  <c r="P12" i="10"/>
  <c r="F13" i="7"/>
  <c r="K12" i="7"/>
  <c r="M12" i="7" s="1"/>
  <c r="N12" i="7"/>
  <c r="N11" i="8"/>
  <c r="M12" i="8"/>
  <c r="M12" i="6"/>
  <c r="N11" i="6"/>
  <c r="R13" i="5"/>
  <c r="S12" i="5"/>
  <c r="R13" i="4"/>
  <c r="S12" i="4"/>
  <c r="M12" i="3"/>
  <c r="L13" i="3"/>
  <c r="N13" i="11" l="1"/>
  <c r="O12" i="11"/>
  <c r="P13" i="10"/>
  <c r="O14" i="10"/>
  <c r="H26" i="10"/>
  <c r="M25" i="10"/>
  <c r="F14" i="7"/>
  <c r="K13" i="7"/>
  <c r="M13" i="7" s="1"/>
  <c r="N13" i="7"/>
  <c r="N12" i="8"/>
  <c r="M13" i="8"/>
  <c r="M13" i="6"/>
  <c r="N12" i="6"/>
  <c r="R14" i="5"/>
  <c r="S13" i="5"/>
  <c r="R14" i="4"/>
  <c r="S13" i="4"/>
  <c r="M13" i="3"/>
  <c r="L14" i="3"/>
  <c r="O13" i="11" l="1"/>
  <c r="N14" i="11"/>
  <c r="O15" i="10"/>
  <c r="P14" i="10"/>
  <c r="H27" i="10"/>
  <c r="M26" i="10"/>
  <c r="F15" i="7"/>
  <c r="K14" i="7"/>
  <c r="M14" i="7" s="1"/>
  <c r="N14" i="7"/>
  <c r="M14" i="8"/>
  <c r="N13" i="8"/>
  <c r="M14" i="6"/>
  <c r="N13" i="6"/>
  <c r="S14" i="5"/>
  <c r="R15" i="5"/>
  <c r="S14" i="4"/>
  <c r="R15" i="4"/>
  <c r="L15" i="3"/>
  <c r="M14" i="3"/>
  <c r="N15" i="11" l="1"/>
  <c r="O14" i="11"/>
  <c r="O16" i="10"/>
  <c r="P15" i="10"/>
  <c r="H28" i="10"/>
  <c r="M27" i="10"/>
  <c r="F16" i="7"/>
  <c r="K15" i="7"/>
  <c r="M15" i="7" s="1"/>
  <c r="N15" i="7"/>
  <c r="M15" i="8"/>
  <c r="N14" i="8"/>
  <c r="M15" i="6"/>
  <c r="N14" i="6"/>
  <c r="S15" i="5"/>
  <c r="R16" i="5"/>
  <c r="S15" i="4"/>
  <c r="R16" i="4"/>
  <c r="M15" i="3"/>
  <c r="L16" i="3"/>
  <c r="N16" i="11" l="1"/>
  <c r="O15" i="11"/>
  <c r="O17" i="10"/>
  <c r="P16" i="10"/>
  <c r="M28" i="10"/>
  <c r="H29" i="10"/>
  <c r="F17" i="7"/>
  <c r="K16" i="7"/>
  <c r="M16" i="7" s="1"/>
  <c r="N16" i="7"/>
  <c r="N15" i="8"/>
  <c r="M16" i="8"/>
  <c r="N15" i="6"/>
  <c r="M16" i="6"/>
  <c r="S16" i="5"/>
  <c r="R17" i="5"/>
  <c r="S16" i="4"/>
  <c r="R17" i="4"/>
  <c r="M16" i="3"/>
  <c r="L17" i="3"/>
  <c r="N17" i="11" l="1"/>
  <c r="O16" i="11"/>
  <c r="P17" i="10"/>
  <c r="O18" i="10"/>
  <c r="H30" i="10"/>
  <c r="M29" i="10"/>
  <c r="F18" i="7"/>
  <c r="K17" i="7"/>
  <c r="M17" i="7" s="1"/>
  <c r="N17" i="7"/>
  <c r="N16" i="8"/>
  <c r="M17" i="8"/>
  <c r="M17" i="6"/>
  <c r="N16" i="6"/>
  <c r="S17" i="5"/>
  <c r="R18" i="5"/>
  <c r="S17" i="4"/>
  <c r="R18" i="4"/>
  <c r="M17" i="3"/>
  <c r="L18" i="3"/>
  <c r="N18" i="11" l="1"/>
  <c r="O17" i="11"/>
  <c r="O19" i="10"/>
  <c r="P18" i="10"/>
  <c r="H31" i="10"/>
  <c r="M30" i="10"/>
  <c r="F19" i="7"/>
  <c r="K18" i="7"/>
  <c r="M18" i="7" s="1"/>
  <c r="N18" i="7"/>
  <c r="M18" i="8"/>
  <c r="N17" i="8"/>
  <c r="M18" i="6"/>
  <c r="N17" i="6"/>
  <c r="R19" i="5"/>
  <c r="S18" i="5"/>
  <c r="R19" i="4"/>
  <c r="S18" i="4"/>
  <c r="L19" i="3"/>
  <c r="M18" i="3"/>
  <c r="O18" i="11" l="1"/>
  <c r="N19" i="11"/>
  <c r="P19" i="10"/>
  <c r="O20" i="10"/>
  <c r="H32" i="10"/>
  <c r="M31" i="10"/>
  <c r="F20" i="7"/>
  <c r="K19" i="7"/>
  <c r="M19" i="7" s="1"/>
  <c r="N19" i="7"/>
  <c r="M19" i="8"/>
  <c r="N18" i="8"/>
  <c r="N18" i="6"/>
  <c r="M19" i="6"/>
  <c r="R20" i="5"/>
  <c r="S19" i="5"/>
  <c r="S19" i="4"/>
  <c r="R20" i="4"/>
  <c r="M19" i="3"/>
  <c r="L20" i="3"/>
  <c r="N20" i="11" l="1"/>
  <c r="O19" i="11"/>
  <c r="M32" i="10"/>
  <c r="H33" i="10"/>
  <c r="O21" i="10"/>
  <c r="P20" i="10"/>
  <c r="F21" i="7"/>
  <c r="K20" i="7"/>
  <c r="M20" i="7" s="1"/>
  <c r="N20" i="7"/>
  <c r="N19" i="8"/>
  <c r="M20" i="8"/>
  <c r="M20" i="6"/>
  <c r="N19" i="6"/>
  <c r="R21" i="5"/>
  <c r="S20" i="5"/>
  <c r="R21" i="4"/>
  <c r="S20" i="4"/>
  <c r="M20" i="3"/>
  <c r="L21" i="3"/>
  <c r="O20" i="11" l="1"/>
  <c r="N21" i="11"/>
  <c r="P21" i="10"/>
  <c r="O22" i="10"/>
  <c r="H34" i="10"/>
  <c r="M33" i="10"/>
  <c r="F22" i="7"/>
  <c r="K21" i="7"/>
  <c r="M21" i="7" s="1"/>
  <c r="N21" i="7"/>
  <c r="N20" i="8"/>
  <c r="M21" i="8"/>
  <c r="M21" i="6"/>
  <c r="N20" i="6"/>
  <c r="R22" i="5"/>
  <c r="S21" i="5"/>
  <c r="R22" i="4"/>
  <c r="S21" i="4"/>
  <c r="M21" i="3"/>
  <c r="L22" i="3"/>
  <c r="N22" i="11" l="1"/>
  <c r="O21" i="11"/>
  <c r="H35" i="10"/>
  <c r="M34" i="10"/>
  <c r="O23" i="10"/>
  <c r="P22" i="10"/>
  <c r="F23" i="7"/>
  <c r="K22" i="7"/>
  <c r="M22" i="7" s="1"/>
  <c r="N22" i="7"/>
  <c r="M22" i="8"/>
  <c r="N21" i="8"/>
  <c r="M22" i="6"/>
  <c r="N21" i="6"/>
  <c r="S22" i="5"/>
  <c r="R23" i="5"/>
  <c r="S22" i="4"/>
  <c r="R23" i="4"/>
  <c r="L23" i="3"/>
  <c r="M22" i="3"/>
  <c r="O22" i="11" l="1"/>
  <c r="N23" i="11"/>
  <c r="P23" i="10"/>
  <c r="O24" i="10"/>
  <c r="H36" i="10"/>
  <c r="M35" i="10"/>
  <c r="F24" i="7"/>
  <c r="K23" i="7"/>
  <c r="M23" i="7" s="1"/>
  <c r="N23" i="7"/>
  <c r="M23" i="8"/>
  <c r="N22" i="8"/>
  <c r="N22" i="6"/>
  <c r="M23" i="6"/>
  <c r="S23" i="5"/>
  <c r="R24" i="5"/>
  <c r="S23" i="4"/>
  <c r="R24" i="4"/>
  <c r="M23" i="3"/>
  <c r="L24" i="3"/>
  <c r="N24" i="11" l="1"/>
  <c r="O23" i="11"/>
  <c r="M36" i="10"/>
  <c r="H37" i="10"/>
  <c r="O25" i="10"/>
  <c r="P24" i="10"/>
  <c r="F25" i="7"/>
  <c r="K24" i="7"/>
  <c r="M24" i="7" s="1"/>
  <c r="N24" i="7"/>
  <c r="N23" i="8"/>
  <c r="M24" i="8"/>
  <c r="N23" i="6"/>
  <c r="M24" i="6"/>
  <c r="S24" i="5"/>
  <c r="R25" i="5"/>
  <c r="S24" i="4"/>
  <c r="R25" i="4"/>
  <c r="M24" i="3"/>
  <c r="L25" i="3"/>
  <c r="O24" i="11" l="1"/>
  <c r="N25" i="11"/>
  <c r="P25" i="10"/>
  <c r="O26" i="10"/>
  <c r="H38" i="10"/>
  <c r="M37" i="10"/>
  <c r="F26" i="7"/>
  <c r="K25" i="7"/>
  <c r="M25" i="7" s="1"/>
  <c r="N25" i="7"/>
  <c r="N24" i="8"/>
  <c r="M25" i="8"/>
  <c r="M25" i="6"/>
  <c r="N24" i="6"/>
  <c r="S25" i="5"/>
  <c r="R26" i="5"/>
  <c r="S25" i="4"/>
  <c r="R26" i="4"/>
  <c r="M25" i="3"/>
  <c r="L26" i="3"/>
  <c r="N26" i="11" l="1"/>
  <c r="O25" i="11"/>
  <c r="H39" i="10"/>
  <c r="M38" i="10"/>
  <c r="O27" i="10"/>
  <c r="P26" i="10"/>
  <c r="F27" i="7"/>
  <c r="K26" i="7"/>
  <c r="M26" i="7" s="1"/>
  <c r="N26" i="7"/>
  <c r="M26" i="8"/>
  <c r="N25" i="8"/>
  <c r="M26" i="6"/>
  <c r="N25" i="6"/>
  <c r="R27" i="5"/>
  <c r="S26" i="5"/>
  <c r="S26" i="4"/>
  <c r="R27" i="4"/>
  <c r="L27" i="3"/>
  <c r="M26" i="3"/>
  <c r="O26" i="11" l="1"/>
  <c r="N27" i="11"/>
  <c r="P27" i="10"/>
  <c r="O28" i="10"/>
  <c r="H40" i="10"/>
  <c r="M39" i="10"/>
  <c r="F28" i="7"/>
  <c r="K27" i="7"/>
  <c r="M27" i="7" s="1"/>
  <c r="N27" i="7"/>
  <c r="M27" i="8"/>
  <c r="N26" i="8"/>
  <c r="N26" i="6"/>
  <c r="M27" i="6"/>
  <c r="S27" i="5"/>
  <c r="R28" i="5"/>
  <c r="S27" i="4"/>
  <c r="R28" i="4"/>
  <c r="M27" i="3"/>
  <c r="L28" i="3"/>
  <c r="N28" i="11" l="1"/>
  <c r="O27" i="11"/>
  <c r="M40" i="10"/>
  <c r="H41" i="10"/>
  <c r="O29" i="10"/>
  <c r="P28" i="10"/>
  <c r="F29" i="7"/>
  <c r="K28" i="7"/>
  <c r="M28" i="7" s="1"/>
  <c r="N28" i="7"/>
  <c r="N27" i="8"/>
  <c r="M28" i="8"/>
  <c r="M28" i="6"/>
  <c r="N27" i="6"/>
  <c r="R29" i="5"/>
  <c r="S28" i="5"/>
  <c r="R29" i="4"/>
  <c r="S28" i="4"/>
  <c r="M28" i="3"/>
  <c r="L29" i="3"/>
  <c r="O28" i="11" l="1"/>
  <c r="N29" i="11"/>
  <c r="P29" i="10"/>
  <c r="O30" i="10"/>
  <c r="H42" i="10"/>
  <c r="M41" i="10"/>
  <c r="F30" i="7"/>
  <c r="K29" i="7"/>
  <c r="M29" i="7" s="1"/>
  <c r="N29" i="7"/>
  <c r="N28" i="8"/>
  <c r="M29" i="8"/>
  <c r="M29" i="6"/>
  <c r="N28" i="6"/>
  <c r="R30" i="5"/>
  <c r="S29" i="5"/>
  <c r="R30" i="4"/>
  <c r="S29" i="4"/>
  <c r="M29" i="3"/>
  <c r="L30" i="3"/>
  <c r="N30" i="11" l="1"/>
  <c r="O29" i="11"/>
  <c r="H43" i="10"/>
  <c r="M42" i="10"/>
  <c r="O31" i="10"/>
  <c r="P30" i="10"/>
  <c r="F31" i="7"/>
  <c r="K30" i="7"/>
  <c r="M30" i="7" s="1"/>
  <c r="N30" i="7"/>
  <c r="M30" i="8"/>
  <c r="N29" i="8"/>
  <c r="M30" i="6"/>
  <c r="N29" i="6"/>
  <c r="S30" i="5"/>
  <c r="R31" i="5"/>
  <c r="S30" i="4"/>
  <c r="R31" i="4"/>
  <c r="L31" i="3"/>
  <c r="M30" i="3"/>
  <c r="O30" i="11" l="1"/>
  <c r="N31" i="11"/>
  <c r="H44" i="10"/>
  <c r="M43" i="10"/>
  <c r="O32" i="10"/>
  <c r="P31" i="10"/>
  <c r="F32" i="7"/>
  <c r="K31" i="7"/>
  <c r="M31" i="7" s="1"/>
  <c r="N31" i="7"/>
  <c r="M31" i="8"/>
  <c r="N30" i="8"/>
  <c r="M31" i="6"/>
  <c r="N30" i="6"/>
  <c r="S31" i="5"/>
  <c r="R32" i="5"/>
  <c r="S31" i="4"/>
  <c r="R32" i="4"/>
  <c r="M31" i="3"/>
  <c r="L32" i="3"/>
  <c r="N32" i="11" l="1"/>
  <c r="O31" i="11"/>
  <c r="O33" i="10"/>
  <c r="P32" i="10"/>
  <c r="M44" i="10"/>
  <c r="H45" i="10"/>
  <c r="F33" i="7"/>
  <c r="K32" i="7"/>
  <c r="M32" i="7" s="1"/>
  <c r="N31" i="8"/>
  <c r="M32" i="8"/>
  <c r="N31" i="6"/>
  <c r="M32" i="6"/>
  <c r="S32" i="5"/>
  <c r="R33" i="5"/>
  <c r="S32" i="4"/>
  <c r="R33" i="4"/>
  <c r="M32" i="3"/>
  <c r="L33" i="3"/>
  <c r="O32" i="11" l="1"/>
  <c r="N33" i="11"/>
  <c r="H46" i="10"/>
  <c r="M45" i="10"/>
  <c r="P33" i="10"/>
  <c r="O34" i="10"/>
  <c r="N32" i="7"/>
  <c r="F34" i="7"/>
  <c r="K33" i="7"/>
  <c r="M33" i="7" s="1"/>
  <c r="N32" i="8"/>
  <c r="M33" i="8"/>
  <c r="M33" i="6"/>
  <c r="N32" i="6"/>
  <c r="S33" i="5"/>
  <c r="R34" i="5"/>
  <c r="S33" i="4"/>
  <c r="R34" i="4"/>
  <c r="M33" i="3"/>
  <c r="L34" i="3"/>
  <c r="N34" i="11" l="1"/>
  <c r="O33" i="11"/>
  <c r="H47" i="10"/>
  <c r="M46" i="10"/>
  <c r="O35" i="10"/>
  <c r="P34" i="10"/>
  <c r="N33" i="7"/>
  <c r="F35" i="7"/>
  <c r="K34" i="7"/>
  <c r="M34" i="7" s="1"/>
  <c r="M34" i="8"/>
  <c r="N33" i="8"/>
  <c r="M34" i="6"/>
  <c r="N33" i="6"/>
  <c r="R35" i="5"/>
  <c r="S34" i="5"/>
  <c r="R35" i="4"/>
  <c r="S34" i="4"/>
  <c r="L35" i="3"/>
  <c r="M34" i="3"/>
  <c r="O34" i="11" l="1"/>
  <c r="N35" i="11"/>
  <c r="H48" i="10"/>
  <c r="M47" i="10"/>
  <c r="O36" i="10"/>
  <c r="P35" i="10"/>
  <c r="N34" i="7"/>
  <c r="F36" i="7"/>
  <c r="K35" i="7"/>
  <c r="M35" i="7" s="1"/>
  <c r="M35" i="8"/>
  <c r="N34" i="8"/>
  <c r="N34" i="6"/>
  <c r="M35" i="6"/>
  <c r="R36" i="5"/>
  <c r="S35" i="5"/>
  <c r="S35" i="4"/>
  <c r="R36" i="4"/>
  <c r="M35" i="3"/>
  <c r="L36" i="3"/>
  <c r="N36" i="11" l="1"/>
  <c r="O35" i="11"/>
  <c r="O37" i="10"/>
  <c r="P36" i="10"/>
  <c r="M48" i="10"/>
  <c r="H49" i="10"/>
  <c r="N35" i="7"/>
  <c r="F37" i="7"/>
  <c r="K36" i="7"/>
  <c r="M36" i="7" s="1"/>
  <c r="N35" i="8"/>
  <c r="M36" i="8"/>
  <c r="M36" i="6"/>
  <c r="N35" i="6"/>
  <c r="R37" i="5"/>
  <c r="S36" i="5"/>
  <c r="R37" i="4"/>
  <c r="S36" i="4"/>
  <c r="M36" i="3"/>
  <c r="L37" i="3"/>
  <c r="O36" i="11" l="1"/>
  <c r="N37" i="11"/>
  <c r="H50" i="10"/>
  <c r="M49" i="10"/>
  <c r="P37" i="10"/>
  <c r="O38" i="10"/>
  <c r="N36" i="7"/>
  <c r="F38" i="7"/>
  <c r="K37" i="7"/>
  <c r="M37" i="7" s="1"/>
  <c r="N36" i="8"/>
  <c r="M37" i="8"/>
  <c r="M37" i="6"/>
  <c r="N36" i="6"/>
  <c r="R38" i="5"/>
  <c r="S37" i="5"/>
  <c r="R38" i="4"/>
  <c r="S37" i="4"/>
  <c r="M37" i="3"/>
  <c r="L38" i="3"/>
  <c r="N38" i="11" l="1"/>
  <c r="O37" i="11"/>
  <c r="H51" i="10"/>
  <c r="M50" i="10"/>
  <c r="O39" i="10"/>
  <c r="P38" i="10"/>
  <c r="N37" i="7"/>
  <c r="F39" i="7"/>
  <c r="K38" i="7"/>
  <c r="M38" i="7" s="1"/>
  <c r="M38" i="8"/>
  <c r="N37" i="8"/>
  <c r="M38" i="6"/>
  <c r="N37" i="6"/>
  <c r="S38" i="5"/>
  <c r="R39" i="5"/>
  <c r="S38" i="4"/>
  <c r="R39" i="4"/>
  <c r="L39" i="3"/>
  <c r="M38" i="3"/>
  <c r="O38" i="11" l="1"/>
  <c r="N39" i="11"/>
  <c r="H52" i="10"/>
  <c r="M51" i="10"/>
  <c r="O40" i="10"/>
  <c r="P39" i="10"/>
  <c r="N38" i="7"/>
  <c r="F40" i="7"/>
  <c r="K39" i="7"/>
  <c r="M39" i="7" s="1"/>
  <c r="M39" i="8"/>
  <c r="N38" i="8"/>
  <c r="M39" i="6"/>
  <c r="N38" i="6"/>
  <c r="S39" i="5"/>
  <c r="R40" i="5"/>
  <c r="S39" i="4"/>
  <c r="R40" i="4"/>
  <c r="M39" i="3"/>
  <c r="L40" i="3"/>
  <c r="N40" i="11" l="1"/>
  <c r="O39" i="11"/>
  <c r="M52" i="10"/>
  <c r="H53" i="10"/>
  <c r="O41" i="10"/>
  <c r="P40" i="10"/>
  <c r="M40" i="7"/>
  <c r="N39" i="7"/>
  <c r="F41" i="7"/>
  <c r="K40" i="7"/>
  <c r="M40" i="8"/>
  <c r="N39" i="8"/>
  <c r="N39" i="6"/>
  <c r="M40" i="6"/>
  <c r="S40" i="5"/>
  <c r="R41" i="5"/>
  <c r="S40" i="4"/>
  <c r="R41" i="4"/>
  <c r="M40" i="3"/>
  <c r="L41" i="3"/>
  <c r="O40" i="11" l="1"/>
  <c r="N41" i="11"/>
  <c r="P41" i="10"/>
  <c r="O42" i="10"/>
  <c r="H54" i="10"/>
  <c r="M53" i="10"/>
  <c r="N40" i="7"/>
  <c r="F42" i="7"/>
  <c r="K41" i="7"/>
  <c r="M41" i="7" s="1"/>
  <c r="N40" i="8"/>
  <c r="M41" i="8"/>
  <c r="M41" i="6"/>
  <c r="N40" i="6"/>
  <c r="S41" i="5"/>
  <c r="R42" i="5"/>
  <c r="S41" i="4"/>
  <c r="R42" i="4"/>
  <c r="M41" i="3"/>
  <c r="L42" i="3"/>
  <c r="N42" i="11" l="1"/>
  <c r="O41" i="11"/>
  <c r="H55" i="10"/>
  <c r="M54" i="10"/>
  <c r="O43" i="10"/>
  <c r="P42" i="10"/>
  <c r="N41" i="7"/>
  <c r="F43" i="7"/>
  <c r="K42" i="7"/>
  <c r="M42" i="7" s="1"/>
  <c r="N41" i="8"/>
  <c r="M42" i="8"/>
  <c r="M42" i="6"/>
  <c r="N41" i="6"/>
  <c r="S42" i="5"/>
  <c r="R43" i="5"/>
  <c r="R43" i="4"/>
  <c r="S42" i="4"/>
  <c r="L43" i="3"/>
  <c r="M42" i="3"/>
  <c r="O42" i="11" l="1"/>
  <c r="N43" i="11"/>
  <c r="O44" i="10"/>
  <c r="P43" i="10"/>
  <c r="H56" i="10"/>
  <c r="M55" i="10"/>
  <c r="N42" i="7"/>
  <c r="F44" i="7"/>
  <c r="K43" i="7"/>
  <c r="M43" i="7" s="1"/>
  <c r="M43" i="8"/>
  <c r="N42" i="8"/>
  <c r="N42" i="6"/>
  <c r="M43" i="6"/>
  <c r="S43" i="5"/>
  <c r="R44" i="5"/>
  <c r="S43" i="4"/>
  <c r="R44" i="4"/>
  <c r="M43" i="3"/>
  <c r="L44" i="3"/>
  <c r="N44" i="11" l="1"/>
  <c r="O43" i="11"/>
  <c r="O45" i="10"/>
  <c r="P44" i="10"/>
  <c r="M56" i="10"/>
  <c r="H57" i="10"/>
  <c r="N43" i="7"/>
  <c r="F45" i="7"/>
  <c r="K44" i="7"/>
  <c r="M44" i="7" s="1"/>
  <c r="M44" i="8"/>
  <c r="N43" i="8"/>
  <c r="M44" i="6"/>
  <c r="N43" i="6"/>
  <c r="R45" i="5"/>
  <c r="S44" i="5"/>
  <c r="R45" i="4"/>
  <c r="S44" i="4"/>
  <c r="M44" i="3"/>
  <c r="L45" i="3"/>
  <c r="O44" i="11" l="1"/>
  <c r="N45" i="11"/>
  <c r="P45" i="10"/>
  <c r="O46" i="10"/>
  <c r="H58" i="10"/>
  <c r="M57" i="10"/>
  <c r="N44" i="7"/>
  <c r="M45" i="7"/>
  <c r="N45" i="7" s="1"/>
  <c r="F46" i="7"/>
  <c r="K45" i="7"/>
  <c r="N44" i="8"/>
  <c r="M45" i="8"/>
  <c r="M45" i="6"/>
  <c r="N44" i="6"/>
  <c r="R46" i="5"/>
  <c r="S45" i="5"/>
  <c r="R46" i="4"/>
  <c r="S45" i="4"/>
  <c r="M45" i="3"/>
  <c r="L46" i="3"/>
  <c r="N46" i="11" l="1"/>
  <c r="O45" i="11"/>
  <c r="O47" i="10"/>
  <c r="P46" i="10"/>
  <c r="H59" i="10"/>
  <c r="M58" i="10"/>
  <c r="F47" i="7"/>
  <c r="K46" i="7"/>
  <c r="M46" i="7" s="1"/>
  <c r="M46" i="8"/>
  <c r="N45" i="8"/>
  <c r="M46" i="6"/>
  <c r="N45" i="6"/>
  <c r="S46" i="5"/>
  <c r="R47" i="5"/>
  <c r="S46" i="4"/>
  <c r="R47" i="4"/>
  <c r="L47" i="3"/>
  <c r="M46" i="3"/>
  <c r="O46" i="11" l="1"/>
  <c r="N47" i="11"/>
  <c r="O48" i="10"/>
  <c r="P47" i="10"/>
  <c r="H60" i="10"/>
  <c r="M59" i="10"/>
  <c r="N46" i="7"/>
  <c r="F48" i="7"/>
  <c r="K47" i="7"/>
  <c r="M47" i="7" s="1"/>
  <c r="M47" i="8"/>
  <c r="N46" i="8"/>
  <c r="M47" i="6"/>
  <c r="N46" i="6"/>
  <c r="S47" i="5"/>
  <c r="R48" i="5"/>
  <c r="S47" i="4"/>
  <c r="R48" i="4"/>
  <c r="M47" i="3"/>
  <c r="L48" i="3"/>
  <c r="N48" i="11" l="1"/>
  <c r="O47" i="11"/>
  <c r="O49" i="10"/>
  <c r="P48" i="10"/>
  <c r="M60" i="10"/>
  <c r="H61" i="10"/>
  <c r="N47" i="7"/>
  <c r="F49" i="7"/>
  <c r="K48" i="7"/>
  <c r="M48" i="7" s="1"/>
  <c r="M48" i="8"/>
  <c r="N47" i="8"/>
  <c r="N47" i="6"/>
  <c r="M48" i="6"/>
  <c r="S48" i="5"/>
  <c r="R49" i="5"/>
  <c r="S48" i="4"/>
  <c r="R49" i="4"/>
  <c r="M48" i="3"/>
  <c r="L49" i="3"/>
  <c r="O48" i="11" l="1"/>
  <c r="N49" i="11"/>
  <c r="P49" i="10"/>
  <c r="O50" i="10"/>
  <c r="H62" i="10"/>
  <c r="M61" i="10"/>
  <c r="N48" i="7"/>
  <c r="F50" i="7"/>
  <c r="K49" i="7"/>
  <c r="M49" i="7" s="1"/>
  <c r="N48" i="8"/>
  <c r="M49" i="8"/>
  <c r="M49" i="6"/>
  <c r="N48" i="6"/>
  <c r="R50" i="5"/>
  <c r="S49" i="5"/>
  <c r="S49" i="4"/>
  <c r="R50" i="4"/>
  <c r="M49" i="3"/>
  <c r="L50" i="3"/>
  <c r="N50" i="11" l="1"/>
  <c r="O49" i="11"/>
  <c r="H63" i="10"/>
  <c r="M62" i="10"/>
  <c r="O51" i="10"/>
  <c r="P50" i="10"/>
  <c r="N49" i="7"/>
  <c r="F51" i="7"/>
  <c r="K50" i="7"/>
  <c r="M50" i="7" s="1"/>
  <c r="M50" i="8"/>
  <c r="N49" i="8"/>
  <c r="M50" i="6"/>
  <c r="N49" i="6"/>
  <c r="R51" i="5"/>
  <c r="S50" i="5"/>
  <c r="S50" i="4"/>
  <c r="R51" i="4"/>
  <c r="L51" i="3"/>
  <c r="M50" i="3"/>
  <c r="O50" i="11" l="1"/>
  <c r="N51" i="11"/>
  <c r="H64" i="10"/>
  <c r="M63" i="10"/>
  <c r="O52" i="10"/>
  <c r="P51" i="10"/>
  <c r="N50" i="7"/>
  <c r="F52" i="7"/>
  <c r="K51" i="7"/>
  <c r="M51" i="7" s="1"/>
  <c r="M51" i="8"/>
  <c r="N50" i="8"/>
  <c r="N50" i="6"/>
  <c r="M51" i="6"/>
  <c r="R52" i="5"/>
  <c r="S51" i="5"/>
  <c r="S51" i="4"/>
  <c r="R52" i="4"/>
  <c r="M51" i="3"/>
  <c r="L52" i="3"/>
  <c r="N52" i="11" l="1"/>
  <c r="O51" i="11"/>
  <c r="M64" i="10"/>
  <c r="H65" i="10"/>
  <c r="O53" i="10"/>
  <c r="P52" i="10"/>
  <c r="N51" i="7"/>
  <c r="F53" i="7"/>
  <c r="K52" i="7"/>
  <c r="M52" i="7" s="1"/>
  <c r="M52" i="8"/>
  <c r="N51" i="8"/>
  <c r="M52" i="6"/>
  <c r="N51" i="6"/>
  <c r="R53" i="5"/>
  <c r="S52" i="5"/>
  <c r="R53" i="4"/>
  <c r="S52" i="4"/>
  <c r="M52" i="3"/>
  <c r="L53" i="3"/>
  <c r="O52" i="11" l="1"/>
  <c r="N53" i="11"/>
  <c r="H66" i="10"/>
  <c r="M65" i="10"/>
  <c r="P53" i="10"/>
  <c r="O54" i="10"/>
  <c r="N52" i="7"/>
  <c r="F54" i="7"/>
  <c r="K53" i="7"/>
  <c r="M53" i="7" s="1"/>
  <c r="N52" i="8"/>
  <c r="M53" i="8"/>
  <c r="M53" i="6"/>
  <c r="N52" i="6"/>
  <c r="R54" i="5"/>
  <c r="S53" i="5"/>
  <c r="R54" i="4"/>
  <c r="S53" i="4"/>
  <c r="M53" i="3"/>
  <c r="L54" i="3"/>
  <c r="N54" i="11" l="1"/>
  <c r="O53" i="11"/>
  <c r="O55" i="10"/>
  <c r="P54" i="10"/>
  <c r="H67" i="10"/>
  <c r="M66" i="10"/>
  <c r="N53" i="7"/>
  <c r="F55" i="7"/>
  <c r="K54" i="7"/>
  <c r="M54" i="7" s="1"/>
  <c r="N53" i="8"/>
  <c r="M54" i="8"/>
  <c r="M54" i="6"/>
  <c r="N53" i="6"/>
  <c r="S54" i="5"/>
  <c r="R55" i="5"/>
  <c r="S54" i="4"/>
  <c r="R55" i="4"/>
  <c r="L55" i="3"/>
  <c r="M54" i="3"/>
  <c r="O54" i="11" l="1"/>
  <c r="N55" i="11"/>
  <c r="O56" i="10"/>
  <c r="P55" i="10"/>
  <c r="H68" i="10"/>
  <c r="M67" i="10"/>
  <c r="N54" i="7"/>
  <c r="F56" i="7"/>
  <c r="K55" i="7"/>
  <c r="M55" i="7" s="1"/>
  <c r="M55" i="8"/>
  <c r="N54" i="8"/>
  <c r="M55" i="6"/>
  <c r="N54" i="6"/>
  <c r="S55" i="5"/>
  <c r="R56" i="5"/>
  <c r="S55" i="4"/>
  <c r="R56" i="4"/>
  <c r="M55" i="3"/>
  <c r="L56" i="3"/>
  <c r="N56" i="11" l="1"/>
  <c r="O55" i="11"/>
  <c r="M68" i="10"/>
  <c r="H69" i="10"/>
  <c r="O57" i="10"/>
  <c r="P56" i="10"/>
  <c r="N55" i="7"/>
  <c r="F57" i="7"/>
  <c r="K56" i="7"/>
  <c r="M56" i="7" s="1"/>
  <c r="M56" i="8"/>
  <c r="N55" i="8"/>
  <c r="N55" i="6"/>
  <c r="M56" i="6"/>
  <c r="S56" i="5"/>
  <c r="R57" i="5"/>
  <c r="S56" i="4"/>
  <c r="R57" i="4"/>
  <c r="M56" i="3"/>
  <c r="L57" i="3"/>
  <c r="O56" i="11" l="1"/>
  <c r="N57" i="11"/>
  <c r="H70" i="10"/>
  <c r="M69" i="10"/>
  <c r="P57" i="10"/>
  <c r="O58" i="10"/>
  <c r="N56" i="7"/>
  <c r="F58" i="7"/>
  <c r="K57" i="7"/>
  <c r="M57" i="7" s="1"/>
  <c r="N56" i="8"/>
  <c r="M57" i="8"/>
  <c r="M57" i="6"/>
  <c r="N56" i="6"/>
  <c r="S57" i="5"/>
  <c r="R58" i="5"/>
  <c r="S57" i="4"/>
  <c r="R58" i="4"/>
  <c r="M57" i="3"/>
  <c r="L58" i="3"/>
  <c r="N58" i="11" l="1"/>
  <c r="O57" i="11"/>
  <c r="O59" i="10"/>
  <c r="P58" i="10"/>
  <c r="H71" i="10"/>
  <c r="M70" i="10"/>
  <c r="N57" i="7"/>
  <c r="F59" i="7"/>
  <c r="K58" i="7"/>
  <c r="M58" i="7" s="1"/>
  <c r="M58" i="8"/>
  <c r="N57" i="8"/>
  <c r="M58" i="6"/>
  <c r="N57" i="6"/>
  <c r="S58" i="5"/>
  <c r="R59" i="5"/>
  <c r="R59" i="4"/>
  <c r="S58" i="4"/>
  <c r="L59" i="3"/>
  <c r="M58" i="3"/>
  <c r="O58" i="11" l="1"/>
  <c r="N59" i="11"/>
  <c r="O60" i="10"/>
  <c r="P59" i="10"/>
  <c r="H72" i="10"/>
  <c r="M72" i="10" s="1"/>
  <c r="M71" i="10"/>
  <c r="N58" i="7"/>
  <c r="F60" i="7"/>
  <c r="K59" i="7"/>
  <c r="M59" i="7" s="1"/>
  <c r="M59" i="8"/>
  <c r="N58" i="8"/>
  <c r="N58" i="6"/>
  <c r="M59" i="6"/>
  <c r="S59" i="5"/>
  <c r="R60" i="5"/>
  <c r="S59" i="4"/>
  <c r="R60" i="4"/>
  <c r="M59" i="3"/>
  <c r="L60" i="3"/>
  <c r="N60" i="11" l="1"/>
  <c r="O59" i="11"/>
  <c r="O61" i="10"/>
  <c r="P60" i="10"/>
  <c r="N59" i="7"/>
  <c r="F61" i="7"/>
  <c r="K60" i="7"/>
  <c r="M60" i="7" s="1"/>
  <c r="M60" i="8"/>
  <c r="N59" i="8"/>
  <c r="M60" i="6"/>
  <c r="N59" i="6"/>
  <c r="R61" i="5"/>
  <c r="S60" i="5"/>
  <c r="R61" i="4"/>
  <c r="S60" i="4"/>
  <c r="M60" i="3"/>
  <c r="L61" i="3"/>
  <c r="O60" i="11" l="1"/>
  <c r="N61" i="11"/>
  <c r="P61" i="10"/>
  <c r="O62" i="10"/>
  <c r="N60" i="7"/>
  <c r="F62" i="7"/>
  <c r="K61" i="7"/>
  <c r="M61" i="7" s="1"/>
  <c r="N60" i="8"/>
  <c r="M61" i="8"/>
  <c r="M61" i="6"/>
  <c r="N60" i="6"/>
  <c r="R62" i="5"/>
  <c r="S61" i="5"/>
  <c r="R62" i="4"/>
  <c r="S61" i="4"/>
  <c r="M61" i="3"/>
  <c r="L62" i="3"/>
  <c r="N62" i="11" l="1"/>
  <c r="O61" i="11"/>
  <c r="O63" i="10"/>
  <c r="P62" i="10"/>
  <c r="N61" i="7"/>
  <c r="F63" i="7"/>
  <c r="K62" i="7"/>
  <c r="M62" i="7" s="1"/>
  <c r="N61" i="8"/>
  <c r="M62" i="8"/>
  <c r="M62" i="6"/>
  <c r="N61" i="6"/>
  <c r="S62" i="5"/>
  <c r="R63" i="5"/>
  <c r="S62" i="4"/>
  <c r="R63" i="4"/>
  <c r="L63" i="3"/>
  <c r="M62" i="3"/>
  <c r="O62" i="11" l="1"/>
  <c r="N63" i="11"/>
  <c r="O64" i="10"/>
  <c r="P63" i="10"/>
  <c r="N62" i="7"/>
  <c r="F64" i="7"/>
  <c r="K63" i="7"/>
  <c r="M63" i="7" s="1"/>
  <c r="M63" i="8"/>
  <c r="N62" i="8"/>
  <c r="M63" i="6"/>
  <c r="N62" i="6"/>
  <c r="S63" i="5"/>
  <c r="R64" i="5"/>
  <c r="S63" i="4"/>
  <c r="R64" i="4"/>
  <c r="M63" i="3"/>
  <c r="L64" i="3"/>
  <c r="N64" i="11" l="1"/>
  <c r="O63" i="11"/>
  <c r="O65" i="10"/>
  <c r="P64" i="10"/>
  <c r="N63" i="7"/>
  <c r="F65" i="7"/>
  <c r="K64" i="7"/>
  <c r="M64" i="7" s="1"/>
  <c r="M64" i="8"/>
  <c r="N63" i="8"/>
  <c r="N63" i="6"/>
  <c r="M64" i="6"/>
  <c r="S64" i="5"/>
  <c r="R65" i="5"/>
  <c r="S64" i="4"/>
  <c r="R65" i="4"/>
  <c r="M64" i="3"/>
  <c r="L65" i="3"/>
  <c r="O64" i="11" l="1"/>
  <c r="N65" i="11"/>
  <c r="P65" i="10"/>
  <c r="O66" i="10"/>
  <c r="N64" i="7"/>
  <c r="F66" i="7"/>
  <c r="K65" i="7"/>
  <c r="M65" i="7" s="1"/>
  <c r="N64" i="8"/>
  <c r="M65" i="8"/>
  <c r="M65" i="6"/>
  <c r="N64" i="6"/>
  <c r="S65" i="5"/>
  <c r="R66" i="5"/>
  <c r="S65" i="4"/>
  <c r="R66" i="4"/>
  <c r="M65" i="3"/>
  <c r="L66" i="3"/>
  <c r="N66" i="11" l="1"/>
  <c r="O65" i="11"/>
  <c r="O67" i="10"/>
  <c r="P66" i="10"/>
  <c r="N65" i="7"/>
  <c r="F67" i="7"/>
  <c r="K66" i="7"/>
  <c r="M66" i="7" s="1"/>
  <c r="M66" i="8"/>
  <c r="N65" i="8"/>
  <c r="M66" i="6"/>
  <c r="N65" i="6"/>
  <c r="R67" i="5"/>
  <c r="S66" i="5"/>
  <c r="R67" i="4"/>
  <c r="S66" i="4"/>
  <c r="L67" i="3"/>
  <c r="M66" i="3"/>
  <c r="O66" i="11" l="1"/>
  <c r="N67" i="11"/>
  <c r="P67" i="10"/>
  <c r="O68" i="10"/>
  <c r="N66" i="7"/>
  <c r="F68" i="7"/>
  <c r="K67" i="7"/>
  <c r="M67" i="7" s="1"/>
  <c r="M67" i="8"/>
  <c r="N66" i="8"/>
  <c r="N66" i="6"/>
  <c r="M67" i="6"/>
  <c r="S67" i="5"/>
  <c r="R68" i="5"/>
  <c r="S67" i="4"/>
  <c r="R68" i="4"/>
  <c r="M67" i="3"/>
  <c r="L68" i="3"/>
  <c r="N68" i="11" l="1"/>
  <c r="O67" i="11"/>
  <c r="O69" i="10"/>
  <c r="P68" i="10"/>
  <c r="N67" i="7"/>
  <c r="F69" i="7"/>
  <c r="K68" i="7"/>
  <c r="M68" i="7" s="1"/>
  <c r="M68" i="8"/>
  <c r="N67" i="8"/>
  <c r="M68" i="6"/>
  <c r="N67" i="6"/>
  <c r="R69" i="5"/>
  <c r="S68" i="5"/>
  <c r="R69" i="4"/>
  <c r="S68" i="4"/>
  <c r="M68" i="3"/>
  <c r="L69" i="3"/>
  <c r="O68" i="11" l="1"/>
  <c r="N69" i="11"/>
  <c r="P69" i="10"/>
  <c r="O70" i="10"/>
  <c r="N68" i="7"/>
  <c r="F70" i="7"/>
  <c r="K69" i="7"/>
  <c r="M69" i="7" s="1"/>
  <c r="N68" i="8"/>
  <c r="M69" i="8"/>
  <c r="M69" i="6"/>
  <c r="N68" i="6"/>
  <c r="R70" i="5"/>
  <c r="S69" i="5"/>
  <c r="R70" i="4"/>
  <c r="S69" i="4"/>
  <c r="M69" i="3"/>
  <c r="L70" i="3"/>
  <c r="N70" i="11" l="1"/>
  <c r="O69" i="11"/>
  <c r="O71" i="10"/>
  <c r="P70" i="10"/>
  <c r="N69" i="7"/>
  <c r="F71" i="7"/>
  <c r="K70" i="7"/>
  <c r="M70" i="7" s="1"/>
  <c r="M70" i="8"/>
  <c r="N69" i="8"/>
  <c r="M70" i="6"/>
  <c r="N69" i="6"/>
  <c r="S70" i="5"/>
  <c r="R71" i="5"/>
  <c r="S70" i="4"/>
  <c r="R71" i="4"/>
  <c r="L71" i="3"/>
  <c r="M70" i="3"/>
  <c r="O70" i="11" l="1"/>
  <c r="N71" i="11"/>
  <c r="O72" i="10"/>
  <c r="P72" i="10" s="1"/>
  <c r="P74" i="10" s="1"/>
  <c r="P75" i="10" s="1"/>
  <c r="P71" i="10"/>
  <c r="N70" i="7"/>
  <c r="F72" i="7"/>
  <c r="K72" i="7" s="1"/>
  <c r="K71" i="7"/>
  <c r="M71" i="7" s="1"/>
  <c r="M71" i="8"/>
  <c r="M72" i="8" s="1"/>
  <c r="N72" i="8" s="1"/>
  <c r="N74" i="8" s="1"/>
  <c r="N70" i="8"/>
  <c r="M71" i="6"/>
  <c r="N70" i="6"/>
  <c r="S71" i="5"/>
  <c r="R72" i="5"/>
  <c r="S72" i="5" s="1"/>
  <c r="S74" i="5" s="1"/>
  <c r="S75" i="5" s="1"/>
  <c r="S71" i="4"/>
  <c r="R72" i="4"/>
  <c r="S72" i="4" s="1"/>
  <c r="S74" i="4" s="1"/>
  <c r="S75" i="4" s="1"/>
  <c r="M71" i="3"/>
  <c r="N72" i="11" l="1"/>
  <c r="O72" i="11" s="1"/>
  <c r="O74" i="11" s="1"/>
  <c r="O75" i="11" s="1"/>
  <c r="O71" i="11"/>
  <c r="N71" i="7"/>
  <c r="M72" i="7"/>
  <c r="N72" i="7" s="1"/>
  <c r="N74" i="7" s="1"/>
  <c r="N75" i="7" s="1"/>
  <c r="N71" i="8"/>
  <c r="N71" i="6"/>
  <c r="M72" i="6"/>
  <c r="N72" i="6" s="1"/>
  <c r="M74" i="3"/>
  <c r="M75" i="3" s="1"/>
  <c r="N75" i="6" l="1"/>
</calcChain>
</file>

<file path=xl/sharedStrings.xml><?xml version="1.0" encoding="utf-8"?>
<sst xmlns="http://schemas.openxmlformats.org/spreadsheetml/2006/main" count="364" uniqueCount="192">
  <si>
    <t>year</t>
  </si>
  <si>
    <t>POP</t>
  </si>
  <si>
    <t>GDP</t>
  </si>
  <si>
    <t>GDP_QI</t>
  </si>
  <si>
    <t>GDP_P</t>
  </si>
  <si>
    <t>PCE</t>
  </si>
  <si>
    <t>PIE</t>
  </si>
  <si>
    <t>GCE</t>
  </si>
  <si>
    <t>GIE</t>
  </si>
  <si>
    <t>NX</t>
  </si>
  <si>
    <t>VA_TOT</t>
  </si>
  <si>
    <t>VA_GOOD</t>
  </si>
  <si>
    <t>VA_SERV</t>
  </si>
  <si>
    <t>VA_TOT_P</t>
  </si>
  <si>
    <t>VA_GOOD_P</t>
  </si>
  <si>
    <t>VA_SERV_P</t>
  </si>
  <si>
    <t>VAX_GOOD</t>
  </si>
  <si>
    <t>VAC_GOOD</t>
  </si>
  <si>
    <t>VAX_SERV</t>
  </si>
  <si>
    <t>VAC_SERV</t>
  </si>
  <si>
    <t>LAB_TOT</t>
  </si>
  <si>
    <t>LAB_GOOD</t>
  </si>
  <si>
    <t>LAB_SERV</t>
  </si>
  <si>
    <t>LAB_S_TOT</t>
  </si>
  <si>
    <t>VA_TOT_QI</t>
  </si>
  <si>
    <t>VA_GOOD_QI</t>
  </si>
  <si>
    <t>VA_SERV_QI</t>
  </si>
  <si>
    <t>CAP_TOT_QI</t>
  </si>
  <si>
    <t>CAP_GOOD_QI</t>
  </si>
  <si>
    <t>CAP_SERV_QI</t>
  </si>
  <si>
    <t>LAB_TOT_QI</t>
  </si>
  <si>
    <t>LAB_GOOD_QI</t>
  </si>
  <si>
    <t>LAB_SERV_QI</t>
  </si>
  <si>
    <t>LAB_S_GOOD</t>
  </si>
  <si>
    <t>LAB_S_SERV</t>
  </si>
  <si>
    <t>C_TOT</t>
  </si>
  <si>
    <t>C_GOOD</t>
  </si>
  <si>
    <t>C_SERV</t>
  </si>
  <si>
    <t>C_TOT_QI</t>
  </si>
  <si>
    <t>C_TOT_P</t>
  </si>
  <si>
    <t>C_GOOD_QI</t>
  </si>
  <si>
    <t>C_GOOD_P</t>
  </si>
  <si>
    <t>C_SERV_QI</t>
  </si>
  <si>
    <t>C_SERV_P</t>
  </si>
  <si>
    <t>X_TOT</t>
  </si>
  <si>
    <t>X_TOT_QI</t>
  </si>
  <si>
    <t>X_TOT_P</t>
  </si>
  <si>
    <t>Population, midperiod, thousands</t>
  </si>
  <si>
    <t>GDP, millions of dollars</t>
  </si>
  <si>
    <t>GDP, chain-type quantity indexes for GDP, 2009=1</t>
  </si>
  <si>
    <t>GDP, chain-type price indexes for GDP, 2009=1</t>
  </si>
  <si>
    <t>Personal consumption expenditures, millions of current dollars</t>
  </si>
  <si>
    <t>Private investment expenditures, millions of current dollars</t>
  </si>
  <si>
    <t>Government consumption expenditures, millions of current dollars</t>
  </si>
  <si>
    <t>Government investment expenditures, millions of current dollars</t>
  </si>
  <si>
    <t>Net exports, millions of dollars</t>
  </si>
  <si>
    <t>GDP, current prices, millions of dollars</t>
  </si>
  <si>
    <t>Value added, current prices, goods, millions of dollars</t>
  </si>
  <si>
    <t>Value added, current prices, services, millions of dollars</t>
  </si>
  <si>
    <t>Value added, price index, aggregate, 1947 = 1</t>
  </si>
  <si>
    <t>Value added, price index, goods, 1947 = 1</t>
  </si>
  <si>
    <t>Value added, price index, services, 1947 = 1</t>
  </si>
  <si>
    <t>Investment value added requirement, services, millions of dollars</t>
  </si>
  <si>
    <t>Consumption value added requirement, services, millions of dollars</t>
  </si>
  <si>
    <t>Labour income, current prices, millions of dollars</t>
  </si>
  <si>
    <t>Labour income, current prices, goods, millions of dollars</t>
  </si>
  <si>
    <t>Labour income, current prices, services, millions of dollars</t>
  </si>
  <si>
    <t>Labour income share in value added, aggregate, t and t-1 average</t>
  </si>
  <si>
    <t>Value added, volume index, aggregate, 1947 = 1</t>
  </si>
  <si>
    <t>Value added, volume index, goods, 1947 = 1</t>
  </si>
  <si>
    <t>Value added, volume index, services, 1947 = 1</t>
  </si>
  <si>
    <t>Capital services, volume index, aggregate, 1947 = 1</t>
  </si>
  <si>
    <t>Capital services, volume index, goods, 1947 = 1</t>
  </si>
  <si>
    <t>Capital services, volume index, services, 1947 = 1</t>
  </si>
  <si>
    <t>Efficiency hours worked by persons engaged, volume index, aggregate, 1947 = 1</t>
  </si>
  <si>
    <t>Efficiency hours worked by persons engaged, volume index, goods, 1947 = 1</t>
  </si>
  <si>
    <t>Efficiency hours worked by persons engaged, volume index, services, 1947 = 1</t>
  </si>
  <si>
    <t>Labour income share in value added, goods, t and t-1 average</t>
  </si>
  <si>
    <t>Labour income share in value added, services, t and t-1 average</t>
  </si>
  <si>
    <t>Consumption defined as GDP-X, current prices, millions of dollars</t>
  </si>
  <si>
    <t>Goods consumption expenditures, millions of current dollars</t>
  </si>
  <si>
    <t>Service consumption expenditures, millions of current dollars</t>
  </si>
  <si>
    <t>Chain-type quantity indexes for consumption, 1947=1</t>
  </si>
  <si>
    <t>Chain-type price indexes for consumption, 1947=1</t>
  </si>
  <si>
    <t>Chain-type quantity indexes for goods consumption, 1947=1</t>
  </si>
  <si>
    <t>Chain-type price indexes for goods consumption, 1947=1</t>
  </si>
  <si>
    <t>Chain-type quantity indexes for service consumption, 1947=1</t>
  </si>
  <si>
    <t>Chain-type price indexes for service consumption, 1947=1</t>
  </si>
  <si>
    <t>Fixed investment expenditures, millions of current dollars</t>
  </si>
  <si>
    <t>Chain-type quantity indexes for fixed investment, 1947=1</t>
  </si>
  <si>
    <t>Chain-type price indexes for fixed investment, 1947=1</t>
  </si>
  <si>
    <t>Variable Name</t>
  </si>
  <si>
    <t>Definition</t>
  </si>
  <si>
    <t>dl_chg_VA</t>
  </si>
  <si>
    <t>dl_chg_CAP</t>
  </si>
  <si>
    <t>dl_chg_TFP</t>
  </si>
  <si>
    <t>Cum_Sum</t>
  </si>
  <si>
    <t>TFP_INDEX</t>
  </si>
  <si>
    <t>Log Diff (2017-1980)</t>
  </si>
  <si>
    <t>Exponential Growth Rate</t>
  </si>
  <si>
    <t>avg_LAB_S_TOT</t>
  </si>
  <si>
    <t>dl_chg_LAB</t>
  </si>
  <si>
    <t>EMP_SHARE_GOODS</t>
  </si>
  <si>
    <t>dl_chg_VA_QI</t>
  </si>
  <si>
    <t>EMP_SHARE_SERV</t>
  </si>
  <si>
    <t>Average 1947-2010</t>
  </si>
  <si>
    <t>Average 1980-2010</t>
  </si>
  <si>
    <t>TFPVA_SERV_I</t>
  </si>
  <si>
    <t>mLAB_S_GOOD</t>
  </si>
  <si>
    <t>TFPVA_TOT_I</t>
  </si>
  <si>
    <t>VAX_GOOD_S</t>
  </si>
  <si>
    <t>VAX_SERV_S</t>
  </si>
  <si>
    <t>VAC_GOOD_S</t>
  </si>
  <si>
    <t>VAC_SERV_S</t>
  </si>
  <si>
    <t>C_PC</t>
  </si>
  <si>
    <t>VAX_GOOD_S_hat</t>
  </si>
  <si>
    <t>VAX_SERV_S_hat</t>
  </si>
  <si>
    <t>omega_x</t>
  </si>
  <si>
    <t>epsilon_x</t>
  </si>
  <si>
    <t>VAX_GOOD_QI_hat</t>
  </si>
  <si>
    <t>VAX_SERV_QI_hat</t>
  </si>
  <si>
    <t>VAX_SERV_GOOD_hat</t>
  </si>
  <si>
    <t>dVAX_SERV_S_hat_2017</t>
  </si>
  <si>
    <t>VAC_GOOD_S_CES_hat</t>
  </si>
  <si>
    <t>VAC_SERV_S_CES_hat</t>
  </si>
  <si>
    <t>omega_c</t>
  </si>
  <si>
    <t>epsilon_c</t>
  </si>
  <si>
    <t>VAC_GOOD_CES_QI_hat</t>
  </si>
  <si>
    <t>VAC_SERV_CES_QI_hat</t>
  </si>
  <si>
    <t>VAC_SERV_GOOD_CES_hat</t>
  </si>
  <si>
    <t>dVAC_SERV_S_CES_hat_2017</t>
  </si>
  <si>
    <t>VAC_GOOD_S_PIGL_hat</t>
  </si>
  <si>
    <t>VAC_SERV_S_PIGL_hat</t>
  </si>
  <si>
    <t>chi</t>
  </si>
  <si>
    <t>gamma</t>
  </si>
  <si>
    <t>nu</t>
  </si>
  <si>
    <t>VAC_GOOD_PIGL_QI_hat</t>
  </si>
  <si>
    <t>VAC_SERV_PIGL_QI_hat</t>
  </si>
  <si>
    <t>VAC_SERV_GOOD_PIGL_hat</t>
  </si>
  <si>
    <t>dVAC_SERV_S_PIGL_hat_2017</t>
  </si>
  <si>
    <t>VAX_S_GOOD</t>
  </si>
  <si>
    <t>VAX_S_SERV</t>
  </si>
  <si>
    <t>VAC_S_GOOD</t>
  </si>
  <si>
    <t>VAC_S_SERV</t>
  </si>
  <si>
    <t>VAX_GOOD_QI</t>
  </si>
  <si>
    <t>VAX_SERV_QI</t>
  </si>
  <si>
    <t>VAC_GOOD_QI</t>
  </si>
  <si>
    <t>VAC_SERV_QI</t>
  </si>
  <si>
    <t>VA_SERV_GOOD_P</t>
  </si>
  <si>
    <t>VA_SERV_X_P</t>
  </si>
  <si>
    <t>VA_GOOD_X_P</t>
  </si>
  <si>
    <t>C_X_P</t>
  </si>
  <si>
    <t>mLAB_S_TOT</t>
  </si>
  <si>
    <t>mLAB_S_SERV</t>
  </si>
  <si>
    <t>dlTFPVA_TOT_I</t>
  </si>
  <si>
    <t>dlTFPVA_GOOD_I</t>
  </si>
  <si>
    <t>dlTFPVA_SERV_I</t>
  </si>
  <si>
    <t>TFPVA_GOOD_I</t>
  </si>
  <si>
    <t>.</t>
  </si>
  <si>
    <t xml:space="preserve">From here onwards </t>
  </si>
  <si>
    <t xml:space="preserve">VAX_S_SERV </t>
  </si>
  <si>
    <t xml:space="preserve">VAC_S_GOOD </t>
  </si>
  <si>
    <t>Goods value added share in investment expenditure avergared over t and t-1</t>
  </si>
  <si>
    <t>Services value added share in investment expenditure avergared over t and t-1</t>
  </si>
  <si>
    <t>Goods value added share in consumption expenditure avergared over t and t-1</t>
  </si>
  <si>
    <t>Services value added share in consumption expenditure avergared over t and t-1</t>
  </si>
  <si>
    <t>Goods quantity in investment expenditure, 1947 = 1</t>
  </si>
  <si>
    <t>Services quantity in investment expenditure, 1947 = 1</t>
  </si>
  <si>
    <t>Goods quantity in consumption expenditure, 1947 = 1</t>
  </si>
  <si>
    <t>Services quantity iin consumption expenditure, 1947 = 1</t>
  </si>
  <si>
    <t>Value added, services relative to goods price index, 1947 = 1</t>
  </si>
  <si>
    <t>Value added, goods relative to investment price index, 1947 = 1</t>
  </si>
  <si>
    <t>Value added, services relative to investment price index, 1947 = 1</t>
  </si>
  <si>
    <t>Consumption relative to investment price index, 1947 = 1</t>
  </si>
  <si>
    <t>TFP index, aggregate, 1947 = 1</t>
  </si>
  <si>
    <t>TFP index, goods, 1947 = 1</t>
  </si>
  <si>
    <t>TFP index, services, 1947 = 1</t>
  </si>
  <si>
    <t>A_X_I</t>
  </si>
  <si>
    <t>Exogenous investment specific TFP index, 1947 = 1</t>
  </si>
  <si>
    <t>calA_X_I_BU</t>
  </si>
  <si>
    <t>Effective investment specific TFP index, buttom up approach, 1947 = 1</t>
  </si>
  <si>
    <t>calA_X_I_TD</t>
  </si>
  <si>
    <t>Effective investment specific TFP index, top down approach, 1947 = 1</t>
  </si>
  <si>
    <t>calA_C_I</t>
  </si>
  <si>
    <t>Effective consumption specific TFP index, log-CES, 1947 = 1</t>
  </si>
  <si>
    <t>Average labour share, total economy</t>
  </si>
  <si>
    <t>Average labour share, goods sector</t>
  </si>
  <si>
    <t>Average labour share, services sector</t>
  </si>
  <si>
    <t>these data are calculated</t>
  </si>
  <si>
    <t>by HRV</t>
  </si>
  <si>
    <t>From here below these are calculated by HRV</t>
  </si>
  <si>
    <t>VA_TOT/X_P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</si>
</sst>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0"/>
    <numFmt numFmtId="165" formatCode="_-* #,##0.0_-;\-* #,##0.0_-;_-* &quot;-&quot;??_-;_-@_-"/>
    <numFmt numFmtId="166" formatCode="0.0000"/>
    <numFmt numFmtId="167" formatCode="0.000"/>
    <numFmt numFmtId="168" formatCode="0.000000"/>
    <numFmt numFmtId="169" formatCode="0.0"/>
    <numFmt numFmtId="170" formatCode="_-* #,##0.000_-;\-* #,##0.000_-;_-* &quot;-&quot;??_-;_-@_-"/>
  </numFmts>
  <fonts count="3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1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0" fontId="1" fillId="0" borderId="1" xfId="2"/>
    <xf numFmtId="0" fontId="1" fillId="2" borderId="1" xfId="2" applyFill="1"/>
    <xf numFmtId="0" fontId="1" fillId="0" borderId="1" xfId="2" applyAlignment="1">
      <alignment horizontal="center"/>
    </xf>
    <xf numFmtId="166" fontId="1" fillId="0" borderId="1" xfId="2" applyNumberFormat="1" applyAlignment="1">
      <alignment horizontal="center"/>
    </xf>
    <xf numFmtId="167" fontId="1" fillId="0" borderId="1" xfId="2" applyNumberFormat="1" applyAlignment="1">
      <alignment horizontal="center"/>
    </xf>
    <xf numFmtId="168" fontId="1" fillId="0" borderId="1" xfId="2" applyNumberFormat="1" applyAlignment="1">
      <alignment horizontal="center"/>
    </xf>
    <xf numFmtId="164" fontId="1" fillId="0" borderId="1" xfId="2" applyNumberFormat="1" applyAlignment="1">
      <alignment horizontal="center"/>
    </xf>
    <xf numFmtId="164" fontId="0" fillId="0" borderId="0" xfId="0" applyNumberFormat="1" applyAlignment="1">
      <alignment horizontal="center"/>
    </xf>
    <xf numFmtId="169" fontId="1" fillId="0" borderId="1" xfId="2" applyNumberFormat="1" applyAlignment="1">
      <alignment horizontal="center"/>
    </xf>
    <xf numFmtId="167" fontId="1" fillId="2" borderId="1" xfId="2" applyNumberFormat="1" applyFill="1" applyAlignment="1">
      <alignment horizontal="center"/>
    </xf>
    <xf numFmtId="0" fontId="1" fillId="0" borderId="1" xfId="2" applyAlignment="1">
      <alignment horizontal="left"/>
    </xf>
    <xf numFmtId="166" fontId="1" fillId="2" borderId="1" xfId="2" applyNumberFormat="1" applyFill="1"/>
    <xf numFmtId="166" fontId="1" fillId="0" borderId="1" xfId="2" applyNumberFormat="1"/>
    <xf numFmtId="167" fontId="1" fillId="2" borderId="1" xfId="2" applyNumberFormat="1" applyFill="1"/>
    <xf numFmtId="167" fontId="1" fillId="0" borderId="1" xfId="2" applyNumberFormat="1"/>
    <xf numFmtId="165" fontId="1" fillId="0" borderId="1" xfId="1" applyNumberFormat="1" applyFont="1" applyBorder="1" applyAlignment="1">
      <alignment horizontal="center"/>
    </xf>
    <xf numFmtId="0" fontId="0" fillId="2" borderId="0" xfId="0" applyFill="1"/>
    <xf numFmtId="167" fontId="0" fillId="0" borderId="0" xfId="0" applyNumberFormat="1"/>
    <xf numFmtId="170" fontId="1" fillId="0" borderId="1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E1307BB6-9699-4A35-BDE8-E197C36440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9F7D-CC7B-4EC9-B0EF-65F21D289A65}">
  <dimension ref="A1:B75"/>
  <sheetViews>
    <sheetView tabSelected="1" topLeftCell="A50" workbookViewId="0">
      <selection activeCell="A69" sqref="A69"/>
    </sheetView>
  </sheetViews>
  <sheetFormatPr defaultRowHeight="14.4" x14ac:dyDescent="0.3"/>
  <cols>
    <col min="1" max="1" width="13.33203125" bestFit="1" customWidth="1"/>
    <col min="2" max="2" width="66.6640625" bestFit="1" customWidth="1"/>
  </cols>
  <sheetData>
    <row r="1" spans="1:2" x14ac:dyDescent="0.3">
      <c r="A1" t="s">
        <v>91</v>
      </c>
      <c r="B1" t="s">
        <v>92</v>
      </c>
    </row>
    <row r="2" spans="1:2" x14ac:dyDescent="0.3">
      <c r="A2" t="s">
        <v>1</v>
      </c>
      <c r="B2" t="s">
        <v>47</v>
      </c>
    </row>
    <row r="3" spans="1:2" x14ac:dyDescent="0.3">
      <c r="A3" t="s">
        <v>2</v>
      </c>
      <c r="B3" t="s">
        <v>48</v>
      </c>
    </row>
    <row r="4" spans="1:2" x14ac:dyDescent="0.3">
      <c r="A4" t="s">
        <v>3</v>
      </c>
      <c r="B4" t="s">
        <v>49</v>
      </c>
    </row>
    <row r="5" spans="1:2" x14ac:dyDescent="0.3">
      <c r="A5" t="s">
        <v>4</v>
      </c>
      <c r="B5" t="s">
        <v>50</v>
      </c>
    </row>
    <row r="6" spans="1:2" x14ac:dyDescent="0.3">
      <c r="A6" t="s">
        <v>5</v>
      </c>
      <c r="B6" t="s">
        <v>51</v>
      </c>
    </row>
    <row r="7" spans="1:2" x14ac:dyDescent="0.3">
      <c r="A7" t="s">
        <v>6</v>
      </c>
      <c r="B7" t="s">
        <v>52</v>
      </c>
    </row>
    <row r="8" spans="1:2" x14ac:dyDescent="0.3">
      <c r="A8" t="s">
        <v>7</v>
      </c>
      <c r="B8" t="s">
        <v>53</v>
      </c>
    </row>
    <row r="9" spans="1:2" x14ac:dyDescent="0.3">
      <c r="A9" t="s">
        <v>8</v>
      </c>
      <c r="B9" t="s">
        <v>54</v>
      </c>
    </row>
    <row r="10" spans="1:2" x14ac:dyDescent="0.3">
      <c r="A10" t="s">
        <v>9</v>
      </c>
      <c r="B10" t="s">
        <v>55</v>
      </c>
    </row>
    <row r="11" spans="1:2" x14ac:dyDescent="0.3">
      <c r="A11" t="s">
        <v>10</v>
      </c>
      <c r="B11" t="s">
        <v>56</v>
      </c>
    </row>
    <row r="12" spans="1:2" x14ac:dyDescent="0.3">
      <c r="A12" t="s">
        <v>11</v>
      </c>
      <c r="B12" t="s">
        <v>57</v>
      </c>
    </row>
    <row r="13" spans="1:2" x14ac:dyDescent="0.3">
      <c r="A13" t="s">
        <v>12</v>
      </c>
      <c r="B13" t="s">
        <v>58</v>
      </c>
    </row>
    <row r="14" spans="1:2" x14ac:dyDescent="0.3">
      <c r="A14" t="s">
        <v>13</v>
      </c>
      <c r="B14" t="s">
        <v>59</v>
      </c>
    </row>
    <row r="15" spans="1:2" x14ac:dyDescent="0.3">
      <c r="A15" t="s">
        <v>14</v>
      </c>
      <c r="B15" t="s">
        <v>60</v>
      </c>
    </row>
    <row r="16" spans="1:2" x14ac:dyDescent="0.3">
      <c r="A16" t="s">
        <v>15</v>
      </c>
      <c r="B16" t="s">
        <v>61</v>
      </c>
    </row>
    <row r="17" spans="1:2" x14ac:dyDescent="0.3">
      <c r="A17" t="s">
        <v>16</v>
      </c>
      <c r="B17" t="s">
        <v>62</v>
      </c>
    </row>
    <row r="18" spans="1:2" x14ac:dyDescent="0.3">
      <c r="A18" t="s">
        <v>17</v>
      </c>
      <c r="B18" t="s">
        <v>63</v>
      </c>
    </row>
    <row r="19" spans="1:2" x14ac:dyDescent="0.3">
      <c r="A19" t="s">
        <v>18</v>
      </c>
      <c r="B19" t="s">
        <v>62</v>
      </c>
    </row>
    <row r="20" spans="1:2" x14ac:dyDescent="0.3">
      <c r="A20" t="s">
        <v>19</v>
      </c>
      <c r="B20" t="s">
        <v>63</v>
      </c>
    </row>
    <row r="21" spans="1:2" x14ac:dyDescent="0.3">
      <c r="A21" t="s">
        <v>20</v>
      </c>
      <c r="B21" t="s">
        <v>64</v>
      </c>
    </row>
    <row r="22" spans="1:2" x14ac:dyDescent="0.3">
      <c r="A22" t="s">
        <v>21</v>
      </c>
      <c r="B22" t="s">
        <v>65</v>
      </c>
    </row>
    <row r="23" spans="1:2" x14ac:dyDescent="0.3">
      <c r="A23" t="s">
        <v>22</v>
      </c>
      <c r="B23" t="s">
        <v>66</v>
      </c>
    </row>
    <row r="24" spans="1:2" x14ac:dyDescent="0.3">
      <c r="A24" t="s">
        <v>23</v>
      </c>
      <c r="B24" t="s">
        <v>67</v>
      </c>
    </row>
    <row r="25" spans="1:2" x14ac:dyDescent="0.3">
      <c r="A25" t="s">
        <v>24</v>
      </c>
      <c r="B25" t="s">
        <v>68</v>
      </c>
    </row>
    <row r="26" spans="1:2" x14ac:dyDescent="0.3">
      <c r="A26" t="s">
        <v>25</v>
      </c>
      <c r="B26" t="s">
        <v>69</v>
      </c>
    </row>
    <row r="27" spans="1:2" x14ac:dyDescent="0.3">
      <c r="A27" t="s">
        <v>26</v>
      </c>
      <c r="B27" t="s">
        <v>70</v>
      </c>
    </row>
    <row r="28" spans="1:2" x14ac:dyDescent="0.3">
      <c r="A28" t="s">
        <v>27</v>
      </c>
      <c r="B28" t="s">
        <v>71</v>
      </c>
    </row>
    <row r="29" spans="1:2" x14ac:dyDescent="0.3">
      <c r="A29" t="s">
        <v>28</v>
      </c>
      <c r="B29" t="s">
        <v>72</v>
      </c>
    </row>
    <row r="30" spans="1:2" x14ac:dyDescent="0.3">
      <c r="A30" t="s">
        <v>29</v>
      </c>
      <c r="B30" t="s">
        <v>73</v>
      </c>
    </row>
    <row r="31" spans="1:2" x14ac:dyDescent="0.3">
      <c r="A31" t="s">
        <v>30</v>
      </c>
      <c r="B31" t="s">
        <v>74</v>
      </c>
    </row>
    <row r="32" spans="1:2" x14ac:dyDescent="0.3">
      <c r="A32" t="s">
        <v>31</v>
      </c>
      <c r="B32" t="s">
        <v>75</v>
      </c>
    </row>
    <row r="33" spans="1:2" x14ac:dyDescent="0.3">
      <c r="A33" t="s">
        <v>32</v>
      </c>
      <c r="B33" t="s">
        <v>76</v>
      </c>
    </row>
    <row r="34" spans="1:2" x14ac:dyDescent="0.3">
      <c r="A34" t="s">
        <v>33</v>
      </c>
      <c r="B34" t="s">
        <v>77</v>
      </c>
    </row>
    <row r="35" spans="1:2" x14ac:dyDescent="0.3">
      <c r="A35" t="s">
        <v>34</v>
      </c>
      <c r="B35" t="s">
        <v>78</v>
      </c>
    </row>
    <row r="36" spans="1:2" x14ac:dyDescent="0.3">
      <c r="A36" t="s">
        <v>35</v>
      </c>
      <c r="B36" t="s">
        <v>79</v>
      </c>
    </row>
    <row r="37" spans="1:2" x14ac:dyDescent="0.3">
      <c r="A37" t="s">
        <v>36</v>
      </c>
      <c r="B37" t="s">
        <v>80</v>
      </c>
    </row>
    <row r="38" spans="1:2" x14ac:dyDescent="0.3">
      <c r="A38" t="s">
        <v>37</v>
      </c>
      <c r="B38" t="s">
        <v>81</v>
      </c>
    </row>
    <row r="39" spans="1:2" x14ac:dyDescent="0.3">
      <c r="A39" t="s">
        <v>38</v>
      </c>
      <c r="B39" t="s">
        <v>82</v>
      </c>
    </row>
    <row r="40" spans="1:2" x14ac:dyDescent="0.3">
      <c r="A40" t="s">
        <v>39</v>
      </c>
      <c r="B40" t="s">
        <v>83</v>
      </c>
    </row>
    <row r="41" spans="1:2" x14ac:dyDescent="0.3">
      <c r="A41" t="s">
        <v>40</v>
      </c>
      <c r="B41" t="s">
        <v>84</v>
      </c>
    </row>
    <row r="42" spans="1:2" x14ac:dyDescent="0.3">
      <c r="A42" t="s">
        <v>41</v>
      </c>
      <c r="B42" t="s">
        <v>85</v>
      </c>
    </row>
    <row r="43" spans="1:2" x14ac:dyDescent="0.3">
      <c r="A43" t="s">
        <v>42</v>
      </c>
      <c r="B43" t="s">
        <v>86</v>
      </c>
    </row>
    <row r="44" spans="1:2" x14ac:dyDescent="0.3">
      <c r="A44" t="s">
        <v>43</v>
      </c>
      <c r="B44" t="s">
        <v>87</v>
      </c>
    </row>
    <row r="45" spans="1:2" x14ac:dyDescent="0.3">
      <c r="A45" t="s">
        <v>44</v>
      </c>
      <c r="B45" t="s">
        <v>88</v>
      </c>
    </row>
    <row r="46" spans="1:2" x14ac:dyDescent="0.3">
      <c r="A46" t="s">
        <v>45</v>
      </c>
      <c r="B46" t="s">
        <v>89</v>
      </c>
    </row>
    <row r="47" spans="1:2" x14ac:dyDescent="0.3">
      <c r="A47" t="s">
        <v>46</v>
      </c>
      <c r="B47" t="s">
        <v>90</v>
      </c>
    </row>
    <row r="48" spans="1:2" x14ac:dyDescent="0.3">
      <c r="A48" s="22" t="s">
        <v>190</v>
      </c>
      <c r="B48" s="22"/>
    </row>
    <row r="49" spans="1:2" x14ac:dyDescent="0.3">
      <c r="A49" t="s">
        <v>140</v>
      </c>
      <c r="B49" t="s">
        <v>162</v>
      </c>
    </row>
    <row r="50" spans="1:2" x14ac:dyDescent="0.3">
      <c r="A50" t="s">
        <v>160</v>
      </c>
      <c r="B50" t="s">
        <v>163</v>
      </c>
    </row>
    <row r="51" spans="1:2" x14ac:dyDescent="0.3">
      <c r="A51" t="s">
        <v>161</v>
      </c>
      <c r="B51" t="s">
        <v>164</v>
      </c>
    </row>
    <row r="52" spans="1:2" x14ac:dyDescent="0.3">
      <c r="A52" t="s">
        <v>143</v>
      </c>
      <c r="B52" t="s">
        <v>165</v>
      </c>
    </row>
    <row r="53" spans="1:2" x14ac:dyDescent="0.3">
      <c r="A53" t="s">
        <v>144</v>
      </c>
      <c r="B53" t="s">
        <v>166</v>
      </c>
    </row>
    <row r="54" spans="1:2" x14ac:dyDescent="0.3">
      <c r="A54" t="s">
        <v>145</v>
      </c>
      <c r="B54" t="s">
        <v>167</v>
      </c>
    </row>
    <row r="55" spans="1:2" x14ac:dyDescent="0.3">
      <c r="A55" t="s">
        <v>146</v>
      </c>
      <c r="B55" t="s">
        <v>168</v>
      </c>
    </row>
    <row r="56" spans="1:2" x14ac:dyDescent="0.3">
      <c r="A56" t="s">
        <v>147</v>
      </c>
      <c r="B56" t="s">
        <v>169</v>
      </c>
    </row>
    <row r="58" spans="1:2" x14ac:dyDescent="0.3">
      <c r="A58" t="s">
        <v>148</v>
      </c>
      <c r="B58" t="s">
        <v>170</v>
      </c>
    </row>
    <row r="59" spans="1:2" x14ac:dyDescent="0.3">
      <c r="A59" t="s">
        <v>150</v>
      </c>
      <c r="B59" t="s">
        <v>171</v>
      </c>
    </row>
    <row r="60" spans="1:2" x14ac:dyDescent="0.3">
      <c r="A60" t="s">
        <v>149</v>
      </c>
      <c r="B60" t="s">
        <v>172</v>
      </c>
    </row>
    <row r="61" spans="1:2" x14ac:dyDescent="0.3">
      <c r="A61" t="s">
        <v>151</v>
      </c>
      <c r="B61" t="s">
        <v>173</v>
      </c>
    </row>
    <row r="63" spans="1:2" x14ac:dyDescent="0.3">
      <c r="A63" t="s">
        <v>109</v>
      </c>
      <c r="B63" t="s">
        <v>174</v>
      </c>
    </row>
    <row r="64" spans="1:2" x14ac:dyDescent="0.3">
      <c r="A64" t="s">
        <v>157</v>
      </c>
      <c r="B64" t="s">
        <v>175</v>
      </c>
    </row>
    <row r="65" spans="1:2" x14ac:dyDescent="0.3">
      <c r="A65" t="s">
        <v>107</v>
      </c>
      <c r="B65" t="s">
        <v>176</v>
      </c>
    </row>
    <row r="67" spans="1:2" x14ac:dyDescent="0.3">
      <c r="A67" t="s">
        <v>177</v>
      </c>
      <c r="B67" t="s">
        <v>178</v>
      </c>
    </row>
    <row r="68" spans="1:2" x14ac:dyDescent="0.3">
      <c r="A68" t="s">
        <v>179</v>
      </c>
      <c r="B68" t="s">
        <v>180</v>
      </c>
    </row>
    <row r="69" spans="1:2" x14ac:dyDescent="0.3">
      <c r="A69" t="s">
        <v>181</v>
      </c>
      <c r="B69" t="s">
        <v>182</v>
      </c>
    </row>
    <row r="71" spans="1:2" x14ac:dyDescent="0.3">
      <c r="A71" t="s">
        <v>183</v>
      </c>
      <c r="B71" t="s">
        <v>184</v>
      </c>
    </row>
    <row r="73" spans="1:2" x14ac:dyDescent="0.3">
      <c r="A73" t="s">
        <v>152</v>
      </c>
      <c r="B73" t="s">
        <v>185</v>
      </c>
    </row>
    <row r="74" spans="1:2" x14ac:dyDescent="0.3">
      <c r="A74" t="s">
        <v>108</v>
      </c>
      <c r="B74" t="s">
        <v>186</v>
      </c>
    </row>
    <row r="75" spans="1:2" x14ac:dyDescent="0.3">
      <c r="A75" t="s">
        <v>153</v>
      </c>
      <c r="B75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75"/>
  <sheetViews>
    <sheetView workbookViewId="0">
      <pane xSplit="10" ySplit="14" topLeftCell="CR64" activePane="bottomRight" state="frozen"/>
      <selection pane="topRight" activeCell="K1" sqref="K1"/>
      <selection pane="bottomLeft" activeCell="A15" sqref="A15"/>
      <selection pane="bottomRight" activeCell="CV2" sqref="CV2:CY72"/>
    </sheetView>
  </sheetViews>
  <sheetFormatPr defaultRowHeight="14.4" x14ac:dyDescent="0.3"/>
  <cols>
    <col min="1" max="1" width="8.88671875" style="4"/>
    <col min="2" max="2" width="10.33203125" bestFit="1" customWidth="1"/>
    <col min="3" max="3" width="12.77734375" bestFit="1" customWidth="1"/>
    <col min="4" max="5" width="7.5546875" bestFit="1" customWidth="1"/>
    <col min="6" max="6" width="12.77734375" bestFit="1" customWidth="1"/>
    <col min="7" max="8" width="11.77734375" bestFit="1" customWidth="1"/>
    <col min="9" max="10" width="10.33203125" bestFit="1" customWidth="1"/>
    <col min="11" max="11" width="12.77734375" bestFit="1" customWidth="1"/>
    <col min="12" max="12" width="11.77734375" bestFit="1" customWidth="1"/>
    <col min="13" max="13" width="12.77734375" bestFit="1" customWidth="1"/>
    <col min="14" max="14" width="9.5546875" bestFit="1" customWidth="1"/>
    <col min="15" max="15" width="11.33203125" bestFit="1" customWidth="1"/>
    <col min="16" max="16" width="10.33203125" bestFit="1" customWidth="1"/>
    <col min="17" max="19" width="11.77734375" bestFit="1" customWidth="1"/>
    <col min="20" max="21" width="12.77734375" bestFit="1" customWidth="1"/>
    <col min="22" max="23" width="11.77734375" bestFit="1" customWidth="1"/>
    <col min="24" max="24" width="13.6640625" bestFit="1" customWidth="1"/>
    <col min="25" max="25" width="10.44140625" bestFit="1" customWidth="1"/>
    <col min="26" max="26" width="12.21875" bestFit="1" customWidth="1"/>
    <col min="27" max="27" width="11.21875" bestFit="1" customWidth="1"/>
    <col min="28" max="28" width="11.44140625" bestFit="1" customWidth="1"/>
    <col min="29" max="29" width="13.33203125" bestFit="1" customWidth="1"/>
    <col min="30" max="30" width="12.21875" bestFit="1" customWidth="1"/>
    <col min="31" max="31" width="11.33203125" bestFit="1" customWidth="1"/>
    <col min="32" max="32" width="13.21875" bestFit="1" customWidth="1"/>
    <col min="33" max="34" width="12.109375" bestFit="1" customWidth="1"/>
    <col min="35" max="35" width="11.109375" bestFit="1" customWidth="1"/>
    <col min="36" max="36" width="12.77734375" bestFit="1" customWidth="1"/>
    <col min="37" max="37" width="11.77734375" bestFit="1" customWidth="1"/>
    <col min="38" max="38" width="12.77734375" bestFit="1" customWidth="1"/>
    <col min="39" max="39" width="9.33203125" bestFit="1" customWidth="1"/>
    <col min="40" max="40" width="8.44140625" bestFit="1" customWidth="1"/>
    <col min="41" max="41" width="11.109375" bestFit="1" customWidth="1"/>
    <col min="42" max="42" width="10.21875" bestFit="1" customWidth="1"/>
    <col min="43" max="43" width="10.109375" bestFit="1" customWidth="1"/>
    <col min="44" max="44" width="9.21875" bestFit="1" customWidth="1"/>
    <col min="45" max="45" width="11.77734375" bestFit="1" customWidth="1"/>
    <col min="46" max="46" width="9.21875" bestFit="1" customWidth="1"/>
    <col min="47" max="47" width="8.33203125" bestFit="1" customWidth="1"/>
    <col min="48" max="48" width="21.77734375" bestFit="1" customWidth="1"/>
    <col min="89" max="89" width="13.44140625" bestFit="1" customWidth="1"/>
    <col min="90" max="90" width="6.109375" bestFit="1" customWidth="1"/>
    <col min="91" max="91" width="11.88671875" bestFit="1" customWidth="1"/>
    <col min="92" max="92" width="13.77734375" bestFit="1" customWidth="1"/>
    <col min="93" max="93" width="12.6640625" bestFit="1" customWidth="1"/>
    <col min="94" max="94" width="13.5546875" bestFit="1" customWidth="1"/>
    <col min="95" max="95" width="15.33203125" bestFit="1" customWidth="1"/>
    <col min="96" max="96" width="14.33203125" bestFit="1" customWidth="1"/>
    <col min="97" max="97" width="12" bestFit="1" customWidth="1"/>
    <col min="98" max="98" width="13.88671875" bestFit="1" customWidth="1"/>
    <col min="99" max="99" width="12.77734375" bestFit="1" customWidth="1"/>
  </cols>
  <sheetData>
    <row r="1" spans="1:103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2" t="s">
        <v>159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149</v>
      </c>
      <c r="CK1" t="s">
        <v>150</v>
      </c>
      <c r="CL1" t="s">
        <v>151</v>
      </c>
      <c r="CM1" t="s">
        <v>152</v>
      </c>
      <c r="CN1" t="s">
        <v>108</v>
      </c>
      <c r="CO1" t="s">
        <v>153</v>
      </c>
      <c r="CP1" t="s">
        <v>154</v>
      </c>
      <c r="CQ1" t="s">
        <v>155</v>
      </c>
      <c r="CR1" t="s">
        <v>156</v>
      </c>
      <c r="CS1" t="s">
        <v>109</v>
      </c>
      <c r="CT1" t="s">
        <v>157</v>
      </c>
      <c r="CU1" t="s">
        <v>107</v>
      </c>
      <c r="CV1" t="s">
        <v>177</v>
      </c>
      <c r="CW1" t="s">
        <v>179</v>
      </c>
      <c r="CX1" t="s">
        <v>183</v>
      </c>
      <c r="CY1" t="s">
        <v>181</v>
      </c>
    </row>
    <row r="2" spans="1:103" x14ac:dyDescent="0.3">
      <c r="A2" s="5">
        <v>1947</v>
      </c>
      <c r="B2" s="3">
        <v>144126</v>
      </c>
      <c r="C2" s="3">
        <v>249616</v>
      </c>
      <c r="D2" s="2">
        <v>1</v>
      </c>
      <c r="E2" s="2">
        <v>1</v>
      </c>
      <c r="F2" s="3">
        <v>161852</v>
      </c>
      <c r="G2" s="3">
        <v>37131</v>
      </c>
      <c r="H2" s="3">
        <v>34141</v>
      </c>
      <c r="I2" s="3">
        <v>5686</v>
      </c>
      <c r="J2" s="3">
        <v>10807</v>
      </c>
      <c r="K2" s="3">
        <v>244136</v>
      </c>
      <c r="L2" s="3">
        <v>101174.5</v>
      </c>
      <c r="M2" s="3">
        <v>142961.5</v>
      </c>
      <c r="N2" s="2">
        <v>1</v>
      </c>
      <c r="O2" s="2">
        <v>1</v>
      </c>
      <c r="P2" s="2">
        <v>1</v>
      </c>
      <c r="Q2" s="3">
        <v>27728</v>
      </c>
      <c r="R2" s="3">
        <v>71830</v>
      </c>
      <c r="S2" s="3">
        <v>15639</v>
      </c>
      <c r="T2" s="3">
        <v>128939</v>
      </c>
      <c r="U2" s="3">
        <v>128228.3</v>
      </c>
      <c r="V2" s="3">
        <v>62056.7</v>
      </c>
      <c r="W2" s="3">
        <v>66171.600000000006</v>
      </c>
      <c r="X2" s="2"/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/>
      <c r="AI2" s="2"/>
      <c r="AJ2" s="3">
        <v>200769</v>
      </c>
      <c r="AK2" s="3">
        <v>106106</v>
      </c>
      <c r="AL2" s="3">
        <v>94663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3">
        <v>43367</v>
      </c>
      <c r="AT2" s="2">
        <v>1</v>
      </c>
      <c r="AU2" s="2">
        <v>1</v>
      </c>
      <c r="AV2" s="22" t="s">
        <v>188</v>
      </c>
      <c r="AW2" s="23">
        <v>0.63938019999999995</v>
      </c>
      <c r="AX2" s="23">
        <v>0.36061979999999999</v>
      </c>
      <c r="AY2" s="23">
        <v>0.35777429999999999</v>
      </c>
      <c r="AZ2" s="23">
        <v>0.64222570000000001</v>
      </c>
      <c r="BA2" s="23">
        <v>1.3930100000000001</v>
      </c>
      <c r="BB2" s="23">
        <v>0.64724230000000005</v>
      </c>
      <c r="BC2" s="23">
        <v>0.35275770000000001</v>
      </c>
      <c r="BD2" s="23">
        <v>0.64724230000000005</v>
      </c>
      <c r="BE2" s="23">
        <v>0</v>
      </c>
      <c r="BF2" s="23">
        <v>1</v>
      </c>
      <c r="BG2" s="23">
        <v>1</v>
      </c>
      <c r="BH2" s="23">
        <v>1</v>
      </c>
      <c r="BI2" s="23">
        <v>0.83056479999999999</v>
      </c>
      <c r="BJ2" s="23">
        <v>0.29117480000000001</v>
      </c>
      <c r="BK2" s="23">
        <v>0.70882520000000004</v>
      </c>
      <c r="BL2" s="23">
        <v>0.29117480000000001</v>
      </c>
      <c r="BM2" s="23">
        <v>3.9300000000000004E-15</v>
      </c>
      <c r="BN2" s="23">
        <v>1</v>
      </c>
      <c r="BO2" s="23">
        <v>1</v>
      </c>
      <c r="BP2" s="23">
        <v>1</v>
      </c>
      <c r="BQ2" s="23">
        <v>0.44890160000000001</v>
      </c>
      <c r="BR2" s="23">
        <v>0.36862200000000001</v>
      </c>
      <c r="BS2" s="23">
        <v>0.63137790000000005</v>
      </c>
      <c r="BT2" s="23">
        <v>0.55497370000000001</v>
      </c>
      <c r="BU2" s="23">
        <v>0.69686530000000002</v>
      </c>
      <c r="BV2" s="23">
        <v>0.44306980000000001</v>
      </c>
      <c r="BW2" s="23">
        <v>1</v>
      </c>
      <c r="BX2" s="23">
        <v>1</v>
      </c>
      <c r="BY2" s="23">
        <v>1</v>
      </c>
      <c r="BZ2" s="23">
        <v>0</v>
      </c>
      <c r="CA2" s="23" t="s">
        <v>158</v>
      </c>
      <c r="CB2" s="23" t="s">
        <v>158</v>
      </c>
      <c r="CC2" s="23" t="s">
        <v>158</v>
      </c>
      <c r="CD2" s="23" t="s">
        <v>158</v>
      </c>
      <c r="CE2" s="23">
        <v>1</v>
      </c>
      <c r="CF2" s="23">
        <v>1</v>
      </c>
      <c r="CG2" s="23">
        <v>1</v>
      </c>
      <c r="CH2" s="23">
        <v>1</v>
      </c>
      <c r="CI2" s="23">
        <v>1</v>
      </c>
      <c r="CJ2" s="23">
        <v>1</v>
      </c>
      <c r="CK2" s="23">
        <v>1</v>
      </c>
      <c r="CL2" s="23">
        <v>1</v>
      </c>
      <c r="CM2" s="23">
        <v>0.56350199999999995</v>
      </c>
      <c r="CN2" s="23">
        <v>0.60514999999999997</v>
      </c>
      <c r="CO2" s="23">
        <v>0.53786230000000002</v>
      </c>
      <c r="CP2" s="23" t="s">
        <v>158</v>
      </c>
      <c r="CQ2" s="23" t="s">
        <v>158</v>
      </c>
      <c r="CR2" s="23" t="s">
        <v>158</v>
      </c>
      <c r="CS2" s="23">
        <v>1</v>
      </c>
      <c r="CT2" s="23">
        <v>1</v>
      </c>
      <c r="CU2" s="23">
        <v>1</v>
      </c>
      <c r="CV2" s="23">
        <v>1</v>
      </c>
      <c r="CW2" s="23">
        <v>1</v>
      </c>
      <c r="CX2" s="23">
        <v>1</v>
      </c>
      <c r="CY2" s="23">
        <v>1</v>
      </c>
    </row>
    <row r="3" spans="1:103" x14ac:dyDescent="0.3">
      <c r="A3" s="5">
        <v>1948</v>
      </c>
      <c r="B3" s="3">
        <v>146631</v>
      </c>
      <c r="C3" s="3">
        <v>274468</v>
      </c>
      <c r="D3" s="2">
        <v>1.0411900000000001</v>
      </c>
      <c r="E3" s="2">
        <v>1.05606</v>
      </c>
      <c r="F3" s="3">
        <v>174878</v>
      </c>
      <c r="G3" s="3">
        <v>50347</v>
      </c>
      <c r="H3" s="3">
        <v>35274</v>
      </c>
      <c r="I3" s="3">
        <v>8482</v>
      </c>
      <c r="J3" s="3">
        <v>5487</v>
      </c>
      <c r="K3" s="3">
        <v>268064.5</v>
      </c>
      <c r="L3" s="3">
        <v>116470.8</v>
      </c>
      <c r="M3" s="3">
        <v>151593.70000000001</v>
      </c>
      <c r="N3" s="2">
        <v>1.0551699999999999</v>
      </c>
      <c r="O3" s="2">
        <v>1.0567</v>
      </c>
      <c r="P3" s="2">
        <v>1.0540499999999999</v>
      </c>
      <c r="Q3" s="3">
        <v>34947</v>
      </c>
      <c r="R3" s="3">
        <v>79488</v>
      </c>
      <c r="S3" s="3">
        <v>18223</v>
      </c>
      <c r="T3" s="3">
        <v>135406.5</v>
      </c>
      <c r="U3" s="3">
        <v>141262.29999999999</v>
      </c>
      <c r="V3" s="3">
        <v>70286.899999999994</v>
      </c>
      <c r="W3" s="3">
        <v>70975.399999999994</v>
      </c>
      <c r="X3" s="2">
        <v>0.52610000000000001</v>
      </c>
      <c r="Y3" s="2">
        <v>1.0406</v>
      </c>
      <c r="Z3" s="2">
        <v>1.0894200000000001</v>
      </c>
      <c r="AA3" s="2">
        <v>1.0060100000000001</v>
      </c>
      <c r="AB3" s="2">
        <v>1.03556</v>
      </c>
      <c r="AC3" s="2">
        <v>1.06134</v>
      </c>
      <c r="AD3" s="2">
        <v>1.0219</v>
      </c>
      <c r="AE3" s="2">
        <v>1.0244200000000001</v>
      </c>
      <c r="AF3" s="2">
        <v>1.01999</v>
      </c>
      <c r="AG3" s="2">
        <v>1.0287200000000001</v>
      </c>
      <c r="AH3" s="2">
        <v>0.60841999999999996</v>
      </c>
      <c r="AI3" s="2">
        <v>0.46553</v>
      </c>
      <c r="AJ3" s="3">
        <v>214894.5</v>
      </c>
      <c r="AK3" s="3">
        <v>115350</v>
      </c>
      <c r="AL3" s="3">
        <v>99544.5</v>
      </c>
      <c r="AM3" s="2">
        <v>1.0218499999999999</v>
      </c>
      <c r="AN3" s="2">
        <v>1.05003</v>
      </c>
      <c r="AO3" s="2">
        <v>0.97697999999999996</v>
      </c>
      <c r="AP3" s="2">
        <v>1.11544</v>
      </c>
      <c r="AQ3" s="2">
        <v>1.00919</v>
      </c>
      <c r="AR3" s="2">
        <v>1.04454</v>
      </c>
      <c r="AS3" s="3">
        <v>53170</v>
      </c>
      <c r="AT3" s="2">
        <v>1.1317699999999999</v>
      </c>
      <c r="AU3" s="2">
        <v>1.0832999999999999</v>
      </c>
      <c r="AV3" s="22" t="s">
        <v>189</v>
      </c>
      <c r="AW3" s="23">
        <v>0.65726910000000005</v>
      </c>
      <c r="AX3" s="23">
        <v>0.3427308</v>
      </c>
      <c r="AY3" s="23">
        <v>0.36989319999999998</v>
      </c>
      <c r="AZ3" s="23">
        <v>0.63010679999999997</v>
      </c>
      <c r="BA3" s="23">
        <v>1.465546</v>
      </c>
      <c r="BB3" s="23">
        <v>0.64781520000000004</v>
      </c>
      <c r="BC3" s="23">
        <v>0.35218480000000002</v>
      </c>
      <c r="BD3" s="23">
        <v>0.64724230000000005</v>
      </c>
      <c r="BE3" s="23">
        <v>0</v>
      </c>
      <c r="BF3" s="23">
        <v>1.0138210000000001</v>
      </c>
      <c r="BG3" s="23">
        <v>1.0138210000000001</v>
      </c>
      <c r="BH3" s="23">
        <v>1</v>
      </c>
      <c r="BI3" s="23">
        <v>0.83056479999999999</v>
      </c>
      <c r="BJ3" s="23">
        <v>0.29169309999999998</v>
      </c>
      <c r="BK3" s="23">
        <v>0.70830689999999996</v>
      </c>
      <c r="BL3" s="23">
        <v>0.29117480000000001</v>
      </c>
      <c r="BM3" s="23">
        <v>3.9300000000000004E-15</v>
      </c>
      <c r="BN3" s="23">
        <v>1.0147269999999999</v>
      </c>
      <c r="BO3" s="23">
        <v>1.0147269999999999</v>
      </c>
      <c r="BP3" s="23">
        <v>1</v>
      </c>
      <c r="BQ3" s="23">
        <v>0.44890160000000001</v>
      </c>
      <c r="BR3" s="23">
        <v>0.3696528</v>
      </c>
      <c r="BS3" s="23">
        <v>0.6303472</v>
      </c>
      <c r="BT3" s="23">
        <v>0.55497370000000001</v>
      </c>
      <c r="BU3" s="23">
        <v>0.69686530000000002</v>
      </c>
      <c r="BV3" s="23">
        <v>0.44306980000000001</v>
      </c>
      <c r="BW3" s="23">
        <v>1.015757</v>
      </c>
      <c r="BX3" s="23">
        <v>1.0138119999999999</v>
      </c>
      <c r="BY3" s="23">
        <v>0.99808549999999996</v>
      </c>
      <c r="BZ3" s="23">
        <v>0</v>
      </c>
      <c r="CA3" s="23">
        <v>0.64832469999999998</v>
      </c>
      <c r="CB3" s="23">
        <v>0.35167530000000002</v>
      </c>
      <c r="CC3" s="23">
        <v>0.36383379999999998</v>
      </c>
      <c r="CD3" s="23">
        <v>0.63616620000000002</v>
      </c>
      <c r="CE3" s="23">
        <v>1.192723</v>
      </c>
      <c r="CF3" s="23">
        <v>1.1054759999999999</v>
      </c>
      <c r="CG3" s="23">
        <v>1.0472349999999999</v>
      </c>
      <c r="CH3" s="23">
        <v>0.99630779999999997</v>
      </c>
      <c r="CI3" s="23">
        <v>0.99749319999999997</v>
      </c>
      <c r="CJ3" s="23">
        <v>0.97300050000000005</v>
      </c>
      <c r="CK3" s="23">
        <v>0.97544569999999997</v>
      </c>
      <c r="CL3" s="23">
        <v>0.96928539999999996</v>
      </c>
      <c r="CM3" s="23">
        <v>0.56350199999999995</v>
      </c>
      <c r="CN3" s="23">
        <v>0.60514999999999997</v>
      </c>
      <c r="CO3" s="23">
        <v>0.53786230000000002</v>
      </c>
      <c r="CP3" s="23">
        <v>1.09456E-2</v>
      </c>
      <c r="CQ3" s="23">
        <v>4.8508200000000001E-2</v>
      </c>
      <c r="CR3" s="23">
        <v>-1.9423599999999999E-2</v>
      </c>
      <c r="CS3" s="23">
        <v>1.0110060000000001</v>
      </c>
      <c r="CT3" s="23">
        <v>1.049704</v>
      </c>
      <c r="CU3" s="23">
        <v>0.98076390000000002</v>
      </c>
      <c r="CV3" s="23">
        <v>0.97458769999999995</v>
      </c>
      <c r="CW3" s="23">
        <v>0.99827520000000003</v>
      </c>
      <c r="CX3" s="23">
        <v>0.99988480000000002</v>
      </c>
      <c r="CY3" s="23">
        <v>0.98475590000000002</v>
      </c>
    </row>
    <row r="4" spans="1:103" x14ac:dyDescent="0.3">
      <c r="A4" s="5">
        <v>1949</v>
      </c>
      <c r="B4" s="3">
        <v>149188</v>
      </c>
      <c r="C4" s="3">
        <v>272475</v>
      </c>
      <c r="D4" s="2">
        <v>1.03528</v>
      </c>
      <c r="E4" s="2">
        <v>1.05437</v>
      </c>
      <c r="F4" s="3">
        <v>178333</v>
      </c>
      <c r="G4" s="3">
        <v>39099</v>
      </c>
      <c r="H4" s="3">
        <v>38493</v>
      </c>
      <c r="I4" s="3">
        <v>11315</v>
      </c>
      <c r="J4" s="3">
        <v>5235</v>
      </c>
      <c r="K4" s="3">
        <v>266020.90000000002</v>
      </c>
      <c r="L4" s="3">
        <v>109193.9</v>
      </c>
      <c r="M4" s="3">
        <v>156827</v>
      </c>
      <c r="N4" s="2">
        <v>1.0538400000000001</v>
      </c>
      <c r="O4" s="2">
        <v>1.01902</v>
      </c>
      <c r="P4" s="2">
        <v>1.08005</v>
      </c>
      <c r="Q4" s="3">
        <v>34250</v>
      </c>
      <c r="R4" s="3">
        <v>73387</v>
      </c>
      <c r="S4" s="3">
        <v>18856</v>
      </c>
      <c r="T4" s="3">
        <v>139527.9</v>
      </c>
      <c r="U4" s="3">
        <v>144455.79999999999</v>
      </c>
      <c r="V4" s="3">
        <v>68189.2</v>
      </c>
      <c r="W4" s="3">
        <v>76266.5</v>
      </c>
      <c r="X4" s="2">
        <v>0.53500000000000003</v>
      </c>
      <c r="Y4" s="2">
        <v>1.0339700000000001</v>
      </c>
      <c r="Z4" s="2">
        <v>1.0591200000000001</v>
      </c>
      <c r="AA4" s="2">
        <v>1.0156799999999999</v>
      </c>
      <c r="AB4" s="2">
        <v>1.0618300000000001</v>
      </c>
      <c r="AC4" s="2">
        <v>1.08348</v>
      </c>
      <c r="AD4" s="2">
        <v>1.0503100000000001</v>
      </c>
      <c r="AE4" s="2">
        <v>0.98833000000000004</v>
      </c>
      <c r="AF4" s="2">
        <v>0.95074999999999998</v>
      </c>
      <c r="AG4" s="2">
        <v>1.02515</v>
      </c>
      <c r="AH4" s="2">
        <v>0.61397999999999997</v>
      </c>
      <c r="AI4" s="2">
        <v>0.47725000000000001</v>
      </c>
      <c r="AJ4" s="3">
        <v>212914.9</v>
      </c>
      <c r="AK4" s="3">
        <v>107470</v>
      </c>
      <c r="AL4" s="3">
        <v>105444.9</v>
      </c>
      <c r="AM4" s="2">
        <v>1.01867</v>
      </c>
      <c r="AN4" s="2">
        <v>1.0441199999999999</v>
      </c>
      <c r="AO4" s="2">
        <v>1.0067999999999999</v>
      </c>
      <c r="AP4" s="2">
        <v>1.0089699999999999</v>
      </c>
      <c r="AQ4" s="2">
        <v>1.0438099999999999</v>
      </c>
      <c r="AR4" s="2">
        <v>1.0702700000000001</v>
      </c>
      <c r="AS4" s="3">
        <v>53106</v>
      </c>
      <c r="AT4" s="2">
        <v>1.11341</v>
      </c>
      <c r="AU4" s="2">
        <v>1.0998399999999999</v>
      </c>
      <c r="AV4" s="22"/>
      <c r="AW4" s="23">
        <v>0.64493659999999997</v>
      </c>
      <c r="AX4" s="23">
        <v>0.35506349999999998</v>
      </c>
      <c r="AY4" s="23">
        <v>0.34467769999999998</v>
      </c>
      <c r="AZ4" s="23">
        <v>0.65532239999999997</v>
      </c>
      <c r="BA4" s="23">
        <v>1.4271579999999999</v>
      </c>
      <c r="BB4" s="23">
        <v>0.63385060000000004</v>
      </c>
      <c r="BC4" s="23">
        <v>0.36614940000000001</v>
      </c>
      <c r="BD4" s="23">
        <v>0.64724230000000005</v>
      </c>
      <c r="BE4" s="23">
        <v>0</v>
      </c>
      <c r="BF4" s="23">
        <v>1.0191699999999999</v>
      </c>
      <c r="BG4" s="23">
        <v>1.0191699999999999</v>
      </c>
      <c r="BH4" s="23">
        <v>1</v>
      </c>
      <c r="BI4" s="23">
        <v>0.83056479999999999</v>
      </c>
      <c r="BJ4" s="23">
        <v>0.27931689999999998</v>
      </c>
      <c r="BK4" s="23">
        <v>0.72068310000000002</v>
      </c>
      <c r="BL4" s="23">
        <v>0.29117480000000001</v>
      </c>
      <c r="BM4" s="23">
        <v>3.9300000000000004E-15</v>
      </c>
      <c r="BN4" s="23">
        <v>0.99832100000000001</v>
      </c>
      <c r="BO4" s="23">
        <v>0.99832109999999996</v>
      </c>
      <c r="BP4" s="23">
        <v>1</v>
      </c>
      <c r="BQ4" s="23">
        <v>0.44890160000000001</v>
      </c>
      <c r="BR4" s="23">
        <v>0.36450280000000002</v>
      </c>
      <c r="BS4" s="23">
        <v>0.63549719999999998</v>
      </c>
      <c r="BT4" s="23">
        <v>0.55497370000000001</v>
      </c>
      <c r="BU4" s="23">
        <v>0.69686530000000002</v>
      </c>
      <c r="BV4" s="23">
        <v>0.44306980000000001</v>
      </c>
      <c r="BW4" s="23">
        <v>1.0290729999999999</v>
      </c>
      <c r="BX4" s="23">
        <v>0.98830110000000004</v>
      </c>
      <c r="BY4" s="23">
        <v>0.96037969999999995</v>
      </c>
      <c r="BZ4" s="23">
        <v>0</v>
      </c>
      <c r="CA4" s="23">
        <v>0.65110279999999998</v>
      </c>
      <c r="CB4" s="23">
        <v>0.34889720000000002</v>
      </c>
      <c r="CC4" s="23">
        <v>0.35728539999999998</v>
      </c>
      <c r="CD4" s="23">
        <v>0.64271460000000002</v>
      </c>
      <c r="CE4" s="23">
        <v>1.212159</v>
      </c>
      <c r="CF4" s="23">
        <v>1.1163400000000001</v>
      </c>
      <c r="CG4" s="23">
        <v>1.002607</v>
      </c>
      <c r="CH4" s="23">
        <v>1.0019180000000001</v>
      </c>
      <c r="CI4" s="23">
        <v>1.0598920000000001</v>
      </c>
      <c r="CJ4" s="23">
        <v>0.98201170000000004</v>
      </c>
      <c r="CK4" s="23">
        <v>0.92652020000000002</v>
      </c>
      <c r="CL4" s="23">
        <v>0.94934549999999995</v>
      </c>
      <c r="CM4" s="23">
        <v>0.56350199999999995</v>
      </c>
      <c r="CN4" s="23">
        <v>0.60514999999999997</v>
      </c>
      <c r="CO4" s="23">
        <v>0.53786230000000002</v>
      </c>
      <c r="CP4" s="23">
        <v>2.8928999999999999E-3</v>
      </c>
      <c r="CQ4" s="23">
        <v>2.3920999999999999E-3</v>
      </c>
      <c r="CR4" s="23">
        <v>-4.3649999999999998E-4</v>
      </c>
      <c r="CS4" s="23">
        <v>1.013935</v>
      </c>
      <c r="CT4" s="23">
        <v>1.0522180000000001</v>
      </c>
      <c r="CU4" s="23">
        <v>0.98033579999999998</v>
      </c>
      <c r="CV4" s="23">
        <v>0.94551050000000003</v>
      </c>
      <c r="CW4" s="23">
        <v>0.96979870000000001</v>
      </c>
      <c r="CX4" s="23">
        <v>1.000232</v>
      </c>
      <c r="CY4" s="23">
        <v>0.97153129999999999</v>
      </c>
    </row>
    <row r="5" spans="1:103" x14ac:dyDescent="0.3">
      <c r="A5" s="5">
        <v>1950</v>
      </c>
      <c r="B5" s="3">
        <v>151684</v>
      </c>
      <c r="C5" s="3">
        <v>299827</v>
      </c>
      <c r="D5" s="2">
        <v>1.1252500000000001</v>
      </c>
      <c r="E5" s="2">
        <v>1.06745</v>
      </c>
      <c r="F5" s="3">
        <v>192044</v>
      </c>
      <c r="G5" s="3">
        <v>56530</v>
      </c>
      <c r="H5" s="3">
        <v>39059</v>
      </c>
      <c r="I5" s="3">
        <v>11455</v>
      </c>
      <c r="J5" s="3">
        <v>738</v>
      </c>
      <c r="K5" s="3">
        <v>293337.2</v>
      </c>
      <c r="L5" s="3">
        <v>124854.9</v>
      </c>
      <c r="M5" s="3">
        <v>168482.4</v>
      </c>
      <c r="N5" s="2">
        <v>1.0758700000000001</v>
      </c>
      <c r="O5" s="2">
        <v>1.0521400000000001</v>
      </c>
      <c r="P5" s="2">
        <v>1.0937300000000001</v>
      </c>
      <c r="Q5" s="3">
        <v>40281</v>
      </c>
      <c r="R5" s="3">
        <v>82869</v>
      </c>
      <c r="S5" s="3">
        <v>21935</v>
      </c>
      <c r="T5" s="3">
        <v>148252.20000000001</v>
      </c>
      <c r="U5" s="3">
        <v>153536.1</v>
      </c>
      <c r="V5" s="3">
        <v>73332.3</v>
      </c>
      <c r="W5" s="3">
        <v>80203.8</v>
      </c>
      <c r="X5" s="2">
        <v>0.53322000000000003</v>
      </c>
      <c r="Y5" s="2">
        <v>1.1168</v>
      </c>
      <c r="Z5" s="2">
        <v>1.1729000000000001</v>
      </c>
      <c r="AA5" s="2">
        <v>1.07752</v>
      </c>
      <c r="AB5" s="2">
        <v>1.09954</v>
      </c>
      <c r="AC5" s="2">
        <v>1.12103</v>
      </c>
      <c r="AD5" s="2">
        <v>1.0881099999999999</v>
      </c>
      <c r="AE5" s="2">
        <v>1.0290299999999999</v>
      </c>
      <c r="AF5" s="2">
        <v>1.0108999999999999</v>
      </c>
      <c r="AG5" s="2">
        <v>1.0472900000000001</v>
      </c>
      <c r="AH5" s="2">
        <v>0.60590999999999995</v>
      </c>
      <c r="AI5" s="2">
        <v>0.48116999999999999</v>
      </c>
      <c r="AJ5" s="3">
        <v>231121.2</v>
      </c>
      <c r="AK5" s="3">
        <v>120342</v>
      </c>
      <c r="AL5" s="3">
        <v>110779.2</v>
      </c>
      <c r="AM5" s="2">
        <v>1.09084</v>
      </c>
      <c r="AN5" s="2">
        <v>1.0561199999999999</v>
      </c>
      <c r="AO5" s="2">
        <v>1.0529599999999999</v>
      </c>
      <c r="AP5" s="2">
        <v>1.07795</v>
      </c>
      <c r="AQ5" s="2">
        <v>1.07026</v>
      </c>
      <c r="AR5" s="2">
        <v>1.09426</v>
      </c>
      <c r="AS5" s="3">
        <v>62216</v>
      </c>
      <c r="AT5" s="2">
        <v>1.28382</v>
      </c>
      <c r="AU5" s="2">
        <v>1.11748</v>
      </c>
      <c r="AV5" s="22"/>
      <c r="AW5" s="23">
        <v>0.64743790000000001</v>
      </c>
      <c r="AX5" s="23">
        <v>0.35256199999999999</v>
      </c>
      <c r="AY5" s="23">
        <v>0.35855209999999998</v>
      </c>
      <c r="AZ5" s="23">
        <v>0.64144789999999996</v>
      </c>
      <c r="BA5" s="23">
        <v>1.5237019999999999</v>
      </c>
      <c r="BB5" s="23">
        <v>0.63834210000000002</v>
      </c>
      <c r="BC5" s="23">
        <v>0.36165789999999998</v>
      </c>
      <c r="BD5" s="23">
        <v>0.64724230000000005</v>
      </c>
      <c r="BE5" s="23">
        <v>0</v>
      </c>
      <c r="BF5" s="23">
        <v>1.079086</v>
      </c>
      <c r="BG5" s="23">
        <v>1.079086</v>
      </c>
      <c r="BH5" s="23">
        <v>1</v>
      </c>
      <c r="BI5" s="23">
        <v>0.83056479999999999</v>
      </c>
      <c r="BJ5" s="23">
        <v>0.28323949999999998</v>
      </c>
      <c r="BK5" s="23">
        <v>0.71676050000000002</v>
      </c>
      <c r="BL5" s="23">
        <v>0.29117480000000001</v>
      </c>
      <c r="BM5" s="23">
        <v>3.9300000000000004E-15</v>
      </c>
      <c r="BN5" s="23">
        <v>1.0643130000000001</v>
      </c>
      <c r="BO5" s="23">
        <v>1.0643130000000001</v>
      </c>
      <c r="BP5" s="23">
        <v>1</v>
      </c>
      <c r="BQ5" s="23">
        <v>0.44890160000000001</v>
      </c>
      <c r="BR5" s="23">
        <v>0.35878070000000001</v>
      </c>
      <c r="BS5" s="23">
        <v>0.64121930000000005</v>
      </c>
      <c r="BT5" s="23">
        <v>0.55497370000000001</v>
      </c>
      <c r="BU5" s="23">
        <v>0.69686530000000002</v>
      </c>
      <c r="BV5" s="23">
        <v>0.44306980000000001</v>
      </c>
      <c r="BW5" s="23">
        <v>1.0649200000000001</v>
      </c>
      <c r="BX5" s="23">
        <v>1.0689360000000001</v>
      </c>
      <c r="BY5" s="23">
        <v>1.0037700000000001</v>
      </c>
      <c r="BZ5" s="23">
        <v>0</v>
      </c>
      <c r="CA5" s="23">
        <v>0.64618719999999996</v>
      </c>
      <c r="CB5" s="23">
        <v>0.35381279999999998</v>
      </c>
      <c r="CC5" s="23">
        <v>0.35161490000000001</v>
      </c>
      <c r="CD5" s="23">
        <v>0.64838510000000005</v>
      </c>
      <c r="CE5" s="23">
        <v>1.380727</v>
      </c>
      <c r="CF5" s="23">
        <v>1.282389</v>
      </c>
      <c r="CG5" s="23">
        <v>1.0965100000000001</v>
      </c>
      <c r="CH5" s="23">
        <v>1.0512550000000001</v>
      </c>
      <c r="CI5" s="23">
        <v>1.039525</v>
      </c>
      <c r="CJ5" s="23">
        <v>0.97874309999999998</v>
      </c>
      <c r="CK5" s="23">
        <v>0.94152930000000001</v>
      </c>
      <c r="CL5" s="23">
        <v>0.9450923</v>
      </c>
      <c r="CM5" s="23">
        <v>0.56350199999999995</v>
      </c>
      <c r="CN5" s="23">
        <v>0.60514999999999997</v>
      </c>
      <c r="CO5" s="23">
        <v>0.53786230000000002</v>
      </c>
      <c r="CP5" s="23">
        <v>3.90806E-2</v>
      </c>
      <c r="CQ5" s="23">
        <v>5.2600899999999999E-2</v>
      </c>
      <c r="CR5" s="23">
        <v>3.1628900000000001E-2</v>
      </c>
      <c r="CS5" s="23">
        <v>1.0543439999999999</v>
      </c>
      <c r="CT5" s="23">
        <v>1.1090469999999999</v>
      </c>
      <c r="CU5" s="23">
        <v>1.011838</v>
      </c>
      <c r="CV5" s="23">
        <v>0.95425360000000004</v>
      </c>
      <c r="CW5" s="23">
        <v>1.023622</v>
      </c>
      <c r="CX5" s="23">
        <v>1.0383389999999999</v>
      </c>
      <c r="CY5" s="23">
        <v>1.015088</v>
      </c>
    </row>
    <row r="6" spans="1:103" x14ac:dyDescent="0.3">
      <c r="A6" s="5">
        <v>1951</v>
      </c>
      <c r="B6" s="3">
        <v>154287</v>
      </c>
      <c r="C6" s="3">
        <v>346914</v>
      </c>
      <c r="D6" s="2">
        <v>1.21577</v>
      </c>
      <c r="E6" s="2">
        <v>1.14313</v>
      </c>
      <c r="F6" s="3">
        <v>208339</v>
      </c>
      <c r="G6" s="3">
        <v>62759</v>
      </c>
      <c r="H6" s="3">
        <v>53722</v>
      </c>
      <c r="I6" s="3">
        <v>19582</v>
      </c>
      <c r="J6" s="3">
        <v>2513</v>
      </c>
      <c r="K6" s="3">
        <v>339441.1</v>
      </c>
      <c r="L6" s="3">
        <v>147250.9</v>
      </c>
      <c r="M6" s="3">
        <v>192190.2</v>
      </c>
      <c r="N6" s="2">
        <v>1.1674599999999999</v>
      </c>
      <c r="O6" s="2">
        <v>1.1688000000000001</v>
      </c>
      <c r="P6" s="2">
        <v>1.16604</v>
      </c>
      <c r="Q6" s="3">
        <v>48549</v>
      </c>
      <c r="R6" s="3">
        <v>96818</v>
      </c>
      <c r="S6" s="3">
        <v>23881</v>
      </c>
      <c r="T6" s="3">
        <v>170193.1</v>
      </c>
      <c r="U6" s="3">
        <v>174406.8</v>
      </c>
      <c r="V6" s="3">
        <v>86367.1</v>
      </c>
      <c r="W6" s="3">
        <v>88039.7</v>
      </c>
      <c r="X6" s="2">
        <v>0.51861000000000002</v>
      </c>
      <c r="Y6" s="2">
        <v>1.1909400000000001</v>
      </c>
      <c r="Z6" s="2">
        <v>1.24522</v>
      </c>
      <c r="AA6" s="2">
        <v>1.1529199999999999</v>
      </c>
      <c r="AB6" s="2">
        <v>1.1515599999999999</v>
      </c>
      <c r="AC6" s="2">
        <v>1.1901299999999999</v>
      </c>
      <c r="AD6" s="2">
        <v>1.1305799999999999</v>
      </c>
      <c r="AE6" s="2">
        <v>1.09934</v>
      </c>
      <c r="AF6" s="2">
        <v>1.0784499999999999</v>
      </c>
      <c r="AG6" s="2">
        <v>1.1203399999999999</v>
      </c>
      <c r="AH6" s="2">
        <v>0.58694000000000002</v>
      </c>
      <c r="AI6" s="2">
        <v>0.46705999999999998</v>
      </c>
      <c r="AJ6" s="3">
        <v>267011.09999999998</v>
      </c>
      <c r="AK6" s="3">
        <v>133976</v>
      </c>
      <c r="AL6" s="3">
        <v>133035.1</v>
      </c>
      <c r="AM6" s="2">
        <v>1.1825000000000001</v>
      </c>
      <c r="AN6" s="2">
        <v>1.12544</v>
      </c>
      <c r="AO6" s="2">
        <v>1.0626500000000001</v>
      </c>
      <c r="AP6" s="2">
        <v>1.18903</v>
      </c>
      <c r="AQ6" s="2">
        <v>1.2270399999999999</v>
      </c>
      <c r="AR6" s="2">
        <v>1.1460900000000001</v>
      </c>
      <c r="AS6" s="3">
        <v>72430</v>
      </c>
      <c r="AT6" s="2">
        <v>1.36975</v>
      </c>
      <c r="AU6" s="2">
        <v>1.21932</v>
      </c>
      <c r="AV6" s="22"/>
      <c r="AW6" s="23">
        <v>0.67028860000000001</v>
      </c>
      <c r="AX6" s="23">
        <v>0.32971139999999999</v>
      </c>
      <c r="AY6" s="23">
        <v>0.36259920000000001</v>
      </c>
      <c r="AZ6" s="23">
        <v>0.63740079999999999</v>
      </c>
      <c r="BA6" s="23">
        <v>1.730613</v>
      </c>
      <c r="BB6" s="23">
        <v>0.64778329999999995</v>
      </c>
      <c r="BC6" s="23">
        <v>0.35221669999999999</v>
      </c>
      <c r="BD6" s="23">
        <v>0.64724230000000005</v>
      </c>
      <c r="BE6" s="23">
        <v>0</v>
      </c>
      <c r="BF6" s="23">
        <v>1.1388180000000001</v>
      </c>
      <c r="BG6" s="23">
        <v>1.1388180000000001</v>
      </c>
      <c r="BH6" s="23">
        <v>1</v>
      </c>
      <c r="BI6" s="23">
        <v>0.83056479999999999</v>
      </c>
      <c r="BJ6" s="23">
        <v>0.29166429999999999</v>
      </c>
      <c r="BK6" s="23">
        <v>0.70833579999999996</v>
      </c>
      <c r="BL6" s="23">
        <v>0.29117480000000001</v>
      </c>
      <c r="BM6" s="23">
        <v>3.9300000000000004E-15</v>
      </c>
      <c r="BN6" s="23">
        <v>1.13978</v>
      </c>
      <c r="BO6" s="23">
        <v>1.13978</v>
      </c>
      <c r="BP6" s="23">
        <v>1</v>
      </c>
      <c r="BQ6" s="23">
        <v>0.44890160000000001</v>
      </c>
      <c r="BR6" s="23">
        <v>0.3564659</v>
      </c>
      <c r="BS6" s="23">
        <v>0.6435341</v>
      </c>
      <c r="BT6" s="23">
        <v>0.55497370000000001</v>
      </c>
      <c r="BU6" s="23">
        <v>0.69686530000000002</v>
      </c>
      <c r="BV6" s="23">
        <v>0.44306980000000001</v>
      </c>
      <c r="BW6" s="23">
        <v>1.1003430000000001</v>
      </c>
      <c r="BX6" s="23">
        <v>1.1625270000000001</v>
      </c>
      <c r="BY6" s="23">
        <v>1.056513</v>
      </c>
      <c r="BZ6" s="23">
        <v>0</v>
      </c>
      <c r="CA6" s="23">
        <v>0.65886319999999998</v>
      </c>
      <c r="CB6" s="23">
        <v>0.34113680000000002</v>
      </c>
      <c r="CC6" s="23">
        <v>0.3605756</v>
      </c>
      <c r="CD6" s="23">
        <v>0.63942429999999995</v>
      </c>
      <c r="CE6" s="23">
        <v>1.4980309999999999</v>
      </c>
      <c r="CF6" s="23">
        <v>1.30958</v>
      </c>
      <c r="CG6" s="23">
        <v>1.1532119999999999</v>
      </c>
      <c r="CH6" s="23">
        <v>1.131999</v>
      </c>
      <c r="CI6" s="23">
        <v>0.99763259999999998</v>
      </c>
      <c r="CJ6" s="23">
        <v>0.95629850000000005</v>
      </c>
      <c r="CK6" s="23">
        <v>0.95856790000000003</v>
      </c>
      <c r="CL6" s="23">
        <v>0.9230083</v>
      </c>
      <c r="CM6" s="23">
        <v>0.56350199999999995</v>
      </c>
      <c r="CN6" s="23">
        <v>0.60514999999999997</v>
      </c>
      <c r="CO6" s="23">
        <v>0.53786230000000002</v>
      </c>
      <c r="CP6" s="23">
        <v>6.8614000000000001E-3</v>
      </c>
      <c r="CQ6" s="23">
        <v>-2.7284000000000002E-3</v>
      </c>
      <c r="CR6" s="23">
        <v>1.29287E-2</v>
      </c>
      <c r="CS6" s="23">
        <v>1.0616030000000001</v>
      </c>
      <c r="CT6" s="23">
        <v>1.106025</v>
      </c>
      <c r="CU6" s="23">
        <v>1.0250049999999999</v>
      </c>
      <c r="CV6" s="23">
        <v>0.95799089999999998</v>
      </c>
      <c r="CW6" s="23">
        <v>1.0308200000000001</v>
      </c>
      <c r="CX6" s="23">
        <v>1.047345</v>
      </c>
      <c r="CY6" s="23">
        <v>1.016448</v>
      </c>
    </row>
    <row r="7" spans="1:103" x14ac:dyDescent="0.3">
      <c r="A7" s="5">
        <v>1952</v>
      </c>
      <c r="B7" s="3">
        <v>156954</v>
      </c>
      <c r="C7" s="3">
        <v>367341</v>
      </c>
      <c r="D7" s="2">
        <v>1.2654300000000001</v>
      </c>
      <c r="E7" s="2">
        <v>1.1629499999999999</v>
      </c>
      <c r="F7" s="3">
        <v>219320</v>
      </c>
      <c r="G7" s="3">
        <v>57274</v>
      </c>
      <c r="H7" s="3">
        <v>64963</v>
      </c>
      <c r="I7" s="3">
        <v>24621</v>
      </c>
      <c r="J7" s="3">
        <v>1164</v>
      </c>
      <c r="K7" s="3">
        <v>359559.4</v>
      </c>
      <c r="L7" s="3">
        <v>151906.79999999999</v>
      </c>
      <c r="M7" s="3">
        <v>207652.6</v>
      </c>
      <c r="N7" s="2">
        <v>1.1915199999999999</v>
      </c>
      <c r="O7" s="2">
        <v>1.15432</v>
      </c>
      <c r="P7" s="2">
        <v>1.2197199999999999</v>
      </c>
      <c r="Q7" s="3">
        <v>52704</v>
      </c>
      <c r="R7" s="3">
        <v>97519</v>
      </c>
      <c r="S7" s="3">
        <v>25676</v>
      </c>
      <c r="T7" s="3">
        <v>183660.4</v>
      </c>
      <c r="U7" s="3">
        <v>184289.9</v>
      </c>
      <c r="V7" s="3">
        <v>90294.399999999994</v>
      </c>
      <c r="W7" s="3">
        <v>93995.5</v>
      </c>
      <c r="X7" s="2">
        <v>0.51317000000000002</v>
      </c>
      <c r="Y7" s="2">
        <v>1.2360500000000001</v>
      </c>
      <c r="Z7" s="2">
        <v>1.30071</v>
      </c>
      <c r="AA7" s="2">
        <v>1.19085</v>
      </c>
      <c r="AB7" s="2">
        <v>1.1994800000000001</v>
      </c>
      <c r="AC7" s="2">
        <v>1.2407999999999999</v>
      </c>
      <c r="AD7" s="2">
        <v>1.177</v>
      </c>
      <c r="AE7" s="2">
        <v>1.1224000000000001</v>
      </c>
      <c r="AF7" s="2">
        <v>1.0965</v>
      </c>
      <c r="AG7" s="2">
        <v>1.1484700000000001</v>
      </c>
      <c r="AH7" s="2">
        <v>0.59047000000000005</v>
      </c>
      <c r="AI7" s="2">
        <v>0.45537</v>
      </c>
      <c r="AJ7" s="3">
        <v>281179.40000000002</v>
      </c>
      <c r="AK7" s="3">
        <v>131277</v>
      </c>
      <c r="AL7" s="3">
        <v>149902.39999999999</v>
      </c>
      <c r="AM7" s="2">
        <v>1.22556</v>
      </c>
      <c r="AN7" s="2">
        <v>1.1431800000000001</v>
      </c>
      <c r="AO7" s="2">
        <v>1.0781099999999999</v>
      </c>
      <c r="AP7" s="2">
        <v>1.14801</v>
      </c>
      <c r="AQ7" s="2">
        <v>1.34046</v>
      </c>
      <c r="AR7" s="2">
        <v>1.18177</v>
      </c>
      <c r="AS7" s="3">
        <v>78380</v>
      </c>
      <c r="AT7" s="2">
        <v>1.44859</v>
      </c>
      <c r="AU7" s="2">
        <v>1.2476700000000001</v>
      </c>
      <c r="AV7" s="22"/>
      <c r="AW7" s="23">
        <v>0.67241640000000003</v>
      </c>
      <c r="AX7" s="23">
        <v>0.32758359999999997</v>
      </c>
      <c r="AY7" s="23">
        <v>0.3468213</v>
      </c>
      <c r="AZ7" s="23">
        <v>0.6531787</v>
      </c>
      <c r="BA7" s="23">
        <v>1.7914760000000001</v>
      </c>
      <c r="BB7" s="23">
        <v>0.63456000000000001</v>
      </c>
      <c r="BC7" s="23">
        <v>0.36543999999999999</v>
      </c>
      <c r="BD7" s="23">
        <v>0.64724230000000005</v>
      </c>
      <c r="BE7" s="23">
        <v>0</v>
      </c>
      <c r="BF7" s="23">
        <v>1.1895020000000001</v>
      </c>
      <c r="BG7" s="23">
        <v>1.1895020000000001</v>
      </c>
      <c r="BH7" s="23">
        <v>1</v>
      </c>
      <c r="BI7" s="23">
        <v>0.83056479999999999</v>
      </c>
      <c r="BJ7" s="23">
        <v>0.27993289999999998</v>
      </c>
      <c r="BK7" s="23">
        <v>0.72006709999999996</v>
      </c>
      <c r="BL7" s="23">
        <v>0.29117480000000001</v>
      </c>
      <c r="BM7" s="23">
        <v>3.9300000000000004E-15</v>
      </c>
      <c r="BN7" s="23">
        <v>1.1664319999999999</v>
      </c>
      <c r="BO7" s="23">
        <v>1.1664319999999999</v>
      </c>
      <c r="BP7" s="23">
        <v>1</v>
      </c>
      <c r="BQ7" s="23">
        <v>0.44890160000000001</v>
      </c>
      <c r="BR7" s="23">
        <v>0.34446149999999998</v>
      </c>
      <c r="BS7" s="23">
        <v>0.65553839999999997</v>
      </c>
      <c r="BT7" s="23">
        <v>0.55497370000000001</v>
      </c>
      <c r="BU7" s="23">
        <v>0.69686530000000002</v>
      </c>
      <c r="BV7" s="23">
        <v>0.44306980000000001</v>
      </c>
      <c r="BW7" s="23">
        <v>1.1337539999999999</v>
      </c>
      <c r="BX7" s="23">
        <v>1.1921600000000001</v>
      </c>
      <c r="BY7" s="23">
        <v>1.051515</v>
      </c>
      <c r="BZ7" s="23">
        <v>0</v>
      </c>
      <c r="CA7" s="23">
        <v>0.67135250000000002</v>
      </c>
      <c r="CB7" s="23">
        <v>0.32864749999999998</v>
      </c>
      <c r="CC7" s="23">
        <v>0.35471029999999998</v>
      </c>
      <c r="CD7" s="23">
        <v>0.64528969999999997</v>
      </c>
      <c r="CE7" s="23">
        <v>1.646636</v>
      </c>
      <c r="CF7" s="23">
        <v>1.3460380000000001</v>
      </c>
      <c r="CG7" s="23">
        <v>1.176132</v>
      </c>
      <c r="CH7" s="23">
        <v>1.1678040000000001</v>
      </c>
      <c r="CI7" s="23">
        <v>1.056656</v>
      </c>
      <c r="CJ7" s="23">
        <v>0.97759649999999998</v>
      </c>
      <c r="CK7" s="23">
        <v>0.92517939999999999</v>
      </c>
      <c r="CL7" s="23">
        <v>0.91624499999999998</v>
      </c>
      <c r="CM7" s="23">
        <v>0.56350199999999995</v>
      </c>
      <c r="CN7" s="23">
        <v>0.60514999999999997</v>
      </c>
      <c r="CO7" s="23">
        <v>0.53786230000000002</v>
      </c>
      <c r="CP7" s="23">
        <v>7.6823000000000004E-3</v>
      </c>
      <c r="CQ7" s="23">
        <v>1.6043499999999999E-2</v>
      </c>
      <c r="CR7" s="23">
        <v>8.2629999999999997E-4</v>
      </c>
      <c r="CS7" s="23">
        <v>1.06979</v>
      </c>
      <c r="CT7" s="23">
        <v>1.1239129999999999</v>
      </c>
      <c r="CU7" s="23">
        <v>1.025852</v>
      </c>
      <c r="CV7" s="23">
        <v>0.94225510000000001</v>
      </c>
      <c r="CW7" s="23">
        <v>1.0244679999999999</v>
      </c>
      <c r="CX7" s="23">
        <v>1.0525929999999999</v>
      </c>
      <c r="CY7" s="23">
        <v>1.0216449999999999</v>
      </c>
    </row>
    <row r="8" spans="1:103" x14ac:dyDescent="0.3">
      <c r="A8" s="5">
        <v>1953</v>
      </c>
      <c r="B8" s="3">
        <v>159565</v>
      </c>
      <c r="C8" s="3">
        <v>389218</v>
      </c>
      <c r="D8" s="2">
        <v>1.3248200000000001</v>
      </c>
      <c r="E8" s="2">
        <v>1.1769700000000001</v>
      </c>
      <c r="F8" s="3">
        <v>232740</v>
      </c>
      <c r="G8" s="3">
        <v>60414</v>
      </c>
      <c r="H8" s="3">
        <v>70099</v>
      </c>
      <c r="I8" s="3">
        <v>26666</v>
      </c>
      <c r="J8" s="3">
        <v>-701</v>
      </c>
      <c r="K8" s="3">
        <v>380859.3</v>
      </c>
      <c r="L8" s="3">
        <v>160699.70000000001</v>
      </c>
      <c r="M8" s="3">
        <v>220159.5</v>
      </c>
      <c r="N8" s="2">
        <v>1.2017500000000001</v>
      </c>
      <c r="O8" s="2">
        <v>1.1407799999999999</v>
      </c>
      <c r="P8" s="2">
        <v>1.2486200000000001</v>
      </c>
      <c r="Q8" s="3">
        <v>57343</v>
      </c>
      <c r="R8" s="3">
        <v>101806</v>
      </c>
      <c r="S8" s="3">
        <v>27789</v>
      </c>
      <c r="T8" s="3">
        <v>193921.3</v>
      </c>
      <c r="U8" s="3">
        <v>202171.1</v>
      </c>
      <c r="V8" s="3">
        <v>100464.4</v>
      </c>
      <c r="W8" s="3">
        <v>101706.7</v>
      </c>
      <c r="X8" s="2">
        <v>0.52168999999999999</v>
      </c>
      <c r="Y8" s="2">
        <v>1.29813</v>
      </c>
      <c r="Z8" s="2">
        <v>1.3923399999999999</v>
      </c>
      <c r="AA8" s="2">
        <v>1.2333499999999999</v>
      </c>
      <c r="AB8" s="2">
        <v>1.25268</v>
      </c>
      <c r="AC8" s="2">
        <v>1.2997099999999999</v>
      </c>
      <c r="AD8" s="2">
        <v>1.2272700000000001</v>
      </c>
      <c r="AE8" s="2">
        <v>1.1475500000000001</v>
      </c>
      <c r="AF8" s="2">
        <v>1.1255599999999999</v>
      </c>
      <c r="AG8" s="2">
        <v>1.1696500000000001</v>
      </c>
      <c r="AH8" s="2">
        <v>0.60979000000000005</v>
      </c>
      <c r="AI8" s="2">
        <v>0.45730999999999999</v>
      </c>
      <c r="AJ8" s="3">
        <v>295727.3</v>
      </c>
      <c r="AK8" s="3">
        <v>134421</v>
      </c>
      <c r="AL8" s="3">
        <v>161306.29999999999</v>
      </c>
      <c r="AM8" s="2">
        <v>1.2708200000000001</v>
      </c>
      <c r="AN8" s="2">
        <v>1.1601699999999999</v>
      </c>
      <c r="AO8" s="2">
        <v>1.1203399999999999</v>
      </c>
      <c r="AP8" s="2">
        <v>1.13184</v>
      </c>
      <c r="AQ8" s="2">
        <v>1.39697</v>
      </c>
      <c r="AR8" s="2">
        <v>1.2209300000000001</v>
      </c>
      <c r="AS8" s="3">
        <v>85132</v>
      </c>
      <c r="AT8" s="2">
        <v>1.57033</v>
      </c>
      <c r="AU8" s="2">
        <v>1.2500899999999999</v>
      </c>
      <c r="AV8" s="22"/>
      <c r="AW8" s="23">
        <v>0.67357750000000005</v>
      </c>
      <c r="AX8" s="23">
        <v>0.3264225</v>
      </c>
      <c r="AY8" s="23">
        <v>0.34425640000000002</v>
      </c>
      <c r="AZ8" s="23">
        <v>0.65574359999999998</v>
      </c>
      <c r="BA8" s="23">
        <v>1.853334</v>
      </c>
      <c r="BB8" s="23">
        <v>0.62635450000000004</v>
      </c>
      <c r="BC8" s="23">
        <v>0.37364550000000002</v>
      </c>
      <c r="BD8" s="23">
        <v>0.64724230000000005</v>
      </c>
      <c r="BE8" s="23">
        <v>0</v>
      </c>
      <c r="BF8" s="23">
        <v>1.249533</v>
      </c>
      <c r="BG8" s="23">
        <v>1.249533</v>
      </c>
      <c r="BH8" s="23">
        <v>1</v>
      </c>
      <c r="BI8" s="23">
        <v>0.83056479999999999</v>
      </c>
      <c r="BJ8" s="23">
        <v>0.27288869999999998</v>
      </c>
      <c r="BK8" s="23">
        <v>0.72711130000000002</v>
      </c>
      <c r="BL8" s="23">
        <v>0.29117480000000001</v>
      </c>
      <c r="BM8" s="23">
        <v>3.9300000000000004E-15</v>
      </c>
      <c r="BN8" s="23">
        <v>1.2101139999999999</v>
      </c>
      <c r="BO8" s="23">
        <v>1.2101139999999999</v>
      </c>
      <c r="BP8" s="23">
        <v>1</v>
      </c>
      <c r="BQ8" s="23">
        <v>0.44890160000000001</v>
      </c>
      <c r="BR8" s="23">
        <v>0.33415129999999998</v>
      </c>
      <c r="BS8" s="23">
        <v>0.66584869999999996</v>
      </c>
      <c r="BT8" s="23">
        <v>0.55497370000000001</v>
      </c>
      <c r="BU8" s="23">
        <v>0.69686530000000002</v>
      </c>
      <c r="BV8" s="23">
        <v>0.44306980000000001</v>
      </c>
      <c r="BW8" s="23">
        <v>1.1704589999999999</v>
      </c>
      <c r="BX8" s="23">
        <v>1.2440869999999999</v>
      </c>
      <c r="BY8" s="23">
        <v>1.062905</v>
      </c>
      <c r="BZ8" s="23">
        <v>0</v>
      </c>
      <c r="CA8" s="23">
        <v>0.67299690000000001</v>
      </c>
      <c r="CB8" s="23">
        <v>0.32700299999999999</v>
      </c>
      <c r="CC8" s="23">
        <v>0.34553889999999998</v>
      </c>
      <c r="CD8" s="23">
        <v>0.65446110000000002</v>
      </c>
      <c r="CE8" s="23">
        <v>1.8128489999999999</v>
      </c>
      <c r="CF8" s="23">
        <v>1.4230940000000001</v>
      </c>
      <c r="CG8" s="23">
        <v>1.2424170000000001</v>
      </c>
      <c r="CH8" s="23">
        <v>1.2045110000000001</v>
      </c>
      <c r="CI8" s="23">
        <v>1.094536</v>
      </c>
      <c r="CJ8" s="23">
        <v>0.99882400000000005</v>
      </c>
      <c r="CK8" s="23">
        <v>0.91255489999999995</v>
      </c>
      <c r="CL8" s="23">
        <v>0.9280661</v>
      </c>
      <c r="CM8" s="23">
        <v>0.56350199999999995</v>
      </c>
      <c r="CN8" s="23">
        <v>0.60514999999999997</v>
      </c>
      <c r="CO8" s="23">
        <v>0.53786230000000002</v>
      </c>
      <c r="CP8" s="23">
        <v>1.7575400000000001E-2</v>
      </c>
      <c r="CQ8" s="23">
        <v>3.3087699999999998E-2</v>
      </c>
      <c r="CR8" s="23">
        <v>6.5195000000000001E-3</v>
      </c>
      <c r="CS8" s="23">
        <v>1.0887579999999999</v>
      </c>
      <c r="CT8" s="23">
        <v>1.1617230000000001</v>
      </c>
      <c r="CU8" s="23">
        <v>1.032562</v>
      </c>
      <c r="CV8" s="23">
        <v>0.94016379999999999</v>
      </c>
      <c r="CW8" s="23">
        <v>1.046052</v>
      </c>
      <c r="CX8" s="23">
        <v>1.0671079999999999</v>
      </c>
      <c r="CY8" s="23">
        <v>1.046656</v>
      </c>
    </row>
    <row r="9" spans="1:103" x14ac:dyDescent="0.3">
      <c r="A9" s="5">
        <v>1954</v>
      </c>
      <c r="B9" s="3">
        <v>162391</v>
      </c>
      <c r="C9" s="3">
        <v>390549</v>
      </c>
      <c r="D9" s="2">
        <v>1.31715</v>
      </c>
      <c r="E9" s="2">
        <v>1.1878599999999999</v>
      </c>
      <c r="F9" s="3">
        <v>239608</v>
      </c>
      <c r="G9" s="3">
        <v>58070</v>
      </c>
      <c r="H9" s="3">
        <v>67071</v>
      </c>
      <c r="I9" s="3">
        <v>25396</v>
      </c>
      <c r="J9" s="3">
        <v>404</v>
      </c>
      <c r="K9" s="3">
        <v>382379.5</v>
      </c>
      <c r="L9" s="3">
        <v>155580.9</v>
      </c>
      <c r="M9" s="3">
        <v>226798.6</v>
      </c>
      <c r="N9" s="2">
        <v>1.20913</v>
      </c>
      <c r="O9" s="2">
        <v>1.1348499999999999</v>
      </c>
      <c r="P9" s="2">
        <v>1.26641</v>
      </c>
      <c r="Q9" s="3">
        <v>56328</v>
      </c>
      <c r="R9" s="3">
        <v>97746</v>
      </c>
      <c r="S9" s="3">
        <v>29075</v>
      </c>
      <c r="T9" s="3">
        <v>199230.5</v>
      </c>
      <c r="U9" s="3">
        <v>197065.8</v>
      </c>
      <c r="V9" s="3">
        <v>94278.399999999994</v>
      </c>
      <c r="W9" s="3">
        <v>102787.3</v>
      </c>
      <c r="X9" s="2">
        <v>0.52310000000000001</v>
      </c>
      <c r="Y9" s="2">
        <v>1.29535</v>
      </c>
      <c r="Z9" s="2">
        <v>1.35503</v>
      </c>
      <c r="AA9" s="2">
        <v>1.2526999999999999</v>
      </c>
      <c r="AB9" s="2">
        <v>1.3127</v>
      </c>
      <c r="AC9" s="2">
        <v>1.36591</v>
      </c>
      <c r="AD9" s="2">
        <v>1.28423</v>
      </c>
      <c r="AE9" s="2">
        <v>1.1093</v>
      </c>
      <c r="AF9" s="2">
        <v>1.0536799999999999</v>
      </c>
      <c r="AG9" s="2">
        <v>1.1657500000000001</v>
      </c>
      <c r="AH9" s="2">
        <v>0.61556999999999995</v>
      </c>
      <c r="AI9" s="2">
        <v>0.45759</v>
      </c>
      <c r="AJ9" s="3">
        <v>296976.5</v>
      </c>
      <c r="AK9" s="3">
        <v>132753</v>
      </c>
      <c r="AL9" s="3">
        <v>164223.5</v>
      </c>
      <c r="AM9" s="2">
        <v>1.2616000000000001</v>
      </c>
      <c r="AN9" s="2">
        <v>1.17272</v>
      </c>
      <c r="AO9" s="2">
        <v>1.14503</v>
      </c>
      <c r="AP9" s="2">
        <v>1.0929</v>
      </c>
      <c r="AQ9" s="2">
        <v>1.3826099999999999</v>
      </c>
      <c r="AR9" s="2">
        <v>1.2549999999999999</v>
      </c>
      <c r="AS9" s="3">
        <v>85403</v>
      </c>
      <c r="AT9" s="2">
        <v>1.56955</v>
      </c>
      <c r="AU9" s="2">
        <v>1.2546999999999999</v>
      </c>
      <c r="AV9" s="22"/>
      <c r="AW9" s="23">
        <v>0.65955529999999996</v>
      </c>
      <c r="AX9" s="23">
        <v>0.34044469999999999</v>
      </c>
      <c r="AY9" s="23">
        <v>0.32913710000000002</v>
      </c>
      <c r="AZ9" s="23">
        <v>0.67086290000000004</v>
      </c>
      <c r="BA9" s="23">
        <v>1.8287739999999999</v>
      </c>
      <c r="BB9" s="23">
        <v>0.62181260000000005</v>
      </c>
      <c r="BC9" s="23">
        <v>0.37818740000000001</v>
      </c>
      <c r="BD9" s="23">
        <v>0.64724230000000005</v>
      </c>
      <c r="BE9" s="23">
        <v>0</v>
      </c>
      <c r="BF9" s="23">
        <v>1.2522200000000001</v>
      </c>
      <c r="BG9" s="23">
        <v>1.252221</v>
      </c>
      <c r="BH9" s="23">
        <v>1</v>
      </c>
      <c r="BI9" s="23">
        <v>0.83056479999999999</v>
      </c>
      <c r="BJ9" s="23">
        <v>0.26906429999999998</v>
      </c>
      <c r="BK9" s="23">
        <v>0.73093569999999997</v>
      </c>
      <c r="BL9" s="23">
        <v>0.29117480000000001</v>
      </c>
      <c r="BM9" s="23">
        <v>3.9300000000000004E-15</v>
      </c>
      <c r="BN9" s="23">
        <v>1.2044539999999999</v>
      </c>
      <c r="BO9" s="23">
        <v>1.2044539999999999</v>
      </c>
      <c r="BP9" s="23">
        <v>1</v>
      </c>
      <c r="BQ9" s="23">
        <v>0.44890160000000001</v>
      </c>
      <c r="BR9" s="23">
        <v>0.33474150000000003</v>
      </c>
      <c r="BS9" s="23">
        <v>0.66525849999999997</v>
      </c>
      <c r="BT9" s="23">
        <v>0.55497370000000001</v>
      </c>
      <c r="BU9" s="23">
        <v>0.69686530000000002</v>
      </c>
      <c r="BV9" s="23">
        <v>0.44306980000000001</v>
      </c>
      <c r="BW9" s="23">
        <v>1.1836310000000001</v>
      </c>
      <c r="BX9" s="23">
        <v>1.2306980000000001</v>
      </c>
      <c r="BY9" s="23">
        <v>1.0397639999999999</v>
      </c>
      <c r="BZ9" s="23">
        <v>0</v>
      </c>
      <c r="CA9" s="23">
        <v>0.6665664</v>
      </c>
      <c r="CB9" s="23">
        <v>0.3334336</v>
      </c>
      <c r="CC9" s="23">
        <v>0.33669680000000002</v>
      </c>
      <c r="CD9" s="23">
        <v>0.66330319999999998</v>
      </c>
      <c r="CE9" s="23">
        <v>1.7900640000000001</v>
      </c>
      <c r="CF9" s="23">
        <v>1.468032</v>
      </c>
      <c r="CG9" s="23">
        <v>1.199101</v>
      </c>
      <c r="CH9" s="23">
        <v>1.2201029999999999</v>
      </c>
      <c r="CI9" s="23">
        <v>1.1159319999999999</v>
      </c>
      <c r="CJ9" s="23">
        <v>1.0093350000000001</v>
      </c>
      <c r="CK9" s="23">
        <v>0.90447730000000004</v>
      </c>
      <c r="CL9" s="23">
        <v>0.93466369999999999</v>
      </c>
      <c r="CM9" s="23">
        <v>0.56350199999999995</v>
      </c>
      <c r="CN9" s="23">
        <v>0.60514999999999997</v>
      </c>
      <c r="CO9" s="23">
        <v>0.53786230000000002</v>
      </c>
      <c r="CP9" s="23">
        <v>-3.4734000000000002E-3</v>
      </c>
      <c r="CQ9" s="23">
        <v>-1.1654400000000001E-2</v>
      </c>
      <c r="CR9" s="23">
        <v>-2.3594000000000002E-3</v>
      </c>
      <c r="CS9" s="23">
        <v>1.084983</v>
      </c>
      <c r="CT9" s="23">
        <v>1.1482619999999999</v>
      </c>
      <c r="CU9" s="23">
        <v>1.0301290000000001</v>
      </c>
      <c r="CV9" s="23">
        <v>0.93787500000000001</v>
      </c>
      <c r="CW9" s="23">
        <v>1.0350550000000001</v>
      </c>
      <c r="CX9" s="23">
        <v>1.061941</v>
      </c>
      <c r="CY9" s="23">
        <v>1.045582</v>
      </c>
    </row>
    <row r="10" spans="1:103" x14ac:dyDescent="0.3">
      <c r="A10" s="5">
        <v>1955</v>
      </c>
      <c r="B10" s="3">
        <v>165275</v>
      </c>
      <c r="C10" s="3">
        <v>425478</v>
      </c>
      <c r="D10" s="2">
        <v>1.4111100000000001</v>
      </c>
      <c r="E10" s="2">
        <v>1.2079299999999999</v>
      </c>
      <c r="F10" s="3">
        <v>258288</v>
      </c>
      <c r="G10" s="3">
        <v>73754</v>
      </c>
      <c r="H10" s="3">
        <v>68600</v>
      </c>
      <c r="I10" s="3">
        <v>24358</v>
      </c>
      <c r="J10" s="3">
        <v>478</v>
      </c>
      <c r="K10" s="3">
        <v>416129</v>
      </c>
      <c r="L10" s="3">
        <v>170891.4</v>
      </c>
      <c r="M10" s="3">
        <v>245237.5</v>
      </c>
      <c r="N10" s="2">
        <v>1.22688</v>
      </c>
      <c r="O10" s="2">
        <v>1.14062</v>
      </c>
      <c r="P10" s="2">
        <v>1.2934699999999999</v>
      </c>
      <c r="Q10" s="3">
        <v>60978</v>
      </c>
      <c r="R10" s="3">
        <v>108469</v>
      </c>
      <c r="S10" s="3">
        <v>32147</v>
      </c>
      <c r="T10" s="3">
        <v>214535</v>
      </c>
      <c r="U10" s="3">
        <v>222725.8</v>
      </c>
      <c r="V10" s="3">
        <v>105471.1</v>
      </c>
      <c r="W10" s="3">
        <v>117254.6</v>
      </c>
      <c r="X10" s="2">
        <v>0.52529999999999999</v>
      </c>
      <c r="Y10" s="2">
        <v>1.3892899999999999</v>
      </c>
      <c r="Z10" s="2">
        <v>1.4808300000000001</v>
      </c>
      <c r="AA10" s="2">
        <v>1.3262100000000001</v>
      </c>
      <c r="AB10" s="2">
        <v>1.3686499999999999</v>
      </c>
      <c r="AC10" s="2">
        <v>1.4175599999999999</v>
      </c>
      <c r="AD10" s="2">
        <v>1.3420799999999999</v>
      </c>
      <c r="AE10" s="2">
        <v>1.1472100000000001</v>
      </c>
      <c r="AF10" s="2">
        <v>1.1026400000000001</v>
      </c>
      <c r="AG10" s="2">
        <v>1.1927099999999999</v>
      </c>
      <c r="AH10" s="2">
        <v>0.61158000000000001</v>
      </c>
      <c r="AI10" s="2">
        <v>0.46566999999999997</v>
      </c>
      <c r="AJ10" s="3">
        <v>323004</v>
      </c>
      <c r="AK10" s="3">
        <v>150914</v>
      </c>
      <c r="AL10" s="3">
        <v>172090</v>
      </c>
      <c r="AM10" s="2">
        <v>1.35134</v>
      </c>
      <c r="AN10" s="2">
        <v>1.1924600000000001</v>
      </c>
      <c r="AO10" s="2">
        <v>1.24976</v>
      </c>
      <c r="AP10" s="2">
        <v>1.13988</v>
      </c>
      <c r="AQ10" s="2">
        <v>1.4096</v>
      </c>
      <c r="AR10" s="2">
        <v>1.2917400000000001</v>
      </c>
      <c r="AS10" s="3">
        <v>93125</v>
      </c>
      <c r="AT10" s="2">
        <v>1.68262</v>
      </c>
      <c r="AU10" s="2">
        <v>1.2762</v>
      </c>
      <c r="AV10" s="22"/>
      <c r="AW10" s="23">
        <v>0.65479730000000003</v>
      </c>
      <c r="AX10" s="23">
        <v>0.34520269999999997</v>
      </c>
      <c r="AY10" s="23">
        <v>0.33581319999999998</v>
      </c>
      <c r="AZ10" s="23">
        <v>0.66418679999999997</v>
      </c>
      <c r="BA10" s="23">
        <v>1.9543429999999999</v>
      </c>
      <c r="BB10" s="23">
        <v>0.61802869999999999</v>
      </c>
      <c r="BC10" s="23">
        <v>0.38197130000000001</v>
      </c>
      <c r="BD10" s="23">
        <v>0.64724230000000005</v>
      </c>
      <c r="BE10" s="23">
        <v>0</v>
      </c>
      <c r="BF10" s="23">
        <v>1.346822</v>
      </c>
      <c r="BG10" s="23">
        <v>1.346822</v>
      </c>
      <c r="BH10" s="23">
        <v>1</v>
      </c>
      <c r="BI10" s="23">
        <v>0.83056479999999999</v>
      </c>
      <c r="BJ10" s="23">
        <v>0.26591759999999998</v>
      </c>
      <c r="BK10" s="23">
        <v>0.73408249999999997</v>
      </c>
      <c r="BL10" s="23">
        <v>0.29117480000000001</v>
      </c>
      <c r="BM10" s="23">
        <v>3.9300000000000004E-15</v>
      </c>
      <c r="BN10" s="23">
        <v>1.2881359999999999</v>
      </c>
      <c r="BO10" s="23">
        <v>1.2881359999999999</v>
      </c>
      <c r="BP10" s="23">
        <v>1</v>
      </c>
      <c r="BQ10" s="23">
        <v>0.44890160000000001</v>
      </c>
      <c r="BR10" s="23">
        <v>0.32280340000000002</v>
      </c>
      <c r="BS10" s="23">
        <v>0.67719660000000004</v>
      </c>
      <c r="BT10" s="23">
        <v>0.55497370000000001</v>
      </c>
      <c r="BU10" s="23">
        <v>0.69686530000000002</v>
      </c>
      <c r="BV10" s="23">
        <v>0.44306980000000001</v>
      </c>
      <c r="BW10" s="23">
        <v>1.235166</v>
      </c>
      <c r="BX10" s="23">
        <v>1.3340780000000001</v>
      </c>
      <c r="BY10" s="23">
        <v>1.0800799999999999</v>
      </c>
      <c r="BZ10" s="23">
        <v>0</v>
      </c>
      <c r="CA10" s="23">
        <v>0.65717630000000005</v>
      </c>
      <c r="CB10" s="23">
        <v>0.34282370000000001</v>
      </c>
      <c r="CC10" s="23">
        <v>0.33247520000000003</v>
      </c>
      <c r="CD10" s="23">
        <v>0.66752480000000003</v>
      </c>
      <c r="CE10" s="23">
        <v>1.9280219999999999</v>
      </c>
      <c r="CF10" s="23">
        <v>1.589191</v>
      </c>
      <c r="CG10" s="23">
        <v>1.323906</v>
      </c>
      <c r="CH10" s="23">
        <v>1.286348</v>
      </c>
      <c r="CI10" s="23">
        <v>1.133999</v>
      </c>
      <c r="CJ10" s="23">
        <v>1.0135259999999999</v>
      </c>
      <c r="CK10" s="23">
        <v>0.89376299999999997</v>
      </c>
      <c r="CL10" s="23">
        <v>0.93437809999999999</v>
      </c>
      <c r="CM10" s="23">
        <v>0.56350199999999995</v>
      </c>
      <c r="CN10" s="23">
        <v>0.60514999999999997</v>
      </c>
      <c r="CO10" s="23">
        <v>0.53786230000000002</v>
      </c>
      <c r="CP10" s="23">
        <v>3.2856499999999997E-2</v>
      </c>
      <c r="CQ10" s="23">
        <v>4.6989200000000002E-2</v>
      </c>
      <c r="CR10" s="23">
        <v>2.4910999999999999E-2</v>
      </c>
      <c r="CS10" s="23">
        <v>1.121224</v>
      </c>
      <c r="CT10" s="23">
        <v>1.203506</v>
      </c>
      <c r="CU10" s="23">
        <v>1.0561130000000001</v>
      </c>
      <c r="CV10" s="23">
        <v>0.93188159999999998</v>
      </c>
      <c r="CW10" s="23">
        <v>1.0689010000000001</v>
      </c>
      <c r="CX10" s="23">
        <v>1.095167</v>
      </c>
      <c r="CY10" s="23">
        <v>1.077893</v>
      </c>
    </row>
    <row r="11" spans="1:103" x14ac:dyDescent="0.3">
      <c r="A11" s="5">
        <v>1956</v>
      </c>
      <c r="B11" s="3">
        <v>168221</v>
      </c>
      <c r="C11" s="3">
        <v>449353</v>
      </c>
      <c r="D11" s="2">
        <v>1.44113</v>
      </c>
      <c r="E11" s="2">
        <v>1.24915</v>
      </c>
      <c r="F11" s="3">
        <v>271128</v>
      </c>
      <c r="G11" s="3">
        <v>77685</v>
      </c>
      <c r="H11" s="3">
        <v>71034</v>
      </c>
      <c r="I11" s="3">
        <v>27146</v>
      </c>
      <c r="J11" s="3">
        <v>2361</v>
      </c>
      <c r="K11" s="3">
        <v>439820.3</v>
      </c>
      <c r="L11" s="3">
        <v>179118</v>
      </c>
      <c r="M11" s="3">
        <v>260702.3</v>
      </c>
      <c r="N11" s="2">
        <v>1.27597</v>
      </c>
      <c r="O11" s="2">
        <v>1.1956100000000001</v>
      </c>
      <c r="P11" s="2">
        <v>1.33792</v>
      </c>
      <c r="Q11" s="3">
        <v>66152</v>
      </c>
      <c r="R11" s="3">
        <v>111503</v>
      </c>
      <c r="S11" s="3">
        <v>34729</v>
      </c>
      <c r="T11" s="3">
        <v>227436.3</v>
      </c>
      <c r="U11" s="3">
        <v>236725</v>
      </c>
      <c r="V11" s="3">
        <v>110789.3</v>
      </c>
      <c r="W11" s="3">
        <v>125935.7</v>
      </c>
      <c r="X11" s="2">
        <v>0.53673000000000004</v>
      </c>
      <c r="Y11" s="2">
        <v>1.4118999999999999</v>
      </c>
      <c r="Z11" s="2">
        <v>1.4807399999999999</v>
      </c>
      <c r="AA11" s="2">
        <v>1.363</v>
      </c>
      <c r="AB11" s="2">
        <v>1.43503</v>
      </c>
      <c r="AC11" s="2">
        <v>1.4920800000000001</v>
      </c>
      <c r="AD11" s="2">
        <v>1.4044000000000001</v>
      </c>
      <c r="AE11" s="2">
        <v>1.1731100000000001</v>
      </c>
      <c r="AF11" s="2">
        <v>1.1195999999999999</v>
      </c>
      <c r="AG11" s="2">
        <v>1.22733</v>
      </c>
      <c r="AH11" s="2">
        <v>0.61785000000000001</v>
      </c>
      <c r="AI11" s="2">
        <v>0.48060000000000003</v>
      </c>
      <c r="AJ11" s="3">
        <v>338939.3</v>
      </c>
      <c r="AK11" s="3">
        <v>156457</v>
      </c>
      <c r="AL11" s="3">
        <v>182482.3</v>
      </c>
      <c r="AM11" s="2">
        <v>1.38106</v>
      </c>
      <c r="AN11" s="2">
        <v>1.22339</v>
      </c>
      <c r="AO11" s="2">
        <v>1.2805299999999999</v>
      </c>
      <c r="AP11" s="2">
        <v>1.1524300000000001</v>
      </c>
      <c r="AQ11" s="2">
        <v>1.44773</v>
      </c>
      <c r="AR11" s="2">
        <v>1.3326100000000001</v>
      </c>
      <c r="AS11" s="3">
        <v>100881</v>
      </c>
      <c r="AT11" s="2">
        <v>1.7141599999999999</v>
      </c>
      <c r="AU11" s="2">
        <v>1.3570599999999999</v>
      </c>
      <c r="AV11" s="22"/>
      <c r="AW11" s="23">
        <v>0.65574290000000002</v>
      </c>
      <c r="AX11" s="23">
        <v>0.34425709999999998</v>
      </c>
      <c r="AY11" s="23">
        <v>0.3289763</v>
      </c>
      <c r="AZ11" s="23">
        <v>0.6710237</v>
      </c>
      <c r="BA11" s="23">
        <v>2.0148450000000002</v>
      </c>
      <c r="BB11" s="23">
        <v>0.62116159999999998</v>
      </c>
      <c r="BC11" s="23">
        <v>0.37883840000000002</v>
      </c>
      <c r="BD11" s="23">
        <v>0.64724230000000005</v>
      </c>
      <c r="BE11" s="23">
        <v>0</v>
      </c>
      <c r="BF11" s="23">
        <v>1.3551040000000001</v>
      </c>
      <c r="BG11" s="23">
        <v>1.3551040000000001</v>
      </c>
      <c r="BH11" s="23">
        <v>1</v>
      </c>
      <c r="BI11" s="23">
        <v>0.83056479999999999</v>
      </c>
      <c r="BJ11" s="23">
        <v>0.26852039999999999</v>
      </c>
      <c r="BK11" s="23">
        <v>0.73147960000000001</v>
      </c>
      <c r="BL11" s="23">
        <v>0.29117480000000001</v>
      </c>
      <c r="BM11" s="23">
        <v>3.9300000000000004E-15</v>
      </c>
      <c r="BN11" s="23">
        <v>1.3021419999999999</v>
      </c>
      <c r="BO11" s="23">
        <v>1.3021419999999999</v>
      </c>
      <c r="BP11" s="23">
        <v>1</v>
      </c>
      <c r="BQ11" s="23">
        <v>0.44890160000000001</v>
      </c>
      <c r="BR11" s="23">
        <v>0.3264049</v>
      </c>
      <c r="BS11" s="23">
        <v>0.6735951</v>
      </c>
      <c r="BT11" s="23">
        <v>0.55497370000000001</v>
      </c>
      <c r="BU11" s="23">
        <v>0.69686530000000002</v>
      </c>
      <c r="BV11" s="23">
        <v>0.44306980000000001</v>
      </c>
      <c r="BW11" s="23">
        <v>1.2502880000000001</v>
      </c>
      <c r="BX11" s="23">
        <v>1.346185</v>
      </c>
      <c r="BY11" s="23">
        <v>1.0766990000000001</v>
      </c>
      <c r="BZ11" s="23">
        <v>0</v>
      </c>
      <c r="CA11" s="23">
        <v>0.65527009999999997</v>
      </c>
      <c r="CB11" s="23">
        <v>0.34472989999999998</v>
      </c>
      <c r="CC11" s="23">
        <v>0.33239469999999999</v>
      </c>
      <c r="CD11" s="23">
        <v>0.66760520000000001</v>
      </c>
      <c r="CE11" s="23">
        <v>1.9954190000000001</v>
      </c>
      <c r="CF11" s="23">
        <v>1.6597900000000001</v>
      </c>
      <c r="CG11" s="23">
        <v>1.2983450000000001</v>
      </c>
      <c r="CH11" s="23">
        <v>1.318395</v>
      </c>
      <c r="CI11" s="23">
        <v>1.1190249999999999</v>
      </c>
      <c r="CJ11" s="23">
        <v>0.98589499999999997</v>
      </c>
      <c r="CK11" s="23">
        <v>0.88103070000000006</v>
      </c>
      <c r="CL11" s="23">
        <v>0.90149710000000005</v>
      </c>
      <c r="CM11" s="23">
        <v>0.56350199999999995</v>
      </c>
      <c r="CN11" s="23">
        <v>0.60514999999999997</v>
      </c>
      <c r="CO11" s="23">
        <v>0.53786230000000002</v>
      </c>
      <c r="CP11" s="23">
        <v>-1.7111399999999999E-2</v>
      </c>
      <c r="CQ11" s="23">
        <v>-3.1034300000000001E-2</v>
      </c>
      <c r="CR11" s="23">
        <v>-8.5736000000000007E-3</v>
      </c>
      <c r="CS11" s="23">
        <v>1.1022019999999999</v>
      </c>
      <c r="CT11" s="23">
        <v>1.1667289999999999</v>
      </c>
      <c r="CU11" s="23">
        <v>1.0470969999999999</v>
      </c>
      <c r="CV11" s="23">
        <v>0.91440650000000001</v>
      </c>
      <c r="CW11" s="23">
        <v>1.025533</v>
      </c>
      <c r="CX11" s="23">
        <v>1.079321</v>
      </c>
      <c r="CY11" s="23">
        <v>1.0363370000000001</v>
      </c>
    </row>
    <row r="12" spans="1:103" x14ac:dyDescent="0.3">
      <c r="A12" s="5">
        <v>1957</v>
      </c>
      <c r="B12" s="3">
        <v>171274</v>
      </c>
      <c r="C12" s="3">
        <v>474039</v>
      </c>
      <c r="D12" s="2">
        <v>1.4715400000000001</v>
      </c>
      <c r="E12" s="2">
        <v>1.29053</v>
      </c>
      <c r="F12" s="3">
        <v>286296</v>
      </c>
      <c r="G12" s="3">
        <v>76505</v>
      </c>
      <c r="H12" s="3">
        <v>76933</v>
      </c>
      <c r="I12" s="3">
        <v>30230</v>
      </c>
      <c r="J12" s="3">
        <v>4075</v>
      </c>
      <c r="K12" s="3">
        <v>463620.3</v>
      </c>
      <c r="L12" s="3">
        <v>185726.9</v>
      </c>
      <c r="M12" s="3">
        <v>277893.40000000002</v>
      </c>
      <c r="N12" s="2">
        <v>1.3188599999999999</v>
      </c>
      <c r="O12" s="2">
        <v>1.2357100000000001</v>
      </c>
      <c r="P12" s="2">
        <v>1.38297</v>
      </c>
      <c r="Q12" s="3">
        <v>69278</v>
      </c>
      <c r="R12" s="3">
        <v>114808</v>
      </c>
      <c r="S12" s="3">
        <v>36679</v>
      </c>
      <c r="T12" s="3">
        <v>242855.3</v>
      </c>
      <c r="U12" s="3">
        <v>253734.3</v>
      </c>
      <c r="V12" s="3">
        <v>117129.3</v>
      </c>
      <c r="W12" s="3">
        <v>136605</v>
      </c>
      <c r="X12" s="2">
        <v>0.54276000000000002</v>
      </c>
      <c r="Y12" s="2">
        <v>1.4398899999999999</v>
      </c>
      <c r="Z12" s="2">
        <v>1.4855499999999999</v>
      </c>
      <c r="AA12" s="2">
        <v>1.4055500000000001</v>
      </c>
      <c r="AB12" s="2">
        <v>1.49919</v>
      </c>
      <c r="AC12" s="2">
        <v>1.56315</v>
      </c>
      <c r="AD12" s="2">
        <v>1.46516</v>
      </c>
      <c r="AE12" s="2">
        <v>1.1725300000000001</v>
      </c>
      <c r="AF12" s="2">
        <v>1.1003400000000001</v>
      </c>
      <c r="AG12" s="2">
        <v>1.24481</v>
      </c>
      <c r="AH12" s="2">
        <v>0.62458999999999998</v>
      </c>
      <c r="AI12" s="2">
        <v>0.48731999999999998</v>
      </c>
      <c r="AJ12" s="3">
        <v>357663.3</v>
      </c>
      <c r="AK12" s="3">
        <v>161933</v>
      </c>
      <c r="AL12" s="3">
        <v>195730.3</v>
      </c>
      <c r="AM12" s="2">
        <v>1.4132100000000001</v>
      </c>
      <c r="AN12" s="2">
        <v>1.2628299999999999</v>
      </c>
      <c r="AO12" s="2">
        <v>1.3101799999999999</v>
      </c>
      <c r="AP12" s="2">
        <v>1.1669099999999999</v>
      </c>
      <c r="AQ12" s="2">
        <v>1.5002899999999999</v>
      </c>
      <c r="AR12" s="2">
        <v>1.38062</v>
      </c>
      <c r="AS12" s="3">
        <v>105957</v>
      </c>
      <c r="AT12" s="2">
        <v>1.7374700000000001</v>
      </c>
      <c r="AU12" s="2">
        <v>1.40622</v>
      </c>
      <c r="AV12" s="22"/>
      <c r="AW12" s="23">
        <v>0.65383119999999995</v>
      </c>
      <c r="AX12" s="23">
        <v>0.3461687</v>
      </c>
      <c r="AY12" s="23">
        <v>0.32099470000000002</v>
      </c>
      <c r="AZ12" s="23">
        <v>0.67900530000000003</v>
      </c>
      <c r="BA12" s="23">
        <v>2.0882520000000002</v>
      </c>
      <c r="BB12" s="23">
        <v>0.62113079999999998</v>
      </c>
      <c r="BC12" s="23">
        <v>0.37886920000000002</v>
      </c>
      <c r="BD12" s="23">
        <v>0.64724230000000005</v>
      </c>
      <c r="BE12" s="23">
        <v>0</v>
      </c>
      <c r="BF12" s="23">
        <v>1.3834919999999999</v>
      </c>
      <c r="BG12" s="23">
        <v>1.3834919999999999</v>
      </c>
      <c r="BH12" s="23">
        <v>1</v>
      </c>
      <c r="BI12" s="23">
        <v>0.83056479999999999</v>
      </c>
      <c r="BJ12" s="23">
        <v>0.26849460000000003</v>
      </c>
      <c r="BK12" s="23">
        <v>0.73150539999999997</v>
      </c>
      <c r="BL12" s="23">
        <v>0.29117480000000001</v>
      </c>
      <c r="BM12" s="23">
        <v>3.9300000000000004E-15</v>
      </c>
      <c r="BN12" s="23">
        <v>1.329359</v>
      </c>
      <c r="BO12" s="23">
        <v>1.329359</v>
      </c>
      <c r="BP12" s="23">
        <v>1</v>
      </c>
      <c r="BQ12" s="23">
        <v>0.44890160000000001</v>
      </c>
      <c r="BR12" s="23">
        <v>0.32589269999999998</v>
      </c>
      <c r="BS12" s="23">
        <v>0.67410729999999996</v>
      </c>
      <c r="BT12" s="23">
        <v>0.55497370000000001</v>
      </c>
      <c r="BU12" s="23">
        <v>0.69686530000000002</v>
      </c>
      <c r="BV12" s="23">
        <v>0.44306980000000001</v>
      </c>
      <c r="BW12" s="23">
        <v>1.2745409999999999</v>
      </c>
      <c r="BX12" s="23">
        <v>1.3753200000000001</v>
      </c>
      <c r="BY12" s="23">
        <v>1.07907</v>
      </c>
      <c r="BZ12" s="23">
        <v>0</v>
      </c>
      <c r="CA12" s="23">
        <v>0.65478709999999996</v>
      </c>
      <c r="CB12" s="23">
        <v>0.34521289999999999</v>
      </c>
      <c r="CC12" s="23">
        <v>0.32498549999999998</v>
      </c>
      <c r="CD12" s="23">
        <v>0.67501449999999996</v>
      </c>
      <c r="CE12" s="23">
        <v>2.0219</v>
      </c>
      <c r="CF12" s="23">
        <v>1.6958789999999999</v>
      </c>
      <c r="CG12" s="23">
        <v>1.2934490000000001</v>
      </c>
      <c r="CH12" s="23">
        <v>1.3619140000000001</v>
      </c>
      <c r="CI12" s="23">
        <v>1.1191709999999999</v>
      </c>
      <c r="CJ12" s="23">
        <v>0.98346920000000004</v>
      </c>
      <c r="CK12" s="23">
        <v>0.87874759999999996</v>
      </c>
      <c r="CL12" s="23">
        <v>0.89803390000000005</v>
      </c>
      <c r="CM12" s="23">
        <v>0.56350199999999995</v>
      </c>
      <c r="CN12" s="23">
        <v>0.60514999999999997</v>
      </c>
      <c r="CO12" s="23">
        <v>0.53786230000000002</v>
      </c>
      <c r="CP12" s="23">
        <v>8.206E-4</v>
      </c>
      <c r="CQ12" s="23">
        <v>-7.2896000000000002E-3</v>
      </c>
      <c r="CR12" s="23">
        <v>4.2824999999999998E-3</v>
      </c>
      <c r="CS12" s="23">
        <v>1.1031059999999999</v>
      </c>
      <c r="CT12" s="23">
        <v>1.158255</v>
      </c>
      <c r="CU12" s="23">
        <v>1.0515909999999999</v>
      </c>
      <c r="CV12" s="23">
        <v>0.91207830000000001</v>
      </c>
      <c r="CW12" s="23">
        <v>1.0199260000000001</v>
      </c>
      <c r="CX12" s="23">
        <v>1.0805659999999999</v>
      </c>
      <c r="CY12" s="23">
        <v>1.034581</v>
      </c>
    </row>
    <row r="13" spans="1:103" x14ac:dyDescent="0.3">
      <c r="A13" s="5">
        <v>1958</v>
      </c>
      <c r="B13" s="3">
        <v>174141</v>
      </c>
      <c r="C13" s="3">
        <v>481229</v>
      </c>
      <c r="D13" s="2">
        <v>1.46061</v>
      </c>
      <c r="E13" s="2">
        <v>1.31992</v>
      </c>
      <c r="F13" s="3">
        <v>295606</v>
      </c>
      <c r="G13" s="3">
        <v>70947</v>
      </c>
      <c r="H13" s="3">
        <v>81516</v>
      </c>
      <c r="I13" s="3">
        <v>32622</v>
      </c>
      <c r="J13" s="3">
        <v>538</v>
      </c>
      <c r="K13" s="3">
        <v>470428.9</v>
      </c>
      <c r="L13" s="3">
        <v>181038.2</v>
      </c>
      <c r="M13" s="3">
        <v>289390.7</v>
      </c>
      <c r="N13" s="2">
        <v>1.3479699999999999</v>
      </c>
      <c r="O13" s="2">
        <v>1.2577700000000001</v>
      </c>
      <c r="P13" s="2">
        <v>1.4172800000000001</v>
      </c>
      <c r="Q13" s="3">
        <v>66359</v>
      </c>
      <c r="R13" s="3">
        <v>112824</v>
      </c>
      <c r="S13" s="3">
        <v>37576</v>
      </c>
      <c r="T13" s="3">
        <v>253669.9</v>
      </c>
      <c r="U13" s="3">
        <v>259092.8</v>
      </c>
      <c r="V13" s="3">
        <v>114589.2</v>
      </c>
      <c r="W13" s="3">
        <v>144503.6</v>
      </c>
      <c r="X13" s="2">
        <v>0.54901999999999995</v>
      </c>
      <c r="Y13" s="2">
        <v>1.4294899999999999</v>
      </c>
      <c r="Z13" s="2">
        <v>1.42265</v>
      </c>
      <c r="AA13" s="2">
        <v>1.4282699999999999</v>
      </c>
      <c r="AB13" s="2">
        <v>1.55376</v>
      </c>
      <c r="AC13" s="2">
        <v>1.6031299999999999</v>
      </c>
      <c r="AD13" s="2">
        <v>1.5260400000000001</v>
      </c>
      <c r="AE13" s="2">
        <v>1.13188</v>
      </c>
      <c r="AF13" s="2">
        <v>1.0229699999999999</v>
      </c>
      <c r="AG13" s="2">
        <v>1.23952</v>
      </c>
      <c r="AH13" s="2">
        <v>0.63180000000000003</v>
      </c>
      <c r="AI13" s="2">
        <v>0.49546000000000001</v>
      </c>
      <c r="AJ13" s="3">
        <v>366493.9</v>
      </c>
      <c r="AK13" s="3">
        <v>159951</v>
      </c>
      <c r="AL13" s="3">
        <v>206542.9</v>
      </c>
      <c r="AM13" s="2">
        <v>1.4088099999999999</v>
      </c>
      <c r="AN13" s="2">
        <v>1.2984800000000001</v>
      </c>
      <c r="AO13" s="2">
        <v>1.2714000000000001</v>
      </c>
      <c r="AP13" s="2">
        <v>1.18818</v>
      </c>
      <c r="AQ13" s="2">
        <v>1.5343599999999999</v>
      </c>
      <c r="AR13" s="2">
        <v>1.42502</v>
      </c>
      <c r="AS13" s="3">
        <v>103935</v>
      </c>
      <c r="AT13" s="2">
        <v>1.6981599999999999</v>
      </c>
      <c r="AU13" s="2">
        <v>1.4113100000000001</v>
      </c>
      <c r="AV13" s="22"/>
      <c r="AW13" s="23">
        <v>0.63846639999999999</v>
      </c>
      <c r="AX13" s="23">
        <v>0.36153360000000001</v>
      </c>
      <c r="AY13" s="23">
        <v>0.30784689999999998</v>
      </c>
      <c r="AZ13" s="23">
        <v>0.69215309999999997</v>
      </c>
      <c r="BA13" s="23">
        <v>2.104581</v>
      </c>
      <c r="BB13" s="23">
        <v>0.61952790000000002</v>
      </c>
      <c r="BC13" s="23">
        <v>0.38047209999999998</v>
      </c>
      <c r="BD13" s="23">
        <v>0.64724230000000005</v>
      </c>
      <c r="BE13" s="23">
        <v>0</v>
      </c>
      <c r="BF13" s="23">
        <v>1.3891910000000001</v>
      </c>
      <c r="BG13" s="23">
        <v>1.3891910000000001</v>
      </c>
      <c r="BH13" s="23">
        <v>1</v>
      </c>
      <c r="BI13" s="23">
        <v>0.83056479999999999</v>
      </c>
      <c r="BJ13" s="23">
        <v>0.26716010000000001</v>
      </c>
      <c r="BK13" s="23">
        <v>0.73283989999999999</v>
      </c>
      <c r="BL13" s="23">
        <v>0.29117480000000001</v>
      </c>
      <c r="BM13" s="23">
        <v>3.9300000000000004E-15</v>
      </c>
      <c r="BN13" s="23">
        <v>1.331636</v>
      </c>
      <c r="BO13" s="23">
        <v>1.331636</v>
      </c>
      <c r="BP13" s="23">
        <v>1</v>
      </c>
      <c r="BQ13" s="23">
        <v>0.44890160000000001</v>
      </c>
      <c r="BR13" s="23">
        <v>0.32737300000000003</v>
      </c>
      <c r="BS13" s="23">
        <v>0.67262699999999997</v>
      </c>
      <c r="BT13" s="23">
        <v>0.55497370000000001</v>
      </c>
      <c r="BU13" s="23">
        <v>0.69686530000000002</v>
      </c>
      <c r="BV13" s="23">
        <v>0.44306980000000001</v>
      </c>
      <c r="BW13" s="23">
        <v>1.288931</v>
      </c>
      <c r="BX13" s="23">
        <v>1.372147</v>
      </c>
      <c r="BY13" s="23">
        <v>1.064562</v>
      </c>
      <c r="BZ13" s="23">
        <v>0</v>
      </c>
      <c r="CA13" s="23">
        <v>0.64614879999999997</v>
      </c>
      <c r="CB13" s="23">
        <v>0.35385119999999998</v>
      </c>
      <c r="CC13" s="23">
        <v>0.3144208</v>
      </c>
      <c r="CD13" s="23">
        <v>0.68557920000000006</v>
      </c>
      <c r="CE13" s="23">
        <v>1.902739</v>
      </c>
      <c r="CF13" s="23">
        <v>1.6953020000000001</v>
      </c>
      <c r="CG13" s="23">
        <v>1.248802</v>
      </c>
      <c r="CH13" s="23">
        <v>1.3881300000000001</v>
      </c>
      <c r="CI13" s="23">
        <v>1.126814</v>
      </c>
      <c r="CJ13" s="23">
        <v>1.0042260000000001</v>
      </c>
      <c r="CK13" s="23">
        <v>0.89120869999999996</v>
      </c>
      <c r="CL13" s="23">
        <v>0.92005029999999999</v>
      </c>
      <c r="CM13" s="23">
        <v>0.56350199999999995</v>
      </c>
      <c r="CN13" s="23">
        <v>0.60514999999999997</v>
      </c>
      <c r="CO13" s="23">
        <v>0.53786230000000002</v>
      </c>
      <c r="CP13" s="23">
        <v>-2.9727999999999998E-3</v>
      </c>
      <c r="CQ13" s="23">
        <v>-1.3199600000000001E-2</v>
      </c>
      <c r="CR13" s="23">
        <v>6.6830000000000004E-4</v>
      </c>
      <c r="CS13" s="23">
        <v>1.0998319999999999</v>
      </c>
      <c r="CT13" s="23">
        <v>1.1430670000000001</v>
      </c>
      <c r="CU13" s="23">
        <v>1.0522940000000001</v>
      </c>
      <c r="CV13" s="23">
        <v>0.92724070000000003</v>
      </c>
      <c r="CW13" s="23">
        <v>1.0285979999999999</v>
      </c>
      <c r="CX13" s="23">
        <v>1.077202</v>
      </c>
      <c r="CY13" s="23">
        <v>1.0504709999999999</v>
      </c>
    </row>
    <row r="14" spans="1:103" x14ac:dyDescent="0.3">
      <c r="A14" s="5">
        <v>1959</v>
      </c>
      <c r="B14" s="3">
        <v>177130</v>
      </c>
      <c r="C14" s="3">
        <v>521654</v>
      </c>
      <c r="D14" s="2">
        <v>1.5619099999999999</v>
      </c>
      <c r="E14" s="2">
        <v>1.3380000000000001</v>
      </c>
      <c r="F14" s="3">
        <v>317130</v>
      </c>
      <c r="G14" s="3">
        <v>85669</v>
      </c>
      <c r="H14" s="3">
        <v>82594</v>
      </c>
      <c r="I14" s="3">
        <v>35863</v>
      </c>
      <c r="J14" s="3">
        <v>397</v>
      </c>
      <c r="K14" s="3">
        <v>509054.2</v>
      </c>
      <c r="L14" s="3">
        <v>196703.9</v>
      </c>
      <c r="M14" s="3">
        <v>312350.3</v>
      </c>
      <c r="N14" s="2">
        <v>1.3710500000000001</v>
      </c>
      <c r="O14" s="2">
        <v>1.27481</v>
      </c>
      <c r="P14" s="2">
        <v>1.4447399999999999</v>
      </c>
      <c r="Q14" s="3">
        <v>74932</v>
      </c>
      <c r="R14" s="3">
        <v>119779</v>
      </c>
      <c r="S14" s="3">
        <v>42683</v>
      </c>
      <c r="T14" s="3">
        <v>271660.2</v>
      </c>
      <c r="U14" s="3">
        <v>275964.79999999999</v>
      </c>
      <c r="V14" s="3">
        <v>124572.5</v>
      </c>
      <c r="W14" s="3">
        <v>151392.29999999999</v>
      </c>
      <c r="X14" s="2">
        <v>0.54644000000000004</v>
      </c>
      <c r="Y14" s="2">
        <v>1.5208200000000001</v>
      </c>
      <c r="Z14" s="2">
        <v>1.5250999999999999</v>
      </c>
      <c r="AA14" s="2">
        <v>1.5122800000000001</v>
      </c>
      <c r="AB14" s="2">
        <v>1.6125400000000001</v>
      </c>
      <c r="AC14" s="2">
        <v>1.6388100000000001</v>
      </c>
      <c r="AD14" s="2">
        <v>1.59466</v>
      </c>
      <c r="AE14" s="2">
        <v>1.17106</v>
      </c>
      <c r="AF14" s="2">
        <v>1.0798399999999999</v>
      </c>
      <c r="AG14" s="2">
        <v>1.26179</v>
      </c>
      <c r="AH14" s="2">
        <v>0.63312999999999997</v>
      </c>
      <c r="AI14" s="2">
        <v>0.49201</v>
      </c>
      <c r="AJ14" s="3">
        <v>391439.2</v>
      </c>
      <c r="AK14" s="3">
        <v>172131</v>
      </c>
      <c r="AL14" s="3">
        <v>219308.2</v>
      </c>
      <c r="AM14" s="2">
        <v>1.4865900000000001</v>
      </c>
      <c r="AN14" s="2">
        <v>1.3177700000000001</v>
      </c>
      <c r="AO14" s="2">
        <v>1.3312999999999999</v>
      </c>
      <c r="AP14" s="2">
        <v>1.2243599999999999</v>
      </c>
      <c r="AQ14" s="2">
        <v>1.5996699999999999</v>
      </c>
      <c r="AR14" s="2">
        <v>1.4551400000000001</v>
      </c>
      <c r="AS14" s="3">
        <v>117615</v>
      </c>
      <c r="AT14" s="2">
        <v>1.90337</v>
      </c>
      <c r="AU14" s="2">
        <v>1.42489</v>
      </c>
      <c r="AV14" s="22"/>
      <c r="AW14" s="23">
        <v>0.63709559999999998</v>
      </c>
      <c r="AX14" s="23">
        <v>0.36290440000000002</v>
      </c>
      <c r="AY14" s="23">
        <v>0.3059964</v>
      </c>
      <c r="AZ14" s="23">
        <v>0.69400360000000005</v>
      </c>
      <c r="BA14" s="23">
        <v>2.2098979999999999</v>
      </c>
      <c r="BB14" s="23">
        <v>0.61817390000000005</v>
      </c>
      <c r="BC14" s="23">
        <v>0.3818261</v>
      </c>
      <c r="BD14" s="23">
        <v>0.64724230000000005</v>
      </c>
      <c r="BE14" s="23">
        <v>0</v>
      </c>
      <c r="BF14" s="23">
        <v>1.4607209999999999</v>
      </c>
      <c r="BG14" s="23">
        <v>1.4607220000000001</v>
      </c>
      <c r="BH14" s="23">
        <v>1</v>
      </c>
      <c r="BI14" s="23">
        <v>0.83056479999999999</v>
      </c>
      <c r="BJ14" s="23">
        <v>0.26603769999999999</v>
      </c>
      <c r="BK14" s="23">
        <v>0.73396229999999996</v>
      </c>
      <c r="BL14" s="23">
        <v>0.29117480000000001</v>
      </c>
      <c r="BM14" s="23">
        <v>3.9300000000000004E-15</v>
      </c>
      <c r="BN14" s="23">
        <v>1.397375</v>
      </c>
      <c r="BO14" s="23">
        <v>1.397375</v>
      </c>
      <c r="BP14" s="23">
        <v>0.99999990000000005</v>
      </c>
      <c r="BQ14" s="23">
        <v>0.44890160000000001</v>
      </c>
      <c r="BR14" s="23">
        <v>0.3207467</v>
      </c>
      <c r="BS14" s="23">
        <v>0.67925329999999995</v>
      </c>
      <c r="BT14" s="23">
        <v>0.55497370000000001</v>
      </c>
      <c r="BU14" s="23">
        <v>0.69686530000000002</v>
      </c>
      <c r="BV14" s="23">
        <v>0.44306980000000001</v>
      </c>
      <c r="BW14" s="23">
        <v>1.330775</v>
      </c>
      <c r="BX14" s="23">
        <v>1.4518470000000001</v>
      </c>
      <c r="BY14" s="23">
        <v>1.0909789999999999</v>
      </c>
      <c r="BZ14" s="23">
        <v>0</v>
      </c>
      <c r="CA14" s="23">
        <v>0.63778100000000004</v>
      </c>
      <c r="CB14" s="23">
        <v>0.36221900000000001</v>
      </c>
      <c r="CC14" s="23">
        <v>0.30692170000000002</v>
      </c>
      <c r="CD14" s="23">
        <v>0.69307830000000004</v>
      </c>
      <c r="CE14" s="23">
        <v>2.1198480000000002</v>
      </c>
      <c r="CF14" s="23">
        <v>1.889108</v>
      </c>
      <c r="CG14" s="23">
        <v>1.3080700000000001</v>
      </c>
      <c r="CH14" s="23">
        <v>1.4583189999999999</v>
      </c>
      <c r="CI14" s="23">
        <v>1.1333009999999999</v>
      </c>
      <c r="CJ14" s="23">
        <v>1.0139309999999999</v>
      </c>
      <c r="CK14" s="23">
        <v>0.89467079999999999</v>
      </c>
      <c r="CL14" s="23">
        <v>0.92482200000000003</v>
      </c>
      <c r="CM14" s="23">
        <v>0.56350199999999995</v>
      </c>
      <c r="CN14" s="23">
        <v>0.60514999999999997</v>
      </c>
      <c r="CO14" s="23">
        <v>0.53786230000000002</v>
      </c>
      <c r="CP14" s="23">
        <v>2.6550299999999999E-2</v>
      </c>
      <c r="CQ14" s="23">
        <v>2.94442E-2</v>
      </c>
      <c r="CR14" s="23">
        <v>2.79218E-2</v>
      </c>
      <c r="CS14" s="23">
        <v>1.129424</v>
      </c>
      <c r="CT14" s="23">
        <v>1.177224</v>
      </c>
      <c r="CU14" s="23">
        <v>1.08209</v>
      </c>
      <c r="CV14" s="23">
        <v>0.93278030000000001</v>
      </c>
      <c r="CW14" s="23">
        <v>1.0650599999999999</v>
      </c>
      <c r="CX14" s="23">
        <v>1.108166</v>
      </c>
      <c r="CY14" s="23">
        <v>1.0867519999999999</v>
      </c>
    </row>
    <row r="15" spans="1:103" x14ac:dyDescent="0.3">
      <c r="A15" s="5">
        <v>1960</v>
      </c>
      <c r="B15" s="3">
        <v>180760</v>
      </c>
      <c r="C15" s="3">
        <v>542382</v>
      </c>
      <c r="D15" s="2">
        <v>1.60206</v>
      </c>
      <c r="E15" s="2">
        <v>1.3563000000000001</v>
      </c>
      <c r="F15" s="3">
        <v>331180</v>
      </c>
      <c r="G15" s="3">
        <v>86477</v>
      </c>
      <c r="H15" s="3">
        <v>84517</v>
      </c>
      <c r="I15" s="3">
        <v>36003</v>
      </c>
      <c r="J15" s="3">
        <v>4204</v>
      </c>
      <c r="K15" s="3">
        <v>529152.19999999995</v>
      </c>
      <c r="L15" s="3">
        <v>200917.2</v>
      </c>
      <c r="M15" s="3">
        <v>328235</v>
      </c>
      <c r="N15" s="2">
        <v>1.3880999999999999</v>
      </c>
      <c r="O15" s="2">
        <v>1.27525</v>
      </c>
      <c r="P15" s="2">
        <v>1.47366</v>
      </c>
      <c r="Q15" s="3">
        <v>75851</v>
      </c>
      <c r="R15" s="3">
        <v>123039</v>
      </c>
      <c r="S15" s="3">
        <v>43397</v>
      </c>
      <c r="T15" s="3">
        <v>286865.2</v>
      </c>
      <c r="U15" s="3">
        <v>297053.8</v>
      </c>
      <c r="V15" s="3">
        <v>130059.3</v>
      </c>
      <c r="W15" s="3">
        <v>166994.5</v>
      </c>
      <c r="X15" s="2">
        <v>0.55174000000000001</v>
      </c>
      <c r="Y15" s="2">
        <v>1.5614399999999999</v>
      </c>
      <c r="Z15" s="2">
        <v>1.5572299999999999</v>
      </c>
      <c r="AA15" s="2">
        <v>1.5580000000000001</v>
      </c>
      <c r="AB15" s="2">
        <v>1.6789499999999999</v>
      </c>
      <c r="AC15" s="2">
        <v>1.6794899999999999</v>
      </c>
      <c r="AD15" s="2">
        <v>1.67204</v>
      </c>
      <c r="AE15" s="2">
        <v>1.18679</v>
      </c>
      <c r="AF15" s="2">
        <v>1.0785899999999999</v>
      </c>
      <c r="AG15" s="2">
        <v>1.2936799999999999</v>
      </c>
      <c r="AH15" s="2">
        <v>0.64031000000000005</v>
      </c>
      <c r="AI15" s="2">
        <v>0.49673</v>
      </c>
      <c r="AJ15" s="3">
        <v>409904.2</v>
      </c>
      <c r="AK15" s="3">
        <v>179681</v>
      </c>
      <c r="AL15" s="3">
        <v>230223.2</v>
      </c>
      <c r="AM15" s="2">
        <v>1.5314399999999999</v>
      </c>
      <c r="AN15" s="2">
        <v>1.3396399999999999</v>
      </c>
      <c r="AO15" s="2">
        <v>1.3859699999999999</v>
      </c>
      <c r="AP15" s="2">
        <v>1.2277400000000001</v>
      </c>
      <c r="AQ15" s="2">
        <v>1.6401300000000001</v>
      </c>
      <c r="AR15" s="2">
        <v>1.4900100000000001</v>
      </c>
      <c r="AS15" s="3">
        <v>119248</v>
      </c>
      <c r="AT15" s="2">
        <v>1.92296</v>
      </c>
      <c r="AU15" s="2">
        <v>1.4299500000000001</v>
      </c>
      <c r="AV15" s="22"/>
      <c r="AW15" s="23">
        <v>0.63607780000000003</v>
      </c>
      <c r="AX15" s="23">
        <v>0.36392219999999997</v>
      </c>
      <c r="AY15" s="23">
        <v>0.30016530000000002</v>
      </c>
      <c r="AZ15" s="23">
        <v>0.69983470000000003</v>
      </c>
      <c r="BA15" s="23">
        <v>2.267671</v>
      </c>
      <c r="BB15" s="23">
        <v>0.61356679999999997</v>
      </c>
      <c r="BC15" s="23">
        <v>0.38643319999999998</v>
      </c>
      <c r="BD15" s="23">
        <v>0.64724230000000005</v>
      </c>
      <c r="BE15" s="23">
        <v>0</v>
      </c>
      <c r="BF15" s="23">
        <v>1.5177020000000001</v>
      </c>
      <c r="BG15" s="23">
        <v>1.5177020000000001</v>
      </c>
      <c r="BH15" s="23">
        <v>1</v>
      </c>
      <c r="BI15" s="23">
        <v>0.83056479999999999</v>
      </c>
      <c r="BJ15" s="23">
        <v>0.2622524</v>
      </c>
      <c r="BK15" s="23">
        <v>0.73774759999999995</v>
      </c>
      <c r="BL15" s="23">
        <v>0.29117480000000001</v>
      </c>
      <c r="BM15" s="23">
        <v>3.9300000000000004E-15</v>
      </c>
      <c r="BN15" s="23">
        <v>1.4419729999999999</v>
      </c>
      <c r="BO15" s="23">
        <v>1.4419729999999999</v>
      </c>
      <c r="BP15" s="23">
        <v>1</v>
      </c>
      <c r="BQ15" s="23">
        <v>0.44890160000000001</v>
      </c>
      <c r="BR15" s="23">
        <v>0.31537359999999998</v>
      </c>
      <c r="BS15" s="23">
        <v>0.68462650000000003</v>
      </c>
      <c r="BT15" s="23">
        <v>0.55497370000000001</v>
      </c>
      <c r="BU15" s="23">
        <v>0.69686530000000002</v>
      </c>
      <c r="BV15" s="23">
        <v>0.44306980000000001</v>
      </c>
      <c r="BW15" s="23">
        <v>1.3697319999999999</v>
      </c>
      <c r="BX15" s="23">
        <v>1.5022869999999999</v>
      </c>
      <c r="BY15" s="23">
        <v>1.0967739999999999</v>
      </c>
      <c r="BZ15" s="23">
        <v>0</v>
      </c>
      <c r="CA15" s="23">
        <v>0.63658669999999995</v>
      </c>
      <c r="CB15" s="23">
        <v>0.36341329999999999</v>
      </c>
      <c r="CC15" s="23">
        <v>0.30308089999999999</v>
      </c>
      <c r="CD15" s="23">
        <v>0.69691910000000001</v>
      </c>
      <c r="CE15" s="23">
        <v>2.1451060000000002</v>
      </c>
      <c r="CF15" s="23">
        <v>1.883014</v>
      </c>
      <c r="CG15" s="23">
        <v>1.343207</v>
      </c>
      <c r="CH15" s="23">
        <v>1.50972</v>
      </c>
      <c r="CI15" s="23">
        <v>1.1555880000000001</v>
      </c>
      <c r="CJ15" s="23">
        <v>1.0305679999999999</v>
      </c>
      <c r="CK15" s="23">
        <v>0.89181239999999995</v>
      </c>
      <c r="CL15" s="23">
        <v>0.93684120000000004</v>
      </c>
      <c r="CM15" s="23">
        <v>0.56350199999999995</v>
      </c>
      <c r="CN15" s="23">
        <v>0.60514999999999997</v>
      </c>
      <c r="CO15" s="23">
        <v>0.53786230000000002</v>
      </c>
      <c r="CP15" s="23">
        <v>1.2237999999999999E-3</v>
      </c>
      <c r="CQ15" s="23">
        <v>1.0795300000000001E-2</v>
      </c>
      <c r="CR15" s="23">
        <v>-4.9630000000000004E-3</v>
      </c>
      <c r="CS15" s="23">
        <v>1.1308069999999999</v>
      </c>
      <c r="CT15" s="23">
        <v>1.190002</v>
      </c>
      <c r="CU15" s="23">
        <v>1.0767329999999999</v>
      </c>
      <c r="CV15" s="23">
        <v>0.93640400000000001</v>
      </c>
      <c r="CW15" s="23">
        <v>1.074451</v>
      </c>
      <c r="CX15" s="23">
        <v>1.1074250000000001</v>
      </c>
      <c r="CY15" s="23">
        <v>1.0977159999999999</v>
      </c>
    </row>
    <row r="16" spans="1:103" x14ac:dyDescent="0.3">
      <c r="A16" s="5">
        <v>1961</v>
      </c>
      <c r="B16" s="3">
        <v>183742</v>
      </c>
      <c r="C16" s="3">
        <v>562209</v>
      </c>
      <c r="D16" s="2">
        <v>1.64317</v>
      </c>
      <c r="E16" s="2">
        <v>1.3707</v>
      </c>
      <c r="F16" s="3">
        <v>341475</v>
      </c>
      <c r="G16" s="3">
        <v>86584</v>
      </c>
      <c r="H16" s="3">
        <v>89340</v>
      </c>
      <c r="I16" s="3">
        <v>39897</v>
      </c>
      <c r="J16" s="3">
        <v>4913</v>
      </c>
      <c r="K16" s="3">
        <v>548911.5</v>
      </c>
      <c r="L16" s="3">
        <v>203742.1</v>
      </c>
      <c r="M16" s="3">
        <v>345169.4</v>
      </c>
      <c r="N16" s="2">
        <v>1.40506</v>
      </c>
      <c r="O16" s="2">
        <v>1.2805899999999999</v>
      </c>
      <c r="P16" s="2">
        <v>1.49882</v>
      </c>
      <c r="Q16" s="3">
        <v>77702</v>
      </c>
      <c r="R16" s="3">
        <v>123904</v>
      </c>
      <c r="S16" s="3">
        <v>45805</v>
      </c>
      <c r="T16" s="3">
        <v>301500.5</v>
      </c>
      <c r="U16" s="3">
        <v>301880.8</v>
      </c>
      <c r="V16" s="3">
        <v>129954.7</v>
      </c>
      <c r="W16" s="3">
        <v>171926.1</v>
      </c>
      <c r="X16" s="2">
        <v>0.55567</v>
      </c>
      <c r="Y16" s="2">
        <v>1.6002000000000001</v>
      </c>
      <c r="Z16" s="2">
        <v>1.57253</v>
      </c>
      <c r="AA16" s="2">
        <v>1.6108800000000001</v>
      </c>
      <c r="AB16" s="2">
        <v>1.74553</v>
      </c>
      <c r="AC16" s="2">
        <v>1.7218100000000001</v>
      </c>
      <c r="AD16" s="2">
        <v>1.7488999999999999</v>
      </c>
      <c r="AE16" s="2">
        <v>1.1874800000000001</v>
      </c>
      <c r="AF16" s="2">
        <v>1.0630200000000001</v>
      </c>
      <c r="AG16" s="2">
        <v>1.30955</v>
      </c>
      <c r="AH16" s="2">
        <v>0.64258000000000004</v>
      </c>
      <c r="AI16" s="2">
        <v>0.50343000000000004</v>
      </c>
      <c r="AJ16" s="3">
        <v>425404.5</v>
      </c>
      <c r="AK16" s="3">
        <v>181987</v>
      </c>
      <c r="AL16" s="3">
        <v>243417.5</v>
      </c>
      <c r="AM16" s="2">
        <v>1.5665500000000001</v>
      </c>
      <c r="AN16" s="2">
        <v>1.3577999999999999</v>
      </c>
      <c r="AO16" s="2">
        <v>1.3954599999999999</v>
      </c>
      <c r="AP16" s="2">
        <v>1.23384</v>
      </c>
      <c r="AQ16" s="2">
        <v>1.7001500000000001</v>
      </c>
      <c r="AR16" s="2">
        <v>1.5183</v>
      </c>
      <c r="AS16" s="3">
        <v>123507</v>
      </c>
      <c r="AT16" s="2">
        <v>1.9911000000000001</v>
      </c>
      <c r="AU16" s="2">
        <v>1.4303399999999999</v>
      </c>
      <c r="AV16" s="22"/>
      <c r="AW16" s="23">
        <v>0.62913030000000003</v>
      </c>
      <c r="AX16" s="23">
        <v>0.37086970000000002</v>
      </c>
      <c r="AY16" s="23">
        <v>0.29126160000000001</v>
      </c>
      <c r="AZ16" s="23">
        <v>0.70873839999999999</v>
      </c>
      <c r="BA16" s="23">
        <v>2.3152270000000001</v>
      </c>
      <c r="BB16" s="23">
        <v>0.61054030000000004</v>
      </c>
      <c r="BC16" s="23">
        <v>0.38945970000000002</v>
      </c>
      <c r="BD16" s="23">
        <v>0.64724230000000005</v>
      </c>
      <c r="BE16" s="23">
        <v>0</v>
      </c>
      <c r="BF16" s="23">
        <v>1.560783</v>
      </c>
      <c r="BG16" s="23">
        <v>1.560783</v>
      </c>
      <c r="BH16" s="23">
        <v>1</v>
      </c>
      <c r="BI16" s="23">
        <v>0.83056479999999999</v>
      </c>
      <c r="BJ16" s="23">
        <v>0.25979380000000002</v>
      </c>
      <c r="BK16" s="23">
        <v>0.74020620000000004</v>
      </c>
      <c r="BL16" s="23">
        <v>0.29117480000000001</v>
      </c>
      <c r="BM16" s="23">
        <v>3.9300000000000004E-15</v>
      </c>
      <c r="BN16" s="23">
        <v>1.4762850000000001</v>
      </c>
      <c r="BO16" s="23">
        <v>1.4762850000000001</v>
      </c>
      <c r="BP16" s="23">
        <v>1</v>
      </c>
      <c r="BQ16" s="23">
        <v>0.44890160000000001</v>
      </c>
      <c r="BR16" s="23">
        <v>0.31192160000000002</v>
      </c>
      <c r="BS16" s="23">
        <v>0.68807839999999998</v>
      </c>
      <c r="BT16" s="23">
        <v>0.55497370000000001</v>
      </c>
      <c r="BU16" s="23">
        <v>0.69686530000000002</v>
      </c>
      <c r="BV16" s="23">
        <v>0.44306980000000001</v>
      </c>
      <c r="BW16" s="23">
        <v>1.400101</v>
      </c>
      <c r="BX16" s="23">
        <v>1.540654</v>
      </c>
      <c r="BY16" s="23">
        <v>1.1003879999999999</v>
      </c>
      <c r="BZ16" s="23">
        <v>0</v>
      </c>
      <c r="CA16" s="23">
        <v>0.6326041</v>
      </c>
      <c r="CB16" s="23">
        <v>0.367396</v>
      </c>
      <c r="CC16" s="23">
        <v>0.29571340000000002</v>
      </c>
      <c r="CD16" s="23">
        <v>0.70428659999999998</v>
      </c>
      <c r="CE16" s="23">
        <v>2.1882830000000002</v>
      </c>
      <c r="CF16" s="23">
        <v>1.954137</v>
      </c>
      <c r="CG16" s="23">
        <v>1.347005</v>
      </c>
      <c r="CH16" s="23">
        <v>1.560109</v>
      </c>
      <c r="CI16" s="23">
        <v>1.170412</v>
      </c>
      <c r="CJ16" s="23">
        <v>1.0478769999999999</v>
      </c>
      <c r="CK16" s="23">
        <v>0.89530639999999995</v>
      </c>
      <c r="CL16" s="23">
        <v>0.94928310000000005</v>
      </c>
      <c r="CM16" s="23">
        <v>0.56350199999999995</v>
      </c>
      <c r="CN16" s="23">
        <v>0.60514999999999997</v>
      </c>
      <c r="CO16" s="23">
        <v>0.53786230000000002</v>
      </c>
      <c r="CP16" s="23">
        <v>7.2148999999999998E-3</v>
      </c>
      <c r="CQ16" s="23">
        <v>7.1132000000000001E-3</v>
      </c>
      <c r="CR16" s="23">
        <v>6.8887999999999996E-3</v>
      </c>
      <c r="CS16" s="23">
        <v>1.138995</v>
      </c>
      <c r="CT16" s="23">
        <v>1.1984969999999999</v>
      </c>
      <c r="CU16" s="23">
        <v>1.084176</v>
      </c>
      <c r="CV16" s="23">
        <v>0.94448520000000002</v>
      </c>
      <c r="CW16" s="23">
        <v>1.091367</v>
      </c>
      <c r="CX16" s="23">
        <v>1.115148</v>
      </c>
      <c r="CY16" s="23">
        <v>1.1188689999999999</v>
      </c>
    </row>
    <row r="17" spans="1:103" x14ac:dyDescent="0.3">
      <c r="A17" s="5">
        <v>1962</v>
      </c>
      <c r="B17" s="3">
        <v>186590</v>
      </c>
      <c r="C17" s="3">
        <v>603922</v>
      </c>
      <c r="D17" s="2">
        <v>1.74383</v>
      </c>
      <c r="E17" s="2">
        <v>1.38741</v>
      </c>
      <c r="F17" s="3">
        <v>362557</v>
      </c>
      <c r="G17" s="3">
        <v>96977</v>
      </c>
      <c r="H17" s="3">
        <v>97690</v>
      </c>
      <c r="I17" s="3">
        <v>42597</v>
      </c>
      <c r="J17" s="3">
        <v>4101</v>
      </c>
      <c r="K17" s="3">
        <v>590282.80000000005</v>
      </c>
      <c r="L17" s="3">
        <v>220577.9</v>
      </c>
      <c r="M17" s="3">
        <v>369704.9</v>
      </c>
      <c r="N17" s="2">
        <v>1.4207000000000001</v>
      </c>
      <c r="O17" s="2">
        <v>1.28468</v>
      </c>
      <c r="P17" s="2">
        <v>1.5226</v>
      </c>
      <c r="Q17" s="3">
        <v>84653</v>
      </c>
      <c r="R17" s="3">
        <v>133590</v>
      </c>
      <c r="S17" s="3">
        <v>48820</v>
      </c>
      <c r="T17" s="3">
        <v>323219.8</v>
      </c>
      <c r="U17" s="3">
        <v>314614.2</v>
      </c>
      <c r="V17" s="3">
        <v>138979.1</v>
      </c>
      <c r="W17" s="3">
        <v>175635.1</v>
      </c>
      <c r="X17" s="2">
        <v>0.54147999999999996</v>
      </c>
      <c r="Y17" s="2">
        <v>1.70187</v>
      </c>
      <c r="Z17" s="2">
        <v>1.69706</v>
      </c>
      <c r="AA17" s="2">
        <v>1.6984399999999999</v>
      </c>
      <c r="AB17" s="2">
        <v>1.82185</v>
      </c>
      <c r="AC17" s="2">
        <v>1.7723199999999999</v>
      </c>
      <c r="AD17" s="2">
        <v>1.83612</v>
      </c>
      <c r="AE17" s="2">
        <v>1.22129</v>
      </c>
      <c r="AF17" s="2">
        <v>1.10392</v>
      </c>
      <c r="AG17" s="2">
        <v>1.3367800000000001</v>
      </c>
      <c r="AH17" s="2">
        <v>0.63395000000000001</v>
      </c>
      <c r="AI17" s="2">
        <v>0.48658000000000001</v>
      </c>
      <c r="AJ17" s="3">
        <v>456809.8</v>
      </c>
      <c r="AK17" s="3">
        <v>194114</v>
      </c>
      <c r="AL17" s="3">
        <v>262695.8</v>
      </c>
      <c r="AM17" s="2">
        <v>1.6563600000000001</v>
      </c>
      <c r="AN17" s="2">
        <v>1.3771</v>
      </c>
      <c r="AO17" s="2">
        <v>1.4553199999999999</v>
      </c>
      <c r="AP17" s="2">
        <v>1.2602100000000001</v>
      </c>
      <c r="AQ17" s="2">
        <v>1.7958000000000001</v>
      </c>
      <c r="AR17" s="2">
        <v>1.54915</v>
      </c>
      <c r="AS17" s="3">
        <v>133473</v>
      </c>
      <c r="AT17" s="2">
        <v>2.1410100000000001</v>
      </c>
      <c r="AU17" s="2">
        <v>1.43753</v>
      </c>
      <c r="AV17" s="22"/>
      <c r="AW17" s="23">
        <v>0.63423309999999999</v>
      </c>
      <c r="AX17" s="23">
        <v>0.36576690000000001</v>
      </c>
      <c r="AY17" s="23">
        <v>0.29244120000000001</v>
      </c>
      <c r="AZ17" s="23">
        <v>0.70755880000000004</v>
      </c>
      <c r="BA17" s="23">
        <v>2.4482010000000001</v>
      </c>
      <c r="BB17" s="23">
        <v>0.60755150000000002</v>
      </c>
      <c r="BC17" s="23">
        <v>0.39244849999999998</v>
      </c>
      <c r="BD17" s="23">
        <v>0.64724230000000005</v>
      </c>
      <c r="BE17" s="23">
        <v>0</v>
      </c>
      <c r="BF17" s="23">
        <v>1.6624950000000001</v>
      </c>
      <c r="BG17" s="23">
        <v>1.6624950000000001</v>
      </c>
      <c r="BH17" s="23">
        <v>1</v>
      </c>
      <c r="BI17" s="23">
        <v>0.83056479999999999</v>
      </c>
      <c r="BJ17" s="23">
        <v>0.25738729999999999</v>
      </c>
      <c r="BK17" s="23">
        <v>0.74261270000000001</v>
      </c>
      <c r="BL17" s="23">
        <v>0.29117480000000001</v>
      </c>
      <c r="BM17" s="23">
        <v>3.9300000000000004E-15</v>
      </c>
      <c r="BN17" s="23">
        <v>1.5655870000000001</v>
      </c>
      <c r="BO17" s="23">
        <v>1.565588</v>
      </c>
      <c r="BP17" s="23">
        <v>1</v>
      </c>
      <c r="BQ17" s="23">
        <v>0.44890160000000001</v>
      </c>
      <c r="BR17" s="23">
        <v>0.30239899999999997</v>
      </c>
      <c r="BS17" s="23">
        <v>0.69760100000000003</v>
      </c>
      <c r="BT17" s="23">
        <v>0.55497370000000001</v>
      </c>
      <c r="BU17" s="23">
        <v>0.69686530000000002</v>
      </c>
      <c r="BV17" s="23">
        <v>0.44306980000000001</v>
      </c>
      <c r="BW17" s="23">
        <v>1.4529240000000001</v>
      </c>
      <c r="BX17" s="23">
        <v>1.6510940000000001</v>
      </c>
      <c r="BY17" s="23">
        <v>1.1363939999999999</v>
      </c>
      <c r="BZ17" s="23">
        <v>0</v>
      </c>
      <c r="CA17" s="23">
        <v>0.63168170000000001</v>
      </c>
      <c r="CB17" s="23">
        <v>0.36831829999999999</v>
      </c>
      <c r="CC17" s="23">
        <v>0.29185139999999998</v>
      </c>
      <c r="CD17" s="23">
        <v>0.70814860000000002</v>
      </c>
      <c r="CE17" s="23">
        <v>2.376452</v>
      </c>
      <c r="CF17" s="23">
        <v>2.0502370000000001</v>
      </c>
      <c r="CG17" s="23">
        <v>1.4476830000000001</v>
      </c>
      <c r="CH17" s="23">
        <v>1.6463760000000001</v>
      </c>
      <c r="CI17" s="23">
        <v>1.185195</v>
      </c>
      <c r="CJ17" s="23">
        <v>1.059177</v>
      </c>
      <c r="CK17" s="23">
        <v>0.89367319999999995</v>
      </c>
      <c r="CL17" s="23">
        <v>0.95796689999999995</v>
      </c>
      <c r="CM17" s="23">
        <v>0.56350199999999995</v>
      </c>
      <c r="CN17" s="23">
        <v>0.60514999999999997</v>
      </c>
      <c r="CO17" s="23">
        <v>0.53786230000000002</v>
      </c>
      <c r="CP17" s="23">
        <v>2.7099399999999999E-2</v>
      </c>
      <c r="CQ17" s="23">
        <v>4.2309600000000003E-2</v>
      </c>
      <c r="CR17" s="23">
        <v>2.0086900000000001E-2</v>
      </c>
      <c r="CS17" s="23">
        <v>1.170283</v>
      </c>
      <c r="CT17" s="23">
        <v>1.2502930000000001</v>
      </c>
      <c r="CU17" s="23">
        <v>1.106174</v>
      </c>
      <c r="CV17" s="23">
        <v>0.94713099999999995</v>
      </c>
      <c r="CW17" s="23">
        <v>1.1321570000000001</v>
      </c>
      <c r="CX17" s="23">
        <v>1.14459</v>
      </c>
      <c r="CY17" s="23">
        <v>1.156582</v>
      </c>
    </row>
    <row r="18" spans="1:103" x14ac:dyDescent="0.3">
      <c r="A18" s="5">
        <v>1963</v>
      </c>
      <c r="B18" s="3">
        <v>189300</v>
      </c>
      <c r="C18" s="3">
        <v>637450</v>
      </c>
      <c r="D18" s="2">
        <v>1.81975</v>
      </c>
      <c r="E18" s="2">
        <v>1.40334</v>
      </c>
      <c r="F18" s="3">
        <v>382035</v>
      </c>
      <c r="G18" s="3">
        <v>103284</v>
      </c>
      <c r="H18" s="3">
        <v>102755</v>
      </c>
      <c r="I18" s="3">
        <v>44438</v>
      </c>
      <c r="J18" s="3">
        <v>4939</v>
      </c>
      <c r="K18" s="3">
        <v>622498.4</v>
      </c>
      <c r="L18" s="3">
        <v>231575</v>
      </c>
      <c r="M18" s="3">
        <v>390923.4</v>
      </c>
      <c r="N18" s="2">
        <v>1.4325699999999999</v>
      </c>
      <c r="O18" s="2">
        <v>1.28267</v>
      </c>
      <c r="P18" s="2">
        <v>1.54437</v>
      </c>
      <c r="Q18" s="3">
        <v>89937</v>
      </c>
      <c r="R18" s="3">
        <v>139413</v>
      </c>
      <c r="S18" s="3">
        <v>52164</v>
      </c>
      <c r="T18" s="3">
        <v>340984.4</v>
      </c>
      <c r="U18" s="3">
        <v>337196.3</v>
      </c>
      <c r="V18" s="3">
        <v>147642.20000000001</v>
      </c>
      <c r="W18" s="3">
        <v>189554.1</v>
      </c>
      <c r="X18" s="2">
        <v>0.53734000000000004</v>
      </c>
      <c r="Y18" s="2">
        <v>1.7798799999999999</v>
      </c>
      <c r="Z18" s="2">
        <v>1.7844500000000001</v>
      </c>
      <c r="AA18" s="2">
        <v>1.7706</v>
      </c>
      <c r="AB18" s="2">
        <v>1.9064700000000001</v>
      </c>
      <c r="AC18" s="2">
        <v>1.8388199999999999</v>
      </c>
      <c r="AD18" s="2">
        <v>1.92832</v>
      </c>
      <c r="AE18" s="2">
        <v>1.23628</v>
      </c>
      <c r="AF18" s="2">
        <v>1.1186700000000001</v>
      </c>
      <c r="AG18" s="2">
        <v>1.3520399999999999</v>
      </c>
      <c r="AH18" s="2">
        <v>0.63380999999999998</v>
      </c>
      <c r="AI18" s="2">
        <v>0.47998000000000002</v>
      </c>
      <c r="AJ18" s="3">
        <v>480397.4</v>
      </c>
      <c r="AK18" s="3">
        <v>203086</v>
      </c>
      <c r="AL18" s="3">
        <v>277311.40000000002</v>
      </c>
      <c r="AM18" s="2">
        <v>1.71932</v>
      </c>
      <c r="AN18" s="2">
        <v>1.39689</v>
      </c>
      <c r="AO18" s="2">
        <v>1.51972</v>
      </c>
      <c r="AP18" s="2">
        <v>1.26414</v>
      </c>
      <c r="AQ18" s="2">
        <v>1.8605700000000001</v>
      </c>
      <c r="AR18" s="2">
        <v>1.58036</v>
      </c>
      <c r="AS18" s="3">
        <v>142101</v>
      </c>
      <c r="AT18" s="2">
        <v>2.27616</v>
      </c>
      <c r="AU18" s="2">
        <v>1.4395800000000001</v>
      </c>
      <c r="AV18" s="22"/>
      <c r="AW18" s="23">
        <v>0.63290900000000005</v>
      </c>
      <c r="AX18" s="23">
        <v>0.367091</v>
      </c>
      <c r="AY18" s="23">
        <v>0.2902035</v>
      </c>
      <c r="AZ18" s="23">
        <v>0.70979650000000005</v>
      </c>
      <c r="BA18" s="23">
        <v>2.537757</v>
      </c>
      <c r="BB18" s="23">
        <v>0.60378690000000002</v>
      </c>
      <c r="BC18" s="23">
        <v>0.39621309999999998</v>
      </c>
      <c r="BD18" s="23">
        <v>0.64724230000000005</v>
      </c>
      <c r="BE18" s="23">
        <v>0</v>
      </c>
      <c r="BF18" s="23">
        <v>1.7402200000000001</v>
      </c>
      <c r="BG18" s="23">
        <v>1.7402200000000001</v>
      </c>
      <c r="BH18" s="23">
        <v>1</v>
      </c>
      <c r="BI18" s="23">
        <v>0.83056479999999999</v>
      </c>
      <c r="BJ18" s="23">
        <v>0.254386</v>
      </c>
      <c r="BK18" s="23">
        <v>0.74561409999999995</v>
      </c>
      <c r="BL18" s="23">
        <v>0.29117480000000001</v>
      </c>
      <c r="BM18" s="23">
        <v>3.9300000000000004E-15</v>
      </c>
      <c r="BN18" s="23">
        <v>1.6297710000000001</v>
      </c>
      <c r="BO18" s="23">
        <v>1.629772</v>
      </c>
      <c r="BP18" s="23">
        <v>1</v>
      </c>
      <c r="BQ18" s="23">
        <v>0.44890160000000001</v>
      </c>
      <c r="BR18" s="23">
        <v>0.29551080000000002</v>
      </c>
      <c r="BS18" s="23">
        <v>0.70448920000000004</v>
      </c>
      <c r="BT18" s="23">
        <v>0.55497370000000001</v>
      </c>
      <c r="BU18" s="23">
        <v>0.69686530000000002</v>
      </c>
      <c r="BV18" s="23">
        <v>0.44306980000000001</v>
      </c>
      <c r="BW18" s="23">
        <v>1.495476</v>
      </c>
      <c r="BX18" s="23">
        <v>1.7287680000000001</v>
      </c>
      <c r="BY18" s="23">
        <v>1.1559980000000001</v>
      </c>
      <c r="BZ18" s="23">
        <v>0</v>
      </c>
      <c r="CA18" s="23">
        <v>0.63357110000000005</v>
      </c>
      <c r="CB18" s="23">
        <v>0.3664289</v>
      </c>
      <c r="CC18" s="23">
        <v>0.29132239999999998</v>
      </c>
      <c r="CD18" s="23">
        <v>0.70867760000000002</v>
      </c>
      <c r="CE18" s="23">
        <v>2.5287350000000002</v>
      </c>
      <c r="CF18" s="23">
        <v>2.1597810000000002</v>
      </c>
      <c r="CG18" s="23">
        <v>1.5131460000000001</v>
      </c>
      <c r="CH18" s="23">
        <v>1.7123710000000001</v>
      </c>
      <c r="CI18" s="23">
        <v>1.2040249999999999</v>
      </c>
      <c r="CJ18" s="23">
        <v>1.0727949999999999</v>
      </c>
      <c r="CK18" s="23">
        <v>0.89100690000000005</v>
      </c>
      <c r="CL18" s="23">
        <v>0.9703484</v>
      </c>
      <c r="CM18" s="23">
        <v>0.56350199999999995</v>
      </c>
      <c r="CN18" s="23">
        <v>0.60514999999999997</v>
      </c>
      <c r="CO18" s="23">
        <v>0.53786230000000002</v>
      </c>
      <c r="CP18" s="23">
        <v>1.8125100000000002E-2</v>
      </c>
      <c r="CQ18" s="23">
        <v>2.666E-2</v>
      </c>
      <c r="CR18" s="23">
        <v>1.3824100000000001E-2</v>
      </c>
      <c r="CS18" s="23">
        <v>1.1916880000000001</v>
      </c>
      <c r="CT18" s="23">
        <v>1.2840739999999999</v>
      </c>
      <c r="CU18" s="23">
        <v>1.1215710000000001</v>
      </c>
      <c r="CV18" s="23">
        <v>0.94977509999999998</v>
      </c>
      <c r="CW18" s="23">
        <v>1.1602790000000001</v>
      </c>
      <c r="CX18" s="23">
        <v>1.1644810000000001</v>
      </c>
      <c r="CY18" s="23">
        <v>1.1858880000000001</v>
      </c>
    </row>
    <row r="19" spans="1:103" x14ac:dyDescent="0.3">
      <c r="A19" s="5">
        <v>1964</v>
      </c>
      <c r="B19" s="3">
        <v>191927</v>
      </c>
      <c r="C19" s="3">
        <v>684460</v>
      </c>
      <c r="D19" s="2">
        <v>1.9246399999999999</v>
      </c>
      <c r="E19" s="2">
        <v>1.4247099999999999</v>
      </c>
      <c r="F19" s="3">
        <v>410632</v>
      </c>
      <c r="G19" s="3">
        <v>112150</v>
      </c>
      <c r="H19" s="3">
        <v>108372</v>
      </c>
      <c r="I19" s="3">
        <v>46392</v>
      </c>
      <c r="J19" s="3">
        <v>6914</v>
      </c>
      <c r="K19" s="3">
        <v>668361.9</v>
      </c>
      <c r="L19" s="3">
        <v>246757</v>
      </c>
      <c r="M19" s="3">
        <v>421604.9</v>
      </c>
      <c r="N19" s="2">
        <v>1.4539299999999999</v>
      </c>
      <c r="O19" s="2">
        <v>1.2876799999999999</v>
      </c>
      <c r="P19" s="2">
        <v>1.5774999999999999</v>
      </c>
      <c r="Q19" s="3">
        <v>97439</v>
      </c>
      <c r="R19" s="3">
        <v>146749</v>
      </c>
      <c r="S19" s="3">
        <v>56282</v>
      </c>
      <c r="T19" s="3">
        <v>367891.9</v>
      </c>
      <c r="U19" s="3">
        <v>365229.3</v>
      </c>
      <c r="V19" s="3">
        <v>157930.6</v>
      </c>
      <c r="W19" s="3">
        <v>207298.7</v>
      </c>
      <c r="X19" s="2">
        <v>0.54407000000000005</v>
      </c>
      <c r="Y19" s="2">
        <v>1.88293</v>
      </c>
      <c r="Z19" s="2">
        <v>1.8940399999999999</v>
      </c>
      <c r="AA19" s="2">
        <v>1.8694599999999999</v>
      </c>
      <c r="AB19" s="2">
        <v>1.9979</v>
      </c>
      <c r="AC19" s="2">
        <v>1.91442</v>
      </c>
      <c r="AD19" s="2">
        <v>2.0263100000000001</v>
      </c>
      <c r="AE19" s="2">
        <v>1.2631699999999999</v>
      </c>
      <c r="AF19" s="2">
        <v>1.1389100000000001</v>
      </c>
      <c r="AG19" s="2">
        <v>1.38527</v>
      </c>
      <c r="AH19" s="2">
        <v>0.63878999999999997</v>
      </c>
      <c r="AI19" s="2">
        <v>0.48829</v>
      </c>
      <c r="AJ19" s="3">
        <v>514640.9</v>
      </c>
      <c r="AK19" s="3">
        <v>217640</v>
      </c>
      <c r="AL19" s="3">
        <v>297000.90000000002</v>
      </c>
      <c r="AM19" s="2">
        <v>1.8106199999999999</v>
      </c>
      <c r="AN19" s="2">
        <v>1.4212199999999999</v>
      </c>
      <c r="AO19" s="2">
        <v>1.6231899999999999</v>
      </c>
      <c r="AP19" s="2">
        <v>1.2685599999999999</v>
      </c>
      <c r="AQ19" s="2">
        <v>1.94645</v>
      </c>
      <c r="AR19" s="2">
        <v>1.6181300000000001</v>
      </c>
      <c r="AS19" s="3">
        <v>153721</v>
      </c>
      <c r="AT19" s="2">
        <v>2.4435199999999999</v>
      </c>
      <c r="AU19" s="2">
        <v>1.4506399999999999</v>
      </c>
      <c r="AV19" s="22"/>
      <c r="AW19" s="23">
        <v>0.63386920000000002</v>
      </c>
      <c r="AX19" s="23">
        <v>0.36613089999999998</v>
      </c>
      <c r="AY19" s="23">
        <v>0.28514840000000002</v>
      </c>
      <c r="AZ19" s="23">
        <v>0.71485160000000003</v>
      </c>
      <c r="BA19" s="23">
        <v>2.681441</v>
      </c>
      <c r="BB19" s="23">
        <v>0.59963460000000002</v>
      </c>
      <c r="BC19" s="23">
        <v>0.40036539999999998</v>
      </c>
      <c r="BD19" s="23">
        <v>0.64724230000000005</v>
      </c>
      <c r="BE19" s="23">
        <v>0</v>
      </c>
      <c r="BF19" s="23">
        <v>1.844244</v>
      </c>
      <c r="BG19" s="23">
        <v>1.844244</v>
      </c>
      <c r="BH19" s="23">
        <v>1</v>
      </c>
      <c r="BI19" s="23">
        <v>0.83056479999999999</v>
      </c>
      <c r="BJ19" s="23">
        <v>0.2511137</v>
      </c>
      <c r="BK19" s="23">
        <v>0.7488863</v>
      </c>
      <c r="BL19" s="23">
        <v>0.29117480000000001</v>
      </c>
      <c r="BM19" s="23">
        <v>3.9300000000000004E-15</v>
      </c>
      <c r="BN19" s="23">
        <v>1.7167809999999999</v>
      </c>
      <c r="BO19" s="23">
        <v>1.7167809999999999</v>
      </c>
      <c r="BP19" s="23">
        <v>1</v>
      </c>
      <c r="BQ19" s="23">
        <v>0.44890160000000001</v>
      </c>
      <c r="BR19" s="23">
        <v>0.28653060000000002</v>
      </c>
      <c r="BS19" s="23">
        <v>0.71346940000000003</v>
      </c>
      <c r="BT19" s="23">
        <v>0.55497370000000001</v>
      </c>
      <c r="BU19" s="23">
        <v>0.69686530000000002</v>
      </c>
      <c r="BV19" s="23">
        <v>0.44306980000000001</v>
      </c>
      <c r="BW19" s="23">
        <v>1.5473490000000001</v>
      </c>
      <c r="BX19" s="23">
        <v>1.8362179999999999</v>
      </c>
      <c r="BY19" s="23">
        <v>1.1866859999999999</v>
      </c>
      <c r="BZ19" s="23">
        <v>0</v>
      </c>
      <c r="CA19" s="23">
        <v>0.63338910000000004</v>
      </c>
      <c r="CB19" s="23">
        <v>0.36661090000000002</v>
      </c>
      <c r="CC19" s="23">
        <v>0.28767589999999998</v>
      </c>
      <c r="CD19" s="23">
        <v>0.71232410000000002</v>
      </c>
      <c r="CE19" s="23">
        <v>2.7290100000000002</v>
      </c>
      <c r="CF19" s="23">
        <v>2.2813460000000001</v>
      </c>
      <c r="CG19" s="23">
        <v>1.586573</v>
      </c>
      <c r="CH19" s="23">
        <v>1.8087</v>
      </c>
      <c r="CI19" s="23">
        <v>1.225068</v>
      </c>
      <c r="CJ19" s="23">
        <v>1.0874550000000001</v>
      </c>
      <c r="CK19" s="23">
        <v>0.88766869999999998</v>
      </c>
      <c r="CL19" s="23">
        <v>0.97972119999999996</v>
      </c>
      <c r="CM19" s="23">
        <v>0.56350199999999995</v>
      </c>
      <c r="CN19" s="23">
        <v>0.60514999999999997</v>
      </c>
      <c r="CO19" s="23">
        <v>0.53786230000000002</v>
      </c>
      <c r="CP19" s="23">
        <v>2.37138E-2</v>
      </c>
      <c r="CQ19" s="23">
        <v>3.1911099999999998E-2</v>
      </c>
      <c r="CR19" s="23">
        <v>1.90162E-2</v>
      </c>
      <c r="CS19" s="23">
        <v>1.220286</v>
      </c>
      <c r="CT19" s="23">
        <v>1.3257110000000001</v>
      </c>
      <c r="CU19" s="23">
        <v>1.1431039999999999</v>
      </c>
      <c r="CV19" s="23">
        <v>0.95224620000000004</v>
      </c>
      <c r="CW19" s="23">
        <v>1.1950590000000001</v>
      </c>
      <c r="CX19" s="23">
        <v>1.190866</v>
      </c>
      <c r="CY19" s="23">
        <v>1.223061</v>
      </c>
    </row>
    <row r="20" spans="1:103" x14ac:dyDescent="0.3">
      <c r="A20" s="5">
        <v>1965</v>
      </c>
      <c r="B20" s="3">
        <v>194347</v>
      </c>
      <c r="C20" s="3">
        <v>742289</v>
      </c>
      <c r="D20" s="2">
        <v>2.0496500000000002</v>
      </c>
      <c r="E20" s="2">
        <v>1.4508399999999999</v>
      </c>
      <c r="F20" s="3">
        <v>442973</v>
      </c>
      <c r="G20" s="3">
        <v>129645</v>
      </c>
      <c r="H20" s="3">
        <v>116190</v>
      </c>
      <c r="I20" s="3">
        <v>47863</v>
      </c>
      <c r="J20" s="3">
        <v>5618</v>
      </c>
      <c r="K20" s="3">
        <v>726085.1</v>
      </c>
      <c r="L20" s="3">
        <v>271949</v>
      </c>
      <c r="M20" s="3">
        <v>454136.1</v>
      </c>
      <c r="N20" s="2">
        <v>1.48525</v>
      </c>
      <c r="O20" s="2">
        <v>1.31179</v>
      </c>
      <c r="P20" s="2">
        <v>1.6141099999999999</v>
      </c>
      <c r="Q20" s="3">
        <v>107033</v>
      </c>
      <c r="R20" s="3">
        <v>161808</v>
      </c>
      <c r="S20" s="3">
        <v>61228</v>
      </c>
      <c r="T20" s="3">
        <v>396016.1</v>
      </c>
      <c r="U20" s="3">
        <v>390363.7</v>
      </c>
      <c r="V20" s="3">
        <v>170224.2</v>
      </c>
      <c r="W20" s="3">
        <v>220139.5</v>
      </c>
      <c r="X20" s="2">
        <v>0.54203999999999997</v>
      </c>
      <c r="Y20" s="2">
        <v>2.0024299999999999</v>
      </c>
      <c r="Z20" s="2">
        <v>2.0490499999999998</v>
      </c>
      <c r="AA20" s="2">
        <v>1.96804</v>
      </c>
      <c r="AB20" s="2">
        <v>2.1085199999999999</v>
      </c>
      <c r="AC20" s="2">
        <v>2.0143599999999999</v>
      </c>
      <c r="AD20" s="2">
        <v>2.1412200000000001</v>
      </c>
      <c r="AE20" s="2">
        <v>1.3098399999999999</v>
      </c>
      <c r="AF20" s="2">
        <v>1.19459</v>
      </c>
      <c r="AG20" s="2">
        <v>1.42388</v>
      </c>
      <c r="AH20" s="2">
        <v>0.63297999999999999</v>
      </c>
      <c r="AI20" s="2">
        <v>0.48821999999999999</v>
      </c>
      <c r="AJ20" s="3">
        <v>557824.1</v>
      </c>
      <c r="AK20" s="3">
        <v>237743</v>
      </c>
      <c r="AL20" s="3">
        <v>320081.09999999998</v>
      </c>
      <c r="AM20" s="2">
        <v>1.92126</v>
      </c>
      <c r="AN20" s="2">
        <v>1.44862</v>
      </c>
      <c r="AO20" s="2">
        <v>1.7159500000000001</v>
      </c>
      <c r="AP20" s="2">
        <v>1.30799</v>
      </c>
      <c r="AQ20" s="2">
        <v>2.04515</v>
      </c>
      <c r="AR20" s="2">
        <v>1.6561300000000001</v>
      </c>
      <c r="AS20" s="3">
        <v>168261</v>
      </c>
      <c r="AT20" s="2">
        <v>2.63476</v>
      </c>
      <c r="AU20" s="2">
        <v>1.4725999999999999</v>
      </c>
      <c r="AV20" s="22"/>
      <c r="AW20" s="23">
        <v>0.63611289999999998</v>
      </c>
      <c r="AX20" s="23">
        <v>0.36388700000000002</v>
      </c>
      <c r="AY20" s="23">
        <v>0.29006989999999999</v>
      </c>
      <c r="AZ20" s="23">
        <v>0.70993010000000001</v>
      </c>
      <c r="BA20" s="23">
        <v>2.8702480000000001</v>
      </c>
      <c r="BB20" s="23">
        <v>0.59857850000000001</v>
      </c>
      <c r="BC20" s="23">
        <v>0.40142149999999999</v>
      </c>
      <c r="BD20" s="23">
        <v>0.64724230000000005</v>
      </c>
      <c r="BE20" s="23">
        <v>0</v>
      </c>
      <c r="BF20" s="23">
        <v>1.958807</v>
      </c>
      <c r="BG20" s="23">
        <v>1.958807</v>
      </c>
      <c r="BH20" s="23">
        <v>1</v>
      </c>
      <c r="BI20" s="23">
        <v>0.83056479999999999</v>
      </c>
      <c r="BJ20" s="23">
        <v>0.2502877</v>
      </c>
      <c r="BK20" s="23">
        <v>0.7497123</v>
      </c>
      <c r="BL20" s="23">
        <v>0.29117480000000001</v>
      </c>
      <c r="BM20" s="23">
        <v>3.9300000000000004E-15</v>
      </c>
      <c r="BN20" s="23">
        <v>1.8206359999999999</v>
      </c>
      <c r="BO20" s="23">
        <v>1.8206359999999999</v>
      </c>
      <c r="BP20" s="23">
        <v>1</v>
      </c>
      <c r="BQ20" s="23">
        <v>0.44890160000000001</v>
      </c>
      <c r="BR20" s="23">
        <v>0.27859270000000003</v>
      </c>
      <c r="BS20" s="23">
        <v>0.72140729999999997</v>
      </c>
      <c r="BT20" s="23">
        <v>0.55497370000000001</v>
      </c>
      <c r="BU20" s="23">
        <v>0.69686530000000002</v>
      </c>
      <c r="BV20" s="23">
        <v>0.44306980000000001</v>
      </c>
      <c r="BW20" s="23">
        <v>1.600759</v>
      </c>
      <c r="BX20" s="23">
        <v>1.966793</v>
      </c>
      <c r="BY20" s="23">
        <v>1.2286630000000001</v>
      </c>
      <c r="BZ20" s="23">
        <v>0</v>
      </c>
      <c r="CA20" s="23">
        <v>0.63499099999999997</v>
      </c>
      <c r="CB20" s="23">
        <v>0.36500899999999997</v>
      </c>
      <c r="CC20" s="23">
        <v>0.28760910000000001</v>
      </c>
      <c r="CD20" s="23">
        <v>0.71239079999999999</v>
      </c>
      <c r="CE20" s="23">
        <v>2.9426320000000001</v>
      </c>
      <c r="CF20" s="23">
        <v>2.4255369999999998</v>
      </c>
      <c r="CG20" s="23">
        <v>1.7172400000000001</v>
      </c>
      <c r="CH20" s="23">
        <v>1.9028099999999999</v>
      </c>
      <c r="CI20" s="23">
        <v>1.230467</v>
      </c>
      <c r="CJ20" s="23">
        <v>1.096098</v>
      </c>
      <c r="CK20" s="23">
        <v>0.8907986</v>
      </c>
      <c r="CL20" s="23">
        <v>0.98371850000000005</v>
      </c>
      <c r="CM20" s="23">
        <v>0.56350199999999995</v>
      </c>
      <c r="CN20" s="23">
        <v>0.60514999999999997</v>
      </c>
      <c r="CO20" s="23">
        <v>0.53786230000000002</v>
      </c>
      <c r="CP20" s="23">
        <v>1.7564099999999999E-2</v>
      </c>
      <c r="CQ20" s="23">
        <v>2.9557E-2</v>
      </c>
      <c r="CR20" s="23">
        <v>1.18158E-2</v>
      </c>
      <c r="CS20" s="23">
        <v>1.241908</v>
      </c>
      <c r="CT20" s="23">
        <v>1.36548</v>
      </c>
      <c r="CU20" s="23">
        <v>1.15669</v>
      </c>
      <c r="CV20" s="23">
        <v>0.95713879999999996</v>
      </c>
      <c r="CW20" s="23">
        <v>1.228715</v>
      </c>
      <c r="CX20" s="23">
        <v>1.210588</v>
      </c>
      <c r="CY20" s="23">
        <v>1.2525770000000001</v>
      </c>
    </row>
    <row r="21" spans="1:103" x14ac:dyDescent="0.3">
      <c r="A21" s="5">
        <v>1966</v>
      </c>
      <c r="B21" s="3">
        <v>196599</v>
      </c>
      <c r="C21" s="3">
        <v>813414</v>
      </c>
      <c r="D21" s="2">
        <v>2.1848800000000002</v>
      </c>
      <c r="E21" s="2">
        <v>1.49146</v>
      </c>
      <c r="F21" s="3">
        <v>479919</v>
      </c>
      <c r="G21" s="3">
        <v>144188</v>
      </c>
      <c r="H21" s="3">
        <v>131877</v>
      </c>
      <c r="I21" s="3">
        <v>53567</v>
      </c>
      <c r="J21" s="3">
        <v>3863</v>
      </c>
      <c r="K21" s="3">
        <v>796105.9</v>
      </c>
      <c r="L21" s="3">
        <v>298803.59999999998</v>
      </c>
      <c r="M21" s="3">
        <v>497302.3</v>
      </c>
      <c r="N21" s="2">
        <v>1.53237</v>
      </c>
      <c r="O21" s="2">
        <v>1.35216</v>
      </c>
      <c r="P21" s="2">
        <v>1.6662399999999999</v>
      </c>
      <c r="Q21" s="3">
        <v>117734</v>
      </c>
      <c r="R21" s="3">
        <v>177834</v>
      </c>
      <c r="S21" s="3">
        <v>66385</v>
      </c>
      <c r="T21" s="3">
        <v>434152.9</v>
      </c>
      <c r="U21" s="3">
        <v>436812.79999999999</v>
      </c>
      <c r="V21" s="3">
        <v>189492.3</v>
      </c>
      <c r="W21" s="3">
        <v>247320.5</v>
      </c>
      <c r="X21" s="2">
        <v>0.54315999999999998</v>
      </c>
      <c r="Y21" s="2">
        <v>2.1280199999999998</v>
      </c>
      <c r="Z21" s="2">
        <v>2.1841699999999999</v>
      </c>
      <c r="AA21" s="2">
        <v>2.0876800000000002</v>
      </c>
      <c r="AB21" s="2">
        <v>2.2357200000000002</v>
      </c>
      <c r="AC21" s="2">
        <v>2.15848</v>
      </c>
      <c r="AD21" s="2">
        <v>2.2600099999999999</v>
      </c>
      <c r="AE21" s="2">
        <v>1.3658399999999999</v>
      </c>
      <c r="AF21" s="2">
        <v>1.25139</v>
      </c>
      <c r="AG21" s="2">
        <v>1.4795400000000001</v>
      </c>
      <c r="AH21" s="2">
        <v>0.63005999999999995</v>
      </c>
      <c r="AI21" s="2">
        <v>0.49103000000000002</v>
      </c>
      <c r="AJ21" s="3">
        <v>611986.9</v>
      </c>
      <c r="AK21" s="3">
        <v>260639</v>
      </c>
      <c r="AL21" s="3">
        <v>351347.9</v>
      </c>
      <c r="AM21" s="2">
        <v>2.0453700000000001</v>
      </c>
      <c r="AN21" s="2">
        <v>1.49173</v>
      </c>
      <c r="AO21" s="2">
        <v>1.8118099999999999</v>
      </c>
      <c r="AP21" s="2">
        <v>1.35707</v>
      </c>
      <c r="AQ21" s="2">
        <v>2.1677599999999999</v>
      </c>
      <c r="AR21" s="2">
        <v>1.7138100000000001</v>
      </c>
      <c r="AS21" s="3">
        <v>184119</v>
      </c>
      <c r="AT21" s="2">
        <v>2.82104</v>
      </c>
      <c r="AU21" s="2">
        <v>1.50498</v>
      </c>
      <c r="AV21" s="22"/>
      <c r="AW21" s="23">
        <v>0.63944509999999999</v>
      </c>
      <c r="AX21" s="23">
        <v>0.36055480000000001</v>
      </c>
      <c r="AY21" s="23">
        <v>0.29058469999999997</v>
      </c>
      <c r="AZ21" s="23">
        <v>0.70941529999999997</v>
      </c>
      <c r="BA21" s="23">
        <v>3.1128689999999999</v>
      </c>
      <c r="BB21" s="23">
        <v>0.59822549999999997</v>
      </c>
      <c r="BC21" s="23">
        <v>0.40177449999999998</v>
      </c>
      <c r="BD21" s="23">
        <v>0.64724230000000005</v>
      </c>
      <c r="BE21" s="23">
        <v>0</v>
      </c>
      <c r="BF21" s="23">
        <v>2.0836009999999998</v>
      </c>
      <c r="BG21" s="23">
        <v>2.0836009999999998</v>
      </c>
      <c r="BH21" s="23">
        <v>1</v>
      </c>
      <c r="BI21" s="23">
        <v>0.83056479999999999</v>
      </c>
      <c r="BJ21" s="23">
        <v>0.25001210000000001</v>
      </c>
      <c r="BK21" s="23">
        <v>0.74998779999999998</v>
      </c>
      <c r="BL21" s="23">
        <v>0.29117480000000001</v>
      </c>
      <c r="BM21" s="23">
        <v>3.9300000000000004E-15</v>
      </c>
      <c r="BN21" s="23">
        <v>1.9356370000000001</v>
      </c>
      <c r="BO21" s="23">
        <v>1.9356370000000001</v>
      </c>
      <c r="BP21" s="23">
        <v>0.99999990000000005</v>
      </c>
      <c r="BQ21" s="23">
        <v>0.44890160000000001</v>
      </c>
      <c r="BR21" s="23">
        <v>0.270787</v>
      </c>
      <c r="BS21" s="23">
        <v>0.729213</v>
      </c>
      <c r="BT21" s="23">
        <v>0.55497370000000001</v>
      </c>
      <c r="BU21" s="23">
        <v>0.69686530000000002</v>
      </c>
      <c r="BV21" s="23">
        <v>0.44306980000000001</v>
      </c>
      <c r="BW21" s="23">
        <v>1.65601</v>
      </c>
      <c r="BX21" s="23">
        <v>2.1128749999999998</v>
      </c>
      <c r="BY21" s="23">
        <v>1.275882</v>
      </c>
      <c r="BZ21" s="23">
        <v>0</v>
      </c>
      <c r="CA21" s="23">
        <v>0.63777910000000004</v>
      </c>
      <c r="CB21" s="23">
        <v>0.36222090000000001</v>
      </c>
      <c r="CC21" s="23">
        <v>0.29032730000000001</v>
      </c>
      <c r="CD21" s="23">
        <v>0.70967270000000005</v>
      </c>
      <c r="CE21" s="23">
        <v>3.14018</v>
      </c>
      <c r="CF21" s="23">
        <v>2.5475590000000001</v>
      </c>
      <c r="CG21" s="23">
        <v>1.830965</v>
      </c>
      <c r="CH21" s="23">
        <v>2.0207920000000001</v>
      </c>
      <c r="CI21" s="23">
        <v>1.2322759999999999</v>
      </c>
      <c r="CJ21" s="23">
        <v>1.1071500000000001</v>
      </c>
      <c r="CK21" s="23">
        <v>0.89845980000000003</v>
      </c>
      <c r="CL21" s="23">
        <v>0.99119869999999999</v>
      </c>
      <c r="CM21" s="23">
        <v>0.56350199999999995</v>
      </c>
      <c r="CN21" s="23">
        <v>0.60514999999999997</v>
      </c>
      <c r="CO21" s="23">
        <v>0.53786230000000002</v>
      </c>
      <c r="CP21" s="23">
        <v>1.16685E-2</v>
      </c>
      <c r="CQ21" s="23">
        <v>7.5186999999999997E-3</v>
      </c>
      <c r="CR21" s="23">
        <v>1.38434E-2</v>
      </c>
      <c r="CS21" s="23">
        <v>1.2564839999999999</v>
      </c>
      <c r="CT21" s="23">
        <v>1.375785</v>
      </c>
      <c r="CU21" s="23">
        <v>1.172814</v>
      </c>
      <c r="CV21" s="23">
        <v>0.96588430000000003</v>
      </c>
      <c r="CW21" s="23">
        <v>1.252391</v>
      </c>
      <c r="CX21" s="23">
        <v>1.2254560000000001</v>
      </c>
      <c r="CY21" s="23">
        <v>1.2793509999999999</v>
      </c>
    </row>
    <row r="22" spans="1:103" x14ac:dyDescent="0.3">
      <c r="A22" s="5">
        <v>1967</v>
      </c>
      <c r="B22" s="3">
        <v>198752</v>
      </c>
      <c r="C22" s="3">
        <v>859959</v>
      </c>
      <c r="D22" s="2">
        <v>2.2448299999999999</v>
      </c>
      <c r="E22" s="2">
        <v>1.5346900000000001</v>
      </c>
      <c r="F22" s="3">
        <v>506685</v>
      </c>
      <c r="G22" s="3">
        <v>142700</v>
      </c>
      <c r="H22" s="3">
        <v>149349</v>
      </c>
      <c r="I22" s="3">
        <v>57668</v>
      </c>
      <c r="J22" s="3">
        <v>3555</v>
      </c>
      <c r="K22" s="3">
        <v>841282.4</v>
      </c>
      <c r="L22" s="3">
        <v>306814.7</v>
      </c>
      <c r="M22" s="3">
        <v>534467.80000000005</v>
      </c>
      <c r="N22" s="2">
        <v>1.5742</v>
      </c>
      <c r="O22" s="2">
        <v>1.37097</v>
      </c>
      <c r="P22" s="2">
        <v>1.7249699999999999</v>
      </c>
      <c r="Q22" s="3">
        <v>121064</v>
      </c>
      <c r="R22" s="3">
        <v>181741</v>
      </c>
      <c r="S22" s="3">
        <v>69438</v>
      </c>
      <c r="T22" s="3">
        <v>469039.4</v>
      </c>
      <c r="U22" s="3">
        <v>470879.1</v>
      </c>
      <c r="V22" s="3">
        <v>198423.5</v>
      </c>
      <c r="W22" s="3">
        <v>272455.59999999998</v>
      </c>
      <c r="X22" s="2">
        <v>0.55420000000000003</v>
      </c>
      <c r="Y22" s="2">
        <v>2.1890200000000002</v>
      </c>
      <c r="Z22" s="2">
        <v>2.21197</v>
      </c>
      <c r="AA22" s="2">
        <v>2.1673100000000001</v>
      </c>
      <c r="AB22" s="2">
        <v>2.3753000000000002</v>
      </c>
      <c r="AC22" s="2">
        <v>2.3094899999999998</v>
      </c>
      <c r="AD22" s="2">
        <v>2.3938999999999999</v>
      </c>
      <c r="AE22" s="2">
        <v>1.38056</v>
      </c>
      <c r="AF22" s="2">
        <v>1.2463</v>
      </c>
      <c r="AG22" s="2">
        <v>1.5121</v>
      </c>
      <c r="AH22" s="2">
        <v>0.64044999999999996</v>
      </c>
      <c r="AI22" s="2">
        <v>0.50355000000000005</v>
      </c>
      <c r="AJ22" s="3">
        <v>650780.4</v>
      </c>
      <c r="AK22" s="3">
        <v>266009</v>
      </c>
      <c r="AL22" s="3">
        <v>384771.4</v>
      </c>
      <c r="AM22" s="2">
        <v>2.11246</v>
      </c>
      <c r="AN22" s="2">
        <v>1.53653</v>
      </c>
      <c r="AO22" s="2">
        <v>1.8378000000000001</v>
      </c>
      <c r="AP22" s="2">
        <v>1.3660099999999999</v>
      </c>
      <c r="AQ22" s="2">
        <v>2.29236</v>
      </c>
      <c r="AR22" s="2">
        <v>1.7755399999999999</v>
      </c>
      <c r="AS22" s="3">
        <v>190502</v>
      </c>
      <c r="AT22" s="2">
        <v>2.8466</v>
      </c>
      <c r="AU22" s="2">
        <v>1.5431699999999999</v>
      </c>
      <c r="AV22" s="22"/>
      <c r="AW22" s="23">
        <v>0.63549990000000001</v>
      </c>
      <c r="AX22" s="23">
        <v>0.36450009999999999</v>
      </c>
      <c r="AY22" s="23">
        <v>0.27926620000000002</v>
      </c>
      <c r="AZ22" s="23">
        <v>0.72073379999999998</v>
      </c>
      <c r="BA22" s="23">
        <v>3.2743340000000001</v>
      </c>
      <c r="BB22" s="23">
        <v>0.59320910000000004</v>
      </c>
      <c r="BC22" s="23">
        <v>0.40679090000000001</v>
      </c>
      <c r="BD22" s="23">
        <v>0.64724230000000005</v>
      </c>
      <c r="BE22" s="23">
        <v>0</v>
      </c>
      <c r="BF22" s="23">
        <v>2.1669659999999999</v>
      </c>
      <c r="BG22" s="23">
        <v>2.1669659999999999</v>
      </c>
      <c r="BH22" s="23">
        <v>1</v>
      </c>
      <c r="BI22" s="23">
        <v>0.83056479999999999</v>
      </c>
      <c r="BJ22" s="23">
        <v>0.24612690000000001</v>
      </c>
      <c r="BK22" s="23">
        <v>0.75387309999999996</v>
      </c>
      <c r="BL22" s="23">
        <v>0.29117480000000001</v>
      </c>
      <c r="BM22" s="23">
        <v>3.9300000000000004E-15</v>
      </c>
      <c r="BN22" s="23">
        <v>1.9985569999999999</v>
      </c>
      <c r="BO22" s="23">
        <v>1.9985569999999999</v>
      </c>
      <c r="BP22" s="23">
        <v>1</v>
      </c>
      <c r="BQ22" s="23">
        <v>0.44890160000000001</v>
      </c>
      <c r="BR22" s="23">
        <v>0.26453579999999999</v>
      </c>
      <c r="BS22" s="23">
        <v>0.73546420000000001</v>
      </c>
      <c r="BT22" s="23">
        <v>0.55497370000000001</v>
      </c>
      <c r="BU22" s="23">
        <v>0.69686530000000002</v>
      </c>
      <c r="BV22" s="23">
        <v>0.44306980000000001</v>
      </c>
      <c r="BW22" s="23">
        <v>1.696736</v>
      </c>
      <c r="BX22" s="23">
        <v>2.1889189999999998</v>
      </c>
      <c r="BY22" s="23">
        <v>1.290076</v>
      </c>
      <c r="BZ22" s="23">
        <v>0</v>
      </c>
      <c r="CA22" s="23">
        <v>0.6374725</v>
      </c>
      <c r="CB22" s="23">
        <v>0.3625275</v>
      </c>
      <c r="CC22" s="23">
        <v>0.2849255</v>
      </c>
      <c r="CD22" s="23">
        <v>0.71507449999999995</v>
      </c>
      <c r="CE22" s="23">
        <v>3.1847099999999999</v>
      </c>
      <c r="CF22" s="23">
        <v>2.5739960000000002</v>
      </c>
      <c r="CG22" s="23">
        <v>1.8455269999999999</v>
      </c>
      <c r="CH22" s="23">
        <v>2.1088450000000001</v>
      </c>
      <c r="CI22" s="23">
        <v>1.2582120000000001</v>
      </c>
      <c r="CJ22" s="23">
        <v>1.1178079999999999</v>
      </c>
      <c r="CK22" s="23">
        <v>0.88841029999999999</v>
      </c>
      <c r="CL22" s="23">
        <v>0.99570069999999999</v>
      </c>
      <c r="CM22" s="23">
        <v>0.56350199999999995</v>
      </c>
      <c r="CN22" s="23">
        <v>0.60514999999999997</v>
      </c>
      <c r="CO22" s="23">
        <v>0.53786230000000002</v>
      </c>
      <c r="CP22" s="23">
        <v>-4.2106000000000001E-3</v>
      </c>
      <c r="CQ22" s="23">
        <v>-1.4576499999999999E-2</v>
      </c>
      <c r="CR22" s="23">
        <v>4.7700000000000001E-5</v>
      </c>
      <c r="CS22" s="23">
        <v>1.2512049999999999</v>
      </c>
      <c r="CT22" s="23">
        <v>1.3558760000000001</v>
      </c>
      <c r="CU22" s="23">
        <v>1.1728700000000001</v>
      </c>
      <c r="CV22" s="23">
        <v>0.96231979999999995</v>
      </c>
      <c r="CW22" s="23">
        <v>1.2367159999999999</v>
      </c>
      <c r="CX22" s="23">
        <v>1.22085</v>
      </c>
      <c r="CY22" s="23">
        <v>1.2763659999999999</v>
      </c>
    </row>
    <row r="23" spans="1:103" x14ac:dyDescent="0.3">
      <c r="A23" s="5">
        <v>1968</v>
      </c>
      <c r="B23" s="3">
        <v>200745</v>
      </c>
      <c r="C23" s="3">
        <v>940651</v>
      </c>
      <c r="D23" s="2">
        <v>2.3551500000000001</v>
      </c>
      <c r="E23" s="2">
        <v>1.60006</v>
      </c>
      <c r="F23" s="3">
        <v>556852</v>
      </c>
      <c r="G23" s="3">
        <v>156923</v>
      </c>
      <c r="H23" s="3">
        <v>166280</v>
      </c>
      <c r="I23" s="3">
        <v>59246</v>
      </c>
      <c r="J23" s="3">
        <v>1350</v>
      </c>
      <c r="K23" s="3">
        <v>918084.4</v>
      </c>
      <c r="L23" s="3">
        <v>332157.5</v>
      </c>
      <c r="M23" s="3">
        <v>585926.9</v>
      </c>
      <c r="N23" s="2">
        <v>1.6340300000000001</v>
      </c>
      <c r="O23" s="2">
        <v>1.4053800000000001</v>
      </c>
      <c r="P23" s="2">
        <v>1.8033600000000001</v>
      </c>
      <c r="Q23" s="3">
        <v>131261</v>
      </c>
      <c r="R23" s="3">
        <v>196472</v>
      </c>
      <c r="S23" s="3">
        <v>75855</v>
      </c>
      <c r="T23" s="3">
        <v>514496.4</v>
      </c>
      <c r="U23" s="3">
        <v>511077.4</v>
      </c>
      <c r="V23" s="3">
        <v>212542.5</v>
      </c>
      <c r="W23" s="3">
        <v>298534.90000000002</v>
      </c>
      <c r="X23" s="2">
        <v>0.55820000000000003</v>
      </c>
      <c r="Y23" s="2">
        <v>2.30139</v>
      </c>
      <c r="Z23" s="2">
        <v>2.3360300000000001</v>
      </c>
      <c r="AA23" s="2">
        <v>2.2726999999999999</v>
      </c>
      <c r="AB23" s="2">
        <v>2.50997</v>
      </c>
      <c r="AC23" s="2">
        <v>2.4442900000000001</v>
      </c>
      <c r="AD23" s="2">
        <v>2.5279699999999998</v>
      </c>
      <c r="AE23" s="2">
        <v>1.40533</v>
      </c>
      <c r="AF23" s="2">
        <v>1.24949</v>
      </c>
      <c r="AG23" s="2">
        <v>1.5562</v>
      </c>
      <c r="AH23" s="2">
        <v>0.64329999999999998</v>
      </c>
      <c r="AI23" s="2">
        <v>0.50963999999999998</v>
      </c>
      <c r="AJ23" s="3">
        <v>710968.4</v>
      </c>
      <c r="AK23" s="3">
        <v>286356</v>
      </c>
      <c r="AL23" s="3">
        <v>424612.4</v>
      </c>
      <c r="AM23" s="2">
        <v>2.21787</v>
      </c>
      <c r="AN23" s="2">
        <v>1.6035900000000001</v>
      </c>
      <c r="AO23" s="2">
        <v>1.9280900000000001</v>
      </c>
      <c r="AP23" s="2">
        <v>1.40577</v>
      </c>
      <c r="AQ23" s="2">
        <v>2.4153899999999999</v>
      </c>
      <c r="AR23" s="2">
        <v>1.8651</v>
      </c>
      <c r="AS23" s="3">
        <v>207116</v>
      </c>
      <c r="AT23" s="2">
        <v>2.9789400000000001</v>
      </c>
      <c r="AU23" s="2">
        <v>1.6032200000000001</v>
      </c>
      <c r="AV23" s="22"/>
      <c r="AW23" s="23">
        <v>0.63375599999999999</v>
      </c>
      <c r="AX23" s="23">
        <v>0.36624400000000001</v>
      </c>
      <c r="AY23" s="23">
        <v>0.27634419999999998</v>
      </c>
      <c r="AZ23" s="23">
        <v>0.72365579999999996</v>
      </c>
      <c r="BA23" s="23">
        <v>3.5416500000000002</v>
      </c>
      <c r="BB23" s="23">
        <v>0.5884587</v>
      </c>
      <c r="BC23" s="23">
        <v>0.4115413</v>
      </c>
      <c r="BD23" s="23">
        <v>0.64724230000000005</v>
      </c>
      <c r="BE23" s="23">
        <v>0</v>
      </c>
      <c r="BF23" s="23">
        <v>2.2909139999999999</v>
      </c>
      <c r="BG23" s="23">
        <v>2.2909139999999999</v>
      </c>
      <c r="BH23" s="23">
        <v>1</v>
      </c>
      <c r="BI23" s="23">
        <v>0.83056479999999999</v>
      </c>
      <c r="BJ23" s="23">
        <v>0.2424991</v>
      </c>
      <c r="BK23" s="23">
        <v>0.75750090000000003</v>
      </c>
      <c r="BL23" s="23">
        <v>0.29117480000000001</v>
      </c>
      <c r="BM23" s="23">
        <v>3.9300000000000004E-15</v>
      </c>
      <c r="BN23" s="23">
        <v>2.0985330000000002</v>
      </c>
      <c r="BO23" s="23">
        <v>2.0985339999999999</v>
      </c>
      <c r="BP23" s="23">
        <v>1</v>
      </c>
      <c r="BQ23" s="23">
        <v>0.44890160000000001</v>
      </c>
      <c r="BR23" s="23">
        <v>0.25605549999999999</v>
      </c>
      <c r="BS23" s="23">
        <v>0.74394450000000001</v>
      </c>
      <c r="BT23" s="23">
        <v>0.55497370000000001</v>
      </c>
      <c r="BU23" s="23">
        <v>0.69686530000000002</v>
      </c>
      <c r="BV23" s="23">
        <v>0.44306980000000001</v>
      </c>
      <c r="BW23" s="23">
        <v>1.7503</v>
      </c>
      <c r="BX23" s="23">
        <v>2.3137850000000002</v>
      </c>
      <c r="BY23" s="23">
        <v>1.321936</v>
      </c>
      <c r="BZ23" s="23">
        <v>0</v>
      </c>
      <c r="CA23" s="23">
        <v>0.63462790000000002</v>
      </c>
      <c r="CB23" s="23">
        <v>0.36537209999999998</v>
      </c>
      <c r="CC23" s="23">
        <v>0.27780519999999997</v>
      </c>
      <c r="CD23" s="23">
        <v>0.72219480000000003</v>
      </c>
      <c r="CE23" s="23">
        <v>3.3683969999999999</v>
      </c>
      <c r="CF23" s="23">
        <v>2.6896360000000001</v>
      </c>
      <c r="CG23" s="23">
        <v>1.9462600000000001</v>
      </c>
      <c r="CH23" s="23">
        <v>2.2126679999999999</v>
      </c>
      <c r="CI23" s="23">
        <v>1.2831809999999999</v>
      </c>
      <c r="CJ23" s="23">
        <v>1.1248359999999999</v>
      </c>
      <c r="CK23" s="23">
        <v>0.87659980000000004</v>
      </c>
      <c r="CL23" s="23">
        <v>1.00023</v>
      </c>
      <c r="CM23" s="23">
        <v>0.56350199999999995</v>
      </c>
      <c r="CN23" s="23">
        <v>0.60514999999999997</v>
      </c>
      <c r="CO23" s="23">
        <v>0.53786230000000002</v>
      </c>
      <c r="CP23" s="23">
        <v>1.5965900000000002E-2</v>
      </c>
      <c r="CQ23" s="23">
        <v>2.8375399999999999E-2</v>
      </c>
      <c r="CR23" s="23">
        <v>7.4955999999999998E-3</v>
      </c>
      <c r="CS23" s="23">
        <v>1.271342</v>
      </c>
      <c r="CT23" s="23">
        <v>1.3949009999999999</v>
      </c>
      <c r="CU23" s="23">
        <v>1.1816949999999999</v>
      </c>
      <c r="CV23" s="23">
        <v>0.95636860000000001</v>
      </c>
      <c r="CW23" s="23">
        <v>1.2542139999999999</v>
      </c>
      <c r="CX23" s="23">
        <v>1.2367360000000001</v>
      </c>
      <c r="CY23" s="23">
        <v>1.295779</v>
      </c>
    </row>
    <row r="24" spans="1:103" x14ac:dyDescent="0.3">
      <c r="A24" s="5">
        <v>1969</v>
      </c>
      <c r="B24" s="3">
        <v>202736</v>
      </c>
      <c r="C24" s="3">
        <v>1017615</v>
      </c>
      <c r="D24" s="2">
        <v>2.42875</v>
      </c>
      <c r="E24" s="2">
        <v>1.67852</v>
      </c>
      <c r="F24" s="3">
        <v>603639</v>
      </c>
      <c r="G24" s="3">
        <v>173562</v>
      </c>
      <c r="H24" s="3">
        <v>179437</v>
      </c>
      <c r="I24" s="3">
        <v>59547</v>
      </c>
      <c r="J24" s="3">
        <v>1431</v>
      </c>
      <c r="K24" s="3">
        <v>992611.2</v>
      </c>
      <c r="L24" s="3">
        <v>352805.2</v>
      </c>
      <c r="M24" s="3">
        <v>639806.1</v>
      </c>
      <c r="N24" s="2">
        <v>1.71211</v>
      </c>
      <c r="O24" s="2">
        <v>1.4517599999999999</v>
      </c>
      <c r="P24" s="2">
        <v>1.90459</v>
      </c>
      <c r="Q24" s="3">
        <v>140907</v>
      </c>
      <c r="R24" s="3">
        <v>207857</v>
      </c>
      <c r="S24" s="3">
        <v>83028</v>
      </c>
      <c r="T24" s="3">
        <v>560819.19999999995</v>
      </c>
      <c r="U24" s="3">
        <v>563248.69999999995</v>
      </c>
      <c r="V24" s="3">
        <v>234578.6</v>
      </c>
      <c r="W24" s="3">
        <v>328670.09999999998</v>
      </c>
      <c r="X24" s="2">
        <v>0.56206</v>
      </c>
      <c r="Y24" s="2">
        <v>2.3747400000000001</v>
      </c>
      <c r="Z24" s="2">
        <v>2.40198</v>
      </c>
      <c r="AA24" s="2">
        <v>2.34979</v>
      </c>
      <c r="AB24" s="2">
        <v>2.6488200000000002</v>
      </c>
      <c r="AC24" s="2">
        <v>2.5789200000000001</v>
      </c>
      <c r="AD24" s="2">
        <v>2.66805</v>
      </c>
      <c r="AE24" s="2">
        <v>1.4378500000000001</v>
      </c>
      <c r="AF24" s="2">
        <v>1.2720800000000001</v>
      </c>
      <c r="AG24" s="2">
        <v>1.59785</v>
      </c>
      <c r="AH24" s="2">
        <v>0.65239000000000003</v>
      </c>
      <c r="AI24" s="2">
        <v>0.51161000000000001</v>
      </c>
      <c r="AJ24" s="3">
        <v>768676.2</v>
      </c>
      <c r="AK24" s="3">
        <v>305834</v>
      </c>
      <c r="AL24" s="3">
        <v>462842.2</v>
      </c>
      <c r="AM24" s="2">
        <v>2.28912</v>
      </c>
      <c r="AN24" s="2">
        <v>1.6810700000000001</v>
      </c>
      <c r="AO24" s="2">
        <v>1.9866699999999999</v>
      </c>
      <c r="AP24" s="2">
        <v>1.4582299999999999</v>
      </c>
      <c r="AQ24" s="2">
        <v>2.4973000000000001</v>
      </c>
      <c r="AR24" s="2">
        <v>1.96783</v>
      </c>
      <c r="AS24" s="3">
        <v>223935</v>
      </c>
      <c r="AT24" s="2">
        <v>3.06284</v>
      </c>
      <c r="AU24" s="2">
        <v>1.6859200000000001</v>
      </c>
      <c r="AV24" s="22"/>
      <c r="AW24" s="23">
        <v>0.62923169999999995</v>
      </c>
      <c r="AX24" s="23">
        <v>0.3707683</v>
      </c>
      <c r="AY24" s="23">
        <v>0.27040900000000001</v>
      </c>
      <c r="AZ24" s="23">
        <v>0.72959099999999999</v>
      </c>
      <c r="BA24" s="23">
        <v>3.7915130000000001</v>
      </c>
      <c r="BB24" s="23">
        <v>0.58308470000000001</v>
      </c>
      <c r="BC24" s="23">
        <v>0.41691529999999999</v>
      </c>
      <c r="BD24" s="23">
        <v>0.64724230000000005</v>
      </c>
      <c r="BE24" s="23">
        <v>0</v>
      </c>
      <c r="BF24" s="23">
        <v>2.3758409999999999</v>
      </c>
      <c r="BG24" s="23">
        <v>2.3758409999999999</v>
      </c>
      <c r="BH24" s="23">
        <v>1</v>
      </c>
      <c r="BI24" s="23">
        <v>0.83056479999999999</v>
      </c>
      <c r="BJ24" s="23">
        <v>0.2384539</v>
      </c>
      <c r="BK24" s="23">
        <v>0.7615461</v>
      </c>
      <c r="BL24" s="23">
        <v>0.29117480000000001</v>
      </c>
      <c r="BM24" s="23">
        <v>3.9300000000000004E-15</v>
      </c>
      <c r="BN24" s="23">
        <v>2.159748</v>
      </c>
      <c r="BO24" s="23">
        <v>2.159748</v>
      </c>
      <c r="BP24" s="23">
        <v>1</v>
      </c>
      <c r="BQ24" s="23">
        <v>0.44890160000000001</v>
      </c>
      <c r="BR24" s="23">
        <v>0.25024390000000002</v>
      </c>
      <c r="BS24" s="23">
        <v>0.74975610000000004</v>
      </c>
      <c r="BT24" s="23">
        <v>0.55497370000000001</v>
      </c>
      <c r="BU24" s="23">
        <v>0.69686530000000002</v>
      </c>
      <c r="BV24" s="23">
        <v>0.44306980000000001</v>
      </c>
      <c r="BW24" s="23">
        <v>1.7903370000000001</v>
      </c>
      <c r="BX24" s="23">
        <v>2.3871329999999999</v>
      </c>
      <c r="BY24" s="23">
        <v>1.3333429999999999</v>
      </c>
      <c r="BZ24" s="23">
        <v>0</v>
      </c>
      <c r="CA24" s="23">
        <v>0.63149379999999999</v>
      </c>
      <c r="CB24" s="23">
        <v>0.36850620000000001</v>
      </c>
      <c r="CC24" s="23">
        <v>0.27337660000000003</v>
      </c>
      <c r="CD24" s="23">
        <v>0.72662340000000003</v>
      </c>
      <c r="CE24" s="23">
        <v>3.5004179999999998</v>
      </c>
      <c r="CF24" s="23">
        <v>2.7875000000000001</v>
      </c>
      <c r="CG24" s="23">
        <v>1.993263</v>
      </c>
      <c r="CH24" s="23">
        <v>2.2836940000000001</v>
      </c>
      <c r="CI24" s="23">
        <v>1.311917</v>
      </c>
      <c r="CJ24" s="23">
        <v>1.1296999999999999</v>
      </c>
      <c r="CK24" s="23">
        <v>0.86110589999999998</v>
      </c>
      <c r="CL24" s="23">
        <v>0.99712100000000004</v>
      </c>
      <c r="CM24" s="23">
        <v>0.56350199999999995</v>
      </c>
      <c r="CN24" s="23">
        <v>0.60514999999999997</v>
      </c>
      <c r="CO24" s="23">
        <v>0.53786230000000002</v>
      </c>
      <c r="CP24" s="23">
        <v>-5.0175000000000003E-3</v>
      </c>
      <c r="CQ24" s="23">
        <v>-5.6620999999999998E-3</v>
      </c>
      <c r="CR24" s="23">
        <v>-5.0707E-3</v>
      </c>
      <c r="CS24" s="23">
        <v>1.2649790000000001</v>
      </c>
      <c r="CT24" s="23">
        <v>1.387025</v>
      </c>
      <c r="CU24" s="23">
        <v>1.175718</v>
      </c>
      <c r="CV24" s="23">
        <v>0.9471638</v>
      </c>
      <c r="CW24" s="23">
        <v>1.2354149999999999</v>
      </c>
      <c r="CX24" s="23">
        <v>1.2302930000000001</v>
      </c>
      <c r="CY24" s="23">
        <v>1.2846249999999999</v>
      </c>
    </row>
    <row r="25" spans="1:103" x14ac:dyDescent="0.3">
      <c r="A25" s="5">
        <v>1970</v>
      </c>
      <c r="B25" s="3">
        <v>205089</v>
      </c>
      <c r="C25" s="3">
        <v>1073303</v>
      </c>
      <c r="D25" s="2">
        <v>2.4332199999999999</v>
      </c>
      <c r="E25" s="2">
        <v>1.7671300000000001</v>
      </c>
      <c r="F25" s="3">
        <v>646724</v>
      </c>
      <c r="G25" s="3">
        <v>170049</v>
      </c>
      <c r="H25" s="3">
        <v>192785</v>
      </c>
      <c r="I25" s="3">
        <v>59796</v>
      </c>
      <c r="J25" s="3">
        <v>3948</v>
      </c>
      <c r="K25" s="3">
        <v>1046070.1</v>
      </c>
      <c r="L25" s="3">
        <v>356139.4</v>
      </c>
      <c r="M25" s="3">
        <v>689930.8</v>
      </c>
      <c r="N25" s="2">
        <v>1.79823</v>
      </c>
      <c r="O25" s="2">
        <v>1.50299</v>
      </c>
      <c r="P25" s="2">
        <v>2.0158100000000001</v>
      </c>
      <c r="Q25" s="3">
        <v>141618</v>
      </c>
      <c r="R25" s="3">
        <v>210120</v>
      </c>
      <c r="S25" s="3">
        <v>86226</v>
      </c>
      <c r="T25" s="3">
        <v>608106.1</v>
      </c>
      <c r="U25" s="3">
        <v>610929.80000000005</v>
      </c>
      <c r="V25" s="3">
        <v>237534.9</v>
      </c>
      <c r="W25" s="3">
        <v>373394.9</v>
      </c>
      <c r="X25" s="2">
        <v>0.57572999999999996</v>
      </c>
      <c r="Y25" s="2">
        <v>2.3827799999999999</v>
      </c>
      <c r="Z25" s="2">
        <v>2.3420299999999998</v>
      </c>
      <c r="AA25" s="2">
        <v>2.3940700000000001</v>
      </c>
      <c r="AB25" s="2">
        <v>2.7715999999999998</v>
      </c>
      <c r="AC25" s="2">
        <v>2.6910400000000001</v>
      </c>
      <c r="AD25" s="2">
        <v>2.7946200000000001</v>
      </c>
      <c r="AE25" s="2">
        <v>1.4046099999999999</v>
      </c>
      <c r="AF25" s="2">
        <v>1.20566</v>
      </c>
      <c r="AG25" s="2">
        <v>1.5930500000000001</v>
      </c>
      <c r="AH25" s="2">
        <v>0.66593000000000002</v>
      </c>
      <c r="AI25" s="2">
        <v>0.52744999999999997</v>
      </c>
      <c r="AJ25" s="3">
        <v>818226.1</v>
      </c>
      <c r="AK25" s="3">
        <v>314509</v>
      </c>
      <c r="AL25" s="3">
        <v>503717.1</v>
      </c>
      <c r="AM25" s="2">
        <v>2.3154300000000001</v>
      </c>
      <c r="AN25" s="2">
        <v>1.7703899999999999</v>
      </c>
      <c r="AO25" s="2">
        <v>2.0210900000000001</v>
      </c>
      <c r="AP25" s="2">
        <v>1.4751399999999999</v>
      </c>
      <c r="AQ25" s="2">
        <v>2.5546500000000001</v>
      </c>
      <c r="AR25" s="2">
        <v>2.0950700000000002</v>
      </c>
      <c r="AS25" s="3">
        <v>227844</v>
      </c>
      <c r="AT25" s="2">
        <v>2.9636200000000001</v>
      </c>
      <c r="AU25" s="2">
        <v>1.77278</v>
      </c>
      <c r="AV25" s="22"/>
      <c r="AW25" s="23">
        <v>0.62155689999999997</v>
      </c>
      <c r="AX25" s="23">
        <v>0.37844319999999998</v>
      </c>
      <c r="AY25" s="23">
        <v>0.25679940000000001</v>
      </c>
      <c r="AZ25" s="23">
        <v>0.74320059999999999</v>
      </c>
      <c r="BA25" s="23">
        <v>3.9896150000000001</v>
      </c>
      <c r="BB25" s="23">
        <v>0.57770840000000001</v>
      </c>
      <c r="BC25" s="23">
        <v>0.42229159999999999</v>
      </c>
      <c r="BD25" s="23">
        <v>0.64724230000000005</v>
      </c>
      <c r="BE25" s="23">
        <v>0</v>
      </c>
      <c r="BF25" s="23">
        <v>2.420264</v>
      </c>
      <c r="BG25" s="23">
        <v>2.420264</v>
      </c>
      <c r="BH25" s="23">
        <v>1</v>
      </c>
      <c r="BI25" s="23">
        <v>0.83056479999999999</v>
      </c>
      <c r="BJ25" s="23">
        <v>0.23446810000000001</v>
      </c>
      <c r="BK25" s="23">
        <v>0.76553190000000004</v>
      </c>
      <c r="BL25" s="23">
        <v>0.29117480000000001</v>
      </c>
      <c r="BM25" s="23">
        <v>3.9300000000000004E-15</v>
      </c>
      <c r="BN25" s="23">
        <v>2.1834889999999998</v>
      </c>
      <c r="BO25" s="23">
        <v>2.1834880000000001</v>
      </c>
      <c r="BP25" s="23">
        <v>0.99999990000000005</v>
      </c>
      <c r="BQ25" s="23">
        <v>0.44890160000000001</v>
      </c>
      <c r="BR25" s="23">
        <v>0.24722169999999999</v>
      </c>
      <c r="BS25" s="23">
        <v>0.75277830000000001</v>
      </c>
      <c r="BT25" s="23">
        <v>0.55497370000000001</v>
      </c>
      <c r="BU25" s="23">
        <v>0.69686530000000002</v>
      </c>
      <c r="BV25" s="23">
        <v>0.44306980000000001</v>
      </c>
      <c r="BW25" s="23">
        <v>1.8185549999999999</v>
      </c>
      <c r="BX25" s="23">
        <v>2.410485</v>
      </c>
      <c r="BY25" s="23">
        <v>1.3254950000000001</v>
      </c>
      <c r="BZ25" s="23">
        <v>0</v>
      </c>
      <c r="CA25" s="23">
        <v>0.62539429999999996</v>
      </c>
      <c r="CB25" s="23">
        <v>0.37460569999999999</v>
      </c>
      <c r="CC25" s="23">
        <v>0.26360430000000001</v>
      </c>
      <c r="CD25" s="23">
        <v>0.73639580000000004</v>
      </c>
      <c r="CE25" s="23">
        <v>3.3981629999999998</v>
      </c>
      <c r="CF25" s="23">
        <v>2.7351390000000002</v>
      </c>
      <c r="CG25" s="23">
        <v>1.9462820000000001</v>
      </c>
      <c r="CH25" s="23">
        <v>2.3396189999999999</v>
      </c>
      <c r="CI25" s="23">
        <v>1.341202</v>
      </c>
      <c r="CJ25" s="23">
        <v>1.137089</v>
      </c>
      <c r="CK25" s="23">
        <v>0.84781340000000005</v>
      </c>
      <c r="CL25" s="23">
        <v>0.99865250000000005</v>
      </c>
      <c r="CM25" s="23">
        <v>0.56350199999999995</v>
      </c>
      <c r="CN25" s="23">
        <v>0.60514999999999997</v>
      </c>
      <c r="CO25" s="23">
        <v>0.53786230000000002</v>
      </c>
      <c r="CP25" s="23">
        <v>-3.2184000000000002E-3</v>
      </c>
      <c r="CQ25" s="23">
        <v>-1.36314E-2</v>
      </c>
      <c r="CR25" s="23">
        <v>1.3320000000000001E-4</v>
      </c>
      <c r="CS25" s="23">
        <v>1.2609140000000001</v>
      </c>
      <c r="CT25" s="23">
        <v>1.3682460000000001</v>
      </c>
      <c r="CU25" s="23">
        <v>1.1758740000000001</v>
      </c>
      <c r="CV25" s="23">
        <v>0.94028679999999998</v>
      </c>
      <c r="CW25" s="23">
        <v>1.2163470000000001</v>
      </c>
      <c r="CX25" s="23">
        <v>1.2260679999999999</v>
      </c>
      <c r="CY25" s="23">
        <v>1.279013</v>
      </c>
    </row>
    <row r="26" spans="1:103" x14ac:dyDescent="0.3">
      <c r="A26" s="5">
        <v>1971</v>
      </c>
      <c r="B26" s="3">
        <v>207692</v>
      </c>
      <c r="C26" s="3">
        <v>1164850</v>
      </c>
      <c r="D26" s="2">
        <v>2.5133700000000001</v>
      </c>
      <c r="E26" s="2">
        <v>1.8567</v>
      </c>
      <c r="F26" s="3">
        <v>699937</v>
      </c>
      <c r="G26" s="3">
        <v>196824</v>
      </c>
      <c r="H26" s="3">
        <v>208960</v>
      </c>
      <c r="I26" s="3">
        <v>58509</v>
      </c>
      <c r="J26" s="3">
        <v>621</v>
      </c>
      <c r="K26" s="3">
        <v>1135307.8</v>
      </c>
      <c r="L26" s="3">
        <v>379330.5</v>
      </c>
      <c r="M26" s="3">
        <v>755977.2</v>
      </c>
      <c r="N26" s="2">
        <v>1.8910899999999999</v>
      </c>
      <c r="O26" s="2">
        <v>1.5550200000000001</v>
      </c>
      <c r="P26" s="2">
        <v>2.1375899999999999</v>
      </c>
      <c r="Q26" s="3">
        <v>150699</v>
      </c>
      <c r="R26" s="3">
        <v>224258</v>
      </c>
      <c r="S26" s="3">
        <v>96378</v>
      </c>
      <c r="T26" s="3">
        <v>663972.80000000005</v>
      </c>
      <c r="U26" s="3">
        <v>642072.1</v>
      </c>
      <c r="V26" s="3">
        <v>247686</v>
      </c>
      <c r="W26" s="3">
        <v>394386.2</v>
      </c>
      <c r="X26" s="2">
        <v>0.57479000000000002</v>
      </c>
      <c r="Y26" s="2">
        <v>2.4590700000000001</v>
      </c>
      <c r="Z26" s="2">
        <v>2.4110800000000001</v>
      </c>
      <c r="AA26" s="2">
        <v>2.4738099999999998</v>
      </c>
      <c r="AB26" s="2">
        <v>2.9007299999999998</v>
      </c>
      <c r="AC26" s="2">
        <v>2.8003300000000002</v>
      </c>
      <c r="AD26" s="2">
        <v>2.9310200000000002</v>
      </c>
      <c r="AE26" s="2">
        <v>1.40008</v>
      </c>
      <c r="AF26" s="2">
        <v>1.17838</v>
      </c>
      <c r="AG26" s="2">
        <v>1.6077600000000001</v>
      </c>
      <c r="AH26" s="2">
        <v>0.65995999999999999</v>
      </c>
      <c r="AI26" s="2">
        <v>0.53144999999999998</v>
      </c>
      <c r="AJ26" s="3">
        <v>888230.8</v>
      </c>
      <c r="AK26" s="3">
        <v>338751</v>
      </c>
      <c r="AL26" s="3">
        <v>549479.80000000005</v>
      </c>
      <c r="AM26" s="2">
        <v>2.3942999999999999</v>
      </c>
      <c r="AN26" s="2">
        <v>1.8585100000000001</v>
      </c>
      <c r="AO26" s="2">
        <v>2.0827100000000001</v>
      </c>
      <c r="AP26" s="2">
        <v>1.5418000000000001</v>
      </c>
      <c r="AQ26" s="2">
        <v>2.6183399999999999</v>
      </c>
      <c r="AR26" s="2">
        <v>2.2297699999999998</v>
      </c>
      <c r="AS26" s="3">
        <v>247077</v>
      </c>
      <c r="AT26" s="2">
        <v>3.04888</v>
      </c>
      <c r="AU26" s="2">
        <v>1.8686700000000001</v>
      </c>
      <c r="AV26" s="22"/>
      <c r="AW26" s="23">
        <v>0.60992729999999995</v>
      </c>
      <c r="AX26" s="23">
        <v>0.39007269999999999</v>
      </c>
      <c r="AY26" s="23">
        <v>0.25247720000000001</v>
      </c>
      <c r="AZ26" s="23">
        <v>0.74752280000000004</v>
      </c>
      <c r="BA26" s="23">
        <v>4.2766729999999997</v>
      </c>
      <c r="BB26" s="23">
        <v>0.57169000000000003</v>
      </c>
      <c r="BC26" s="23">
        <v>0.42831000000000002</v>
      </c>
      <c r="BD26" s="23">
        <v>0.64724230000000005</v>
      </c>
      <c r="BE26" s="23">
        <v>0</v>
      </c>
      <c r="BF26" s="23">
        <v>2.5129700000000001</v>
      </c>
      <c r="BG26" s="23">
        <v>2.5129700000000001</v>
      </c>
      <c r="BH26" s="23">
        <v>1</v>
      </c>
      <c r="BI26" s="23">
        <v>0.83056479999999999</v>
      </c>
      <c r="BJ26" s="23">
        <v>0.23007730000000001</v>
      </c>
      <c r="BK26" s="23">
        <v>0.76992269999999996</v>
      </c>
      <c r="BL26" s="23">
        <v>0.29117480000000001</v>
      </c>
      <c r="BM26" s="23">
        <v>3.9300000000000004E-15</v>
      </c>
      <c r="BN26" s="23">
        <v>2.2480899999999999</v>
      </c>
      <c r="BO26" s="23">
        <v>2.2480899999999999</v>
      </c>
      <c r="BP26" s="23">
        <v>1</v>
      </c>
      <c r="BQ26" s="23">
        <v>0.44890160000000001</v>
      </c>
      <c r="BR26" s="23">
        <v>0.2415602</v>
      </c>
      <c r="BS26" s="23">
        <v>0.7584398</v>
      </c>
      <c r="BT26" s="23">
        <v>0.55497370000000001</v>
      </c>
      <c r="BU26" s="23">
        <v>0.69686530000000002</v>
      </c>
      <c r="BV26" s="23">
        <v>0.44306980000000001</v>
      </c>
      <c r="BW26" s="23">
        <v>1.8643940000000001</v>
      </c>
      <c r="BX26" s="23">
        <v>2.4862069999999998</v>
      </c>
      <c r="BY26" s="23">
        <v>1.33352</v>
      </c>
      <c r="BZ26" s="23">
        <v>0</v>
      </c>
      <c r="CA26" s="23">
        <v>0.61574209999999996</v>
      </c>
      <c r="CB26" s="23">
        <v>0.38425789999999999</v>
      </c>
      <c r="CC26" s="23">
        <v>0.25463829999999998</v>
      </c>
      <c r="CD26" s="23">
        <v>0.74536170000000002</v>
      </c>
      <c r="CE26" s="23">
        <v>3.4950739999999998</v>
      </c>
      <c r="CF26" s="23">
        <v>2.8830049999999998</v>
      </c>
      <c r="CG26" s="23">
        <v>2.007736</v>
      </c>
      <c r="CH26" s="23">
        <v>2.4090310000000001</v>
      </c>
      <c r="CI26" s="23">
        <v>1.3746370000000001</v>
      </c>
      <c r="CJ26" s="23">
        <v>1.143907</v>
      </c>
      <c r="CK26" s="23">
        <v>0.83215229999999996</v>
      </c>
      <c r="CL26" s="23">
        <v>0.99456250000000002</v>
      </c>
      <c r="CM26" s="23">
        <v>0.56350199999999995</v>
      </c>
      <c r="CN26" s="23">
        <v>0.60514999999999997</v>
      </c>
      <c r="CO26" s="23">
        <v>0.53786230000000002</v>
      </c>
      <c r="CP26" s="23">
        <v>1.34567E-2</v>
      </c>
      <c r="CQ26" s="23">
        <v>2.4573999999999999E-2</v>
      </c>
      <c r="CR26" s="23">
        <v>6.7837000000000001E-3</v>
      </c>
      <c r="CS26" s="23">
        <v>1.277997</v>
      </c>
      <c r="CT26" s="23">
        <v>1.4022859999999999</v>
      </c>
      <c r="CU26" s="23">
        <v>1.183878</v>
      </c>
      <c r="CV26" s="23">
        <v>0.93169069999999998</v>
      </c>
      <c r="CW26" s="23">
        <v>1.226667</v>
      </c>
      <c r="CX26" s="23">
        <v>1.240119</v>
      </c>
      <c r="CY26" s="23">
        <v>1.2933269999999999</v>
      </c>
    </row>
    <row r="27" spans="1:103" x14ac:dyDescent="0.3">
      <c r="A27" s="5">
        <v>1972</v>
      </c>
      <c r="B27" s="3">
        <v>209924</v>
      </c>
      <c r="C27" s="3">
        <v>1279110</v>
      </c>
      <c r="D27" s="2">
        <v>2.6455700000000002</v>
      </c>
      <c r="E27" s="2">
        <v>1.9369400000000001</v>
      </c>
      <c r="F27" s="3">
        <v>768153</v>
      </c>
      <c r="G27" s="3">
        <v>228140</v>
      </c>
      <c r="H27" s="3">
        <v>225498</v>
      </c>
      <c r="I27" s="3">
        <v>60691</v>
      </c>
      <c r="J27" s="3">
        <v>-3372</v>
      </c>
      <c r="K27" s="3">
        <v>1248336.6000000001</v>
      </c>
      <c r="L27" s="3">
        <v>419217.6</v>
      </c>
      <c r="M27" s="3">
        <v>829119</v>
      </c>
      <c r="N27" s="2">
        <v>1.97509</v>
      </c>
      <c r="O27" s="2">
        <v>1.61219</v>
      </c>
      <c r="P27" s="2">
        <v>2.2408299999999999</v>
      </c>
      <c r="Q27" s="3">
        <v>170733</v>
      </c>
      <c r="R27" s="3">
        <v>243396</v>
      </c>
      <c r="S27" s="3">
        <v>108991</v>
      </c>
      <c r="T27" s="3">
        <v>725216.6</v>
      </c>
      <c r="U27" s="3">
        <v>709898.8</v>
      </c>
      <c r="V27" s="3">
        <v>274307.3</v>
      </c>
      <c r="W27" s="3">
        <v>435591.4</v>
      </c>
      <c r="X27" s="2">
        <v>0.56711</v>
      </c>
      <c r="Y27" s="2">
        <v>2.5888800000000001</v>
      </c>
      <c r="Z27" s="2">
        <v>2.5701100000000001</v>
      </c>
      <c r="AA27" s="2">
        <v>2.5881500000000002</v>
      </c>
      <c r="AB27" s="2">
        <v>3.0204900000000001</v>
      </c>
      <c r="AC27" s="2">
        <v>2.8997099999999998</v>
      </c>
      <c r="AD27" s="2">
        <v>3.0582799999999999</v>
      </c>
      <c r="AE27" s="2">
        <v>1.4323699999999999</v>
      </c>
      <c r="AF27" s="2">
        <v>1.2160599999999999</v>
      </c>
      <c r="AG27" s="2">
        <v>1.6358900000000001</v>
      </c>
      <c r="AH27" s="2">
        <v>0.65364</v>
      </c>
      <c r="AI27" s="2">
        <v>0.52353000000000005</v>
      </c>
      <c r="AJ27" s="3">
        <v>968612.6</v>
      </c>
      <c r="AK27" s="3">
        <v>366917</v>
      </c>
      <c r="AL27" s="3">
        <v>601695.6</v>
      </c>
      <c r="AM27" s="2">
        <v>2.5037500000000001</v>
      </c>
      <c r="AN27" s="2">
        <v>1.9353100000000001</v>
      </c>
      <c r="AO27" s="2">
        <v>2.2105999999999999</v>
      </c>
      <c r="AP27" s="2">
        <v>1.5710999999999999</v>
      </c>
      <c r="AQ27" s="2">
        <v>2.71245</v>
      </c>
      <c r="AR27" s="2">
        <v>2.3535400000000002</v>
      </c>
      <c r="AS27" s="3">
        <v>279724</v>
      </c>
      <c r="AT27" s="2">
        <v>3.2868599999999999</v>
      </c>
      <c r="AU27" s="2">
        <v>1.96241</v>
      </c>
      <c r="AV27" s="22"/>
      <c r="AW27" s="23">
        <v>0.61036239999999997</v>
      </c>
      <c r="AX27" s="23">
        <v>0.38963759999999997</v>
      </c>
      <c r="AY27" s="23">
        <v>0.25128309999999998</v>
      </c>
      <c r="AZ27" s="23">
        <v>0.74871690000000002</v>
      </c>
      <c r="BA27" s="23">
        <v>4.6141110000000003</v>
      </c>
      <c r="BB27" s="23">
        <v>0.56897929999999997</v>
      </c>
      <c r="BC27" s="23">
        <v>0.43102069999999998</v>
      </c>
      <c r="BD27" s="23">
        <v>0.64724230000000005</v>
      </c>
      <c r="BE27" s="23">
        <v>0</v>
      </c>
      <c r="BF27" s="23">
        <v>2.630671</v>
      </c>
      <c r="BG27" s="23">
        <v>2.630671</v>
      </c>
      <c r="BH27" s="23">
        <v>1</v>
      </c>
      <c r="BI27" s="23">
        <v>0.83056479999999999</v>
      </c>
      <c r="BJ27" s="23">
        <v>0.22812370000000001</v>
      </c>
      <c r="BK27" s="23">
        <v>0.77187629999999996</v>
      </c>
      <c r="BL27" s="23">
        <v>0.29117480000000001</v>
      </c>
      <c r="BM27" s="23">
        <v>3.9300000000000004E-15</v>
      </c>
      <c r="BN27" s="23">
        <v>2.3445170000000002</v>
      </c>
      <c r="BO27" s="23">
        <v>2.3445170000000002</v>
      </c>
      <c r="BP27" s="23">
        <v>1</v>
      </c>
      <c r="BQ27" s="23">
        <v>0.44890160000000001</v>
      </c>
      <c r="BR27" s="23">
        <v>0.2359077</v>
      </c>
      <c r="BS27" s="23">
        <v>0.76409229999999995</v>
      </c>
      <c r="BT27" s="23">
        <v>0.55497370000000001</v>
      </c>
      <c r="BU27" s="23">
        <v>0.69686530000000002</v>
      </c>
      <c r="BV27" s="23">
        <v>0.44306980000000001</v>
      </c>
      <c r="BW27" s="23">
        <v>1.9151279999999999</v>
      </c>
      <c r="BX27" s="23">
        <v>2.6055609999999998</v>
      </c>
      <c r="BY27" s="23">
        <v>1.3605160000000001</v>
      </c>
      <c r="BZ27" s="23">
        <v>0</v>
      </c>
      <c r="CA27" s="23">
        <v>0.61014480000000004</v>
      </c>
      <c r="CB27" s="23">
        <v>0.38985520000000001</v>
      </c>
      <c r="CC27" s="23">
        <v>0.2518801</v>
      </c>
      <c r="CD27" s="23">
        <v>0.7481198</v>
      </c>
      <c r="CE27" s="23">
        <v>3.8192879999999998</v>
      </c>
      <c r="CF27" s="23">
        <v>3.1100910000000002</v>
      </c>
      <c r="CG27" s="23">
        <v>2.1017980000000001</v>
      </c>
      <c r="CH27" s="23">
        <v>2.5100069999999999</v>
      </c>
      <c r="CI27" s="23">
        <v>1.3899269999999999</v>
      </c>
      <c r="CJ27" s="23">
        <v>1.1418759999999999</v>
      </c>
      <c r="CK27" s="23">
        <v>0.82153670000000001</v>
      </c>
      <c r="CL27" s="23">
        <v>0.98618919999999999</v>
      </c>
      <c r="CM27" s="23">
        <v>0.56350199999999995</v>
      </c>
      <c r="CN27" s="23">
        <v>0.60514999999999997</v>
      </c>
      <c r="CO27" s="23">
        <v>0.53786230000000002</v>
      </c>
      <c r="CP27" s="23">
        <v>2.09366E-2</v>
      </c>
      <c r="CQ27" s="23">
        <v>3.0915600000000001E-2</v>
      </c>
      <c r="CR27" s="23">
        <v>1.68577E-2</v>
      </c>
      <c r="CS27" s="23">
        <v>1.3050349999999999</v>
      </c>
      <c r="CT27" s="23">
        <v>1.4463159999999999</v>
      </c>
      <c r="CU27" s="23">
        <v>1.204005</v>
      </c>
      <c r="CV27" s="23">
        <v>0.9237805</v>
      </c>
      <c r="CW27" s="23">
        <v>1.247512</v>
      </c>
      <c r="CX27" s="23">
        <v>1.2657510000000001</v>
      </c>
      <c r="CY27" s="23">
        <v>1.3134699999999999</v>
      </c>
    </row>
    <row r="28" spans="1:103" x14ac:dyDescent="0.3">
      <c r="A28" s="5">
        <v>1973</v>
      </c>
      <c r="B28" s="3">
        <v>211939</v>
      </c>
      <c r="C28" s="3">
        <v>1425376</v>
      </c>
      <c r="D28" s="2">
        <v>2.7949199999999998</v>
      </c>
      <c r="E28" s="2">
        <v>2.0430899999999999</v>
      </c>
      <c r="F28" s="3">
        <v>849575</v>
      </c>
      <c r="G28" s="3">
        <v>266925</v>
      </c>
      <c r="H28" s="3">
        <v>239125</v>
      </c>
      <c r="I28" s="3">
        <v>65640</v>
      </c>
      <c r="J28" s="3">
        <v>4111</v>
      </c>
      <c r="K28" s="3">
        <v>1389186.8</v>
      </c>
      <c r="L28" s="3">
        <v>480564</v>
      </c>
      <c r="M28" s="3">
        <v>908622.8</v>
      </c>
      <c r="N28" s="2">
        <v>2.0898300000000001</v>
      </c>
      <c r="O28" s="2">
        <v>1.7446299999999999</v>
      </c>
      <c r="P28" s="2">
        <v>2.3435999999999999</v>
      </c>
      <c r="Q28" s="3">
        <v>194387</v>
      </c>
      <c r="R28" s="3">
        <v>279080</v>
      </c>
      <c r="S28" s="3">
        <v>122301</v>
      </c>
      <c r="T28" s="3">
        <v>793418.8</v>
      </c>
      <c r="U28" s="3">
        <v>795746.8</v>
      </c>
      <c r="V28" s="3">
        <v>314278.90000000002</v>
      </c>
      <c r="W28" s="3">
        <v>481467.9</v>
      </c>
      <c r="X28" s="2">
        <v>0.57074999999999998</v>
      </c>
      <c r="Y28" s="2">
        <v>2.72281</v>
      </c>
      <c r="Z28" s="2">
        <v>2.72255</v>
      </c>
      <c r="AA28" s="2">
        <v>2.7119499999999999</v>
      </c>
      <c r="AB28" s="2">
        <v>3.1526900000000002</v>
      </c>
      <c r="AC28" s="2">
        <v>3.0202300000000002</v>
      </c>
      <c r="AD28" s="2">
        <v>3.1947000000000001</v>
      </c>
      <c r="AE28" s="2">
        <v>1.49177</v>
      </c>
      <c r="AF28" s="2">
        <v>1.2814000000000001</v>
      </c>
      <c r="AG28" s="2">
        <v>1.6910000000000001</v>
      </c>
      <c r="AH28" s="2">
        <v>0.65415999999999996</v>
      </c>
      <c r="AI28" s="2">
        <v>0.52763000000000004</v>
      </c>
      <c r="AJ28" s="3">
        <v>1072498.8</v>
      </c>
      <c r="AK28" s="3">
        <v>422195</v>
      </c>
      <c r="AL28" s="3">
        <v>650303.80000000005</v>
      </c>
      <c r="AM28" s="2">
        <v>2.6350899999999999</v>
      </c>
      <c r="AN28" s="2">
        <v>2.0399600000000002</v>
      </c>
      <c r="AO28" s="2">
        <v>2.3819499999999998</v>
      </c>
      <c r="AP28" s="2">
        <v>1.68096</v>
      </c>
      <c r="AQ28" s="2">
        <v>2.78925</v>
      </c>
      <c r="AR28" s="2">
        <v>2.4783599999999999</v>
      </c>
      <c r="AS28" s="3">
        <v>316688</v>
      </c>
      <c r="AT28" s="2">
        <v>3.51932</v>
      </c>
      <c r="AU28" s="2">
        <v>2.07498</v>
      </c>
      <c r="AV28" s="22"/>
      <c r="AW28" s="23">
        <v>0.61381229999999998</v>
      </c>
      <c r="AX28" s="23">
        <v>0.38618770000000002</v>
      </c>
      <c r="AY28" s="23">
        <v>0.26021470000000002</v>
      </c>
      <c r="AZ28" s="23">
        <v>0.73978529999999998</v>
      </c>
      <c r="BA28" s="23">
        <v>5.0604120000000004</v>
      </c>
      <c r="BB28" s="23">
        <v>0.57732329999999998</v>
      </c>
      <c r="BC28" s="23">
        <v>0.42267670000000002</v>
      </c>
      <c r="BD28" s="23">
        <v>0.64724230000000005</v>
      </c>
      <c r="BE28" s="23">
        <v>0</v>
      </c>
      <c r="BF28" s="23">
        <v>2.7311700000000001</v>
      </c>
      <c r="BG28" s="23">
        <v>2.7311700000000001</v>
      </c>
      <c r="BH28" s="23">
        <v>1</v>
      </c>
      <c r="BI28" s="23">
        <v>0.83056479999999999</v>
      </c>
      <c r="BJ28" s="23">
        <v>0.234185</v>
      </c>
      <c r="BK28" s="23">
        <v>0.76581500000000002</v>
      </c>
      <c r="BL28" s="23">
        <v>0.29117480000000001</v>
      </c>
      <c r="BM28" s="23">
        <v>3.9300000000000004E-15</v>
      </c>
      <c r="BN28" s="23">
        <v>2.4626450000000002</v>
      </c>
      <c r="BO28" s="23">
        <v>2.4626440000000001</v>
      </c>
      <c r="BP28" s="23">
        <v>0.99999990000000005</v>
      </c>
      <c r="BQ28" s="23">
        <v>0.44890160000000001</v>
      </c>
      <c r="BR28" s="23">
        <v>0.23529839999999999</v>
      </c>
      <c r="BS28" s="23">
        <v>0.76470150000000003</v>
      </c>
      <c r="BT28" s="23">
        <v>0.55497370000000001</v>
      </c>
      <c r="BU28" s="23">
        <v>0.69686530000000002</v>
      </c>
      <c r="BV28" s="23">
        <v>0.44306980000000001</v>
      </c>
      <c r="BW28" s="23">
        <v>1.954494</v>
      </c>
      <c r="BX28" s="23">
        <v>2.7607020000000002</v>
      </c>
      <c r="BY28" s="23">
        <v>1.41249</v>
      </c>
      <c r="BZ28" s="23">
        <v>0</v>
      </c>
      <c r="CA28" s="23">
        <v>0.61208739999999995</v>
      </c>
      <c r="CB28" s="23">
        <v>0.3879127</v>
      </c>
      <c r="CC28" s="23">
        <v>0.2557489</v>
      </c>
      <c r="CD28" s="23">
        <v>0.74425110000000005</v>
      </c>
      <c r="CE28" s="23">
        <v>4.0183249999999999</v>
      </c>
      <c r="CF28" s="23">
        <v>3.336859</v>
      </c>
      <c r="CG28" s="23">
        <v>2.2269950000000001</v>
      </c>
      <c r="CH28" s="23">
        <v>2.6256390000000001</v>
      </c>
      <c r="CI28" s="23">
        <v>1.3433200000000001</v>
      </c>
      <c r="CJ28" s="23">
        <v>1.1294550000000001</v>
      </c>
      <c r="CK28" s="23">
        <v>0.84079400000000004</v>
      </c>
      <c r="CL28" s="23">
        <v>0.98312319999999997</v>
      </c>
      <c r="CM28" s="23">
        <v>0.56350199999999995</v>
      </c>
      <c r="CN28" s="23">
        <v>0.60514999999999997</v>
      </c>
      <c r="CO28" s="23">
        <v>0.53786230000000002</v>
      </c>
      <c r="CP28" s="23">
        <v>8.8421999999999997E-3</v>
      </c>
      <c r="CQ28" s="23">
        <v>1.0352500000000001E-2</v>
      </c>
      <c r="CR28" s="23">
        <v>9.0069E-3</v>
      </c>
      <c r="CS28" s="23">
        <v>1.3166260000000001</v>
      </c>
      <c r="CT28" s="23">
        <v>1.4613659999999999</v>
      </c>
      <c r="CU28" s="23">
        <v>1.214898</v>
      </c>
      <c r="CV28" s="23">
        <v>0.93300810000000001</v>
      </c>
      <c r="CW28" s="23">
        <v>1.2724070000000001</v>
      </c>
      <c r="CX28" s="23">
        <v>1.277641</v>
      </c>
      <c r="CY28" s="23">
        <v>1.3260479999999999</v>
      </c>
    </row>
    <row r="29" spans="1:103" x14ac:dyDescent="0.3">
      <c r="A29" s="5">
        <v>1974</v>
      </c>
      <c r="B29" s="3">
        <v>213898</v>
      </c>
      <c r="C29" s="3">
        <v>1545243</v>
      </c>
      <c r="D29" s="2">
        <v>2.7798400000000001</v>
      </c>
      <c r="E29" s="2">
        <v>2.2269199999999998</v>
      </c>
      <c r="F29" s="3">
        <v>930161</v>
      </c>
      <c r="G29" s="3">
        <v>274526</v>
      </c>
      <c r="H29" s="3">
        <v>265205</v>
      </c>
      <c r="I29" s="3">
        <v>76166</v>
      </c>
      <c r="J29" s="3">
        <v>-815</v>
      </c>
      <c r="K29" s="3">
        <v>1507131</v>
      </c>
      <c r="L29" s="3">
        <v>511066.2</v>
      </c>
      <c r="M29" s="3">
        <v>996064.8</v>
      </c>
      <c r="N29" s="2">
        <v>2.2835100000000002</v>
      </c>
      <c r="O29" s="2">
        <v>1.96997</v>
      </c>
      <c r="P29" s="2">
        <v>2.51736</v>
      </c>
      <c r="Q29" s="3">
        <v>206592</v>
      </c>
      <c r="R29" s="3">
        <v>297784</v>
      </c>
      <c r="S29" s="3">
        <v>130110</v>
      </c>
      <c r="T29" s="3">
        <v>872645</v>
      </c>
      <c r="U29" s="3">
        <v>839624.3</v>
      </c>
      <c r="V29" s="3">
        <v>328322.8</v>
      </c>
      <c r="W29" s="3">
        <v>511301.5</v>
      </c>
      <c r="X29" s="2">
        <v>0.56496000000000002</v>
      </c>
      <c r="Y29" s="2">
        <v>2.7034400000000001</v>
      </c>
      <c r="Z29" s="2">
        <v>2.5641699999999998</v>
      </c>
      <c r="AA29" s="2">
        <v>2.7677299999999998</v>
      </c>
      <c r="AB29" s="2">
        <v>3.2913800000000002</v>
      </c>
      <c r="AC29" s="2">
        <v>3.1576399999999998</v>
      </c>
      <c r="AD29" s="2">
        <v>3.33338</v>
      </c>
      <c r="AE29" s="2">
        <v>1.4881899999999999</v>
      </c>
      <c r="AF29" s="2">
        <v>1.2593799999999999</v>
      </c>
      <c r="AG29" s="2">
        <v>1.7033199999999999</v>
      </c>
      <c r="AH29" s="2">
        <v>0.6482</v>
      </c>
      <c r="AI29" s="2">
        <v>0.52159999999999995</v>
      </c>
      <c r="AJ29" s="3">
        <v>1170429</v>
      </c>
      <c r="AK29" s="3">
        <v>449854</v>
      </c>
      <c r="AL29" s="3">
        <v>720575</v>
      </c>
      <c r="AM29" s="2">
        <v>2.6464099999999999</v>
      </c>
      <c r="AN29" s="2">
        <v>2.2141799999999998</v>
      </c>
      <c r="AO29" s="2">
        <v>2.3473899999999999</v>
      </c>
      <c r="AP29" s="2">
        <v>1.81538</v>
      </c>
      <c r="AQ29" s="2">
        <v>2.84978</v>
      </c>
      <c r="AR29" s="2">
        <v>2.6847799999999999</v>
      </c>
      <c r="AS29" s="3">
        <v>336702</v>
      </c>
      <c r="AT29" s="2">
        <v>3.3820299999999999</v>
      </c>
      <c r="AU29" s="2">
        <v>2.2956699999999999</v>
      </c>
      <c r="AV29" s="22"/>
      <c r="AW29" s="23">
        <v>0.61357519999999999</v>
      </c>
      <c r="AX29" s="23">
        <v>0.38642480000000001</v>
      </c>
      <c r="AY29" s="23">
        <v>0.25442300000000001</v>
      </c>
      <c r="AZ29" s="23">
        <v>0.74557700000000005</v>
      </c>
      <c r="BA29" s="23">
        <v>5.471902</v>
      </c>
      <c r="BB29" s="23">
        <v>0.58946299999999996</v>
      </c>
      <c r="BC29" s="23">
        <v>0.41053699999999999</v>
      </c>
      <c r="BD29" s="23">
        <v>0.64724230000000005</v>
      </c>
      <c r="BE29" s="23">
        <v>0</v>
      </c>
      <c r="BF29" s="23">
        <v>2.6951269999999998</v>
      </c>
      <c r="BG29" s="23">
        <v>2.6951269999999998</v>
      </c>
      <c r="BH29" s="23">
        <v>1</v>
      </c>
      <c r="BI29" s="23">
        <v>0.83056479999999999</v>
      </c>
      <c r="BJ29" s="23">
        <v>0.2432619</v>
      </c>
      <c r="BK29" s="23">
        <v>0.75673809999999997</v>
      </c>
      <c r="BL29" s="23">
        <v>0.29117480000000001</v>
      </c>
      <c r="BM29" s="23">
        <v>3.9300000000000004E-15</v>
      </c>
      <c r="BN29" s="23">
        <v>2.47235</v>
      </c>
      <c r="BO29" s="23">
        <v>2.47235</v>
      </c>
      <c r="BP29" s="23">
        <v>1</v>
      </c>
      <c r="BQ29" s="23">
        <v>0.44890160000000001</v>
      </c>
      <c r="BR29" s="23">
        <v>0.2427349</v>
      </c>
      <c r="BS29" s="23">
        <v>0.75726510000000002</v>
      </c>
      <c r="BT29" s="23">
        <v>0.55497370000000001</v>
      </c>
      <c r="BU29" s="23">
        <v>0.69686530000000002</v>
      </c>
      <c r="BV29" s="23">
        <v>0.44306980000000001</v>
      </c>
      <c r="BW29" s="23">
        <v>1.94868</v>
      </c>
      <c r="BX29" s="23">
        <v>2.7775509999999999</v>
      </c>
      <c r="BY29" s="23">
        <v>1.4253499999999999</v>
      </c>
      <c r="BZ29" s="23">
        <v>0</v>
      </c>
      <c r="CA29" s="23">
        <v>0.61369379999999996</v>
      </c>
      <c r="CB29" s="23">
        <v>0.38630619999999999</v>
      </c>
      <c r="CC29" s="23">
        <v>0.25731890000000002</v>
      </c>
      <c r="CD29" s="23">
        <v>0.74268109999999998</v>
      </c>
      <c r="CE29" s="23">
        <v>3.782127</v>
      </c>
      <c r="CF29" s="23">
        <v>3.304888</v>
      </c>
      <c r="CG29" s="23">
        <v>2.104441</v>
      </c>
      <c r="CH29" s="23">
        <v>2.6884890000000001</v>
      </c>
      <c r="CI29" s="23">
        <v>1.277868</v>
      </c>
      <c r="CJ29" s="23">
        <v>1.096568</v>
      </c>
      <c r="CK29" s="23">
        <v>0.85812250000000001</v>
      </c>
      <c r="CL29" s="23">
        <v>0.9645011</v>
      </c>
      <c r="CM29" s="23">
        <v>0.56350199999999995</v>
      </c>
      <c r="CN29" s="23">
        <v>0.60514999999999997</v>
      </c>
      <c r="CO29" s="23">
        <v>0.53786230000000002</v>
      </c>
      <c r="CP29" s="23">
        <v>-2.4578300000000001E-2</v>
      </c>
      <c r="CQ29" s="23">
        <v>-6.9586400000000007E-2</v>
      </c>
      <c r="CR29" s="23">
        <v>-2.2823000000000001E-3</v>
      </c>
      <c r="CS29" s="23">
        <v>1.2846599999999999</v>
      </c>
      <c r="CT29" s="23">
        <v>1.3631329999999999</v>
      </c>
      <c r="CU29" s="23">
        <v>1.2121280000000001</v>
      </c>
      <c r="CV29" s="23">
        <v>0.93403879999999995</v>
      </c>
      <c r="CW29" s="23">
        <v>1.219622</v>
      </c>
      <c r="CX29" s="23">
        <v>1.2525299999999999</v>
      </c>
      <c r="CY29" s="23">
        <v>1.2778560000000001</v>
      </c>
    </row>
    <row r="30" spans="1:103" x14ac:dyDescent="0.3">
      <c r="A30" s="5">
        <v>1975</v>
      </c>
      <c r="B30" s="3">
        <v>215981</v>
      </c>
      <c r="C30" s="3">
        <v>1684904</v>
      </c>
      <c r="D30" s="2">
        <v>2.7740900000000002</v>
      </c>
      <c r="E30" s="2">
        <v>2.43323</v>
      </c>
      <c r="F30" s="3">
        <v>1030547</v>
      </c>
      <c r="G30" s="3">
        <v>257253</v>
      </c>
      <c r="H30" s="3">
        <v>296725</v>
      </c>
      <c r="I30" s="3">
        <v>84403</v>
      </c>
      <c r="J30" s="3">
        <v>15977</v>
      </c>
      <c r="K30" s="3">
        <v>1637062.3</v>
      </c>
      <c r="L30" s="3">
        <v>545225.30000000005</v>
      </c>
      <c r="M30" s="3">
        <v>1091837</v>
      </c>
      <c r="N30" s="2">
        <v>2.4887100000000002</v>
      </c>
      <c r="O30" s="2">
        <v>2.2042199999999998</v>
      </c>
      <c r="P30" s="2">
        <v>2.7072799999999999</v>
      </c>
      <c r="Q30" s="3">
        <v>210506</v>
      </c>
      <c r="R30" s="3">
        <v>326650</v>
      </c>
      <c r="S30" s="3">
        <v>137406</v>
      </c>
      <c r="T30" s="3">
        <v>962500.3</v>
      </c>
      <c r="U30" s="3">
        <v>911870.1</v>
      </c>
      <c r="V30" s="3">
        <v>342504.9</v>
      </c>
      <c r="W30" s="3">
        <v>569365.19999999995</v>
      </c>
      <c r="X30" s="2">
        <v>0.55706</v>
      </c>
      <c r="Y30" s="2">
        <v>2.6943800000000002</v>
      </c>
      <c r="Z30" s="2">
        <v>2.4448400000000001</v>
      </c>
      <c r="AA30" s="2">
        <v>2.8210099999999998</v>
      </c>
      <c r="AB30" s="2">
        <v>3.4009399999999999</v>
      </c>
      <c r="AC30" s="2">
        <v>3.2863000000000002</v>
      </c>
      <c r="AD30" s="2">
        <v>3.4348800000000002</v>
      </c>
      <c r="AE30" s="2">
        <v>1.4484999999999999</v>
      </c>
      <c r="AF30" s="2">
        <v>1.1641699999999999</v>
      </c>
      <c r="AG30" s="2">
        <v>1.7119200000000001</v>
      </c>
      <c r="AH30" s="2">
        <v>0.63531000000000004</v>
      </c>
      <c r="AI30" s="2">
        <v>0.51739999999999997</v>
      </c>
      <c r="AJ30" s="3">
        <v>1289150.3</v>
      </c>
      <c r="AK30" s="3">
        <v>480728</v>
      </c>
      <c r="AL30" s="3">
        <v>808422.3</v>
      </c>
      <c r="AM30" s="2">
        <v>2.69394</v>
      </c>
      <c r="AN30" s="2">
        <v>2.4062999999999999</v>
      </c>
      <c r="AO30" s="2">
        <v>2.4205299999999998</v>
      </c>
      <c r="AP30" s="2">
        <v>1.88964</v>
      </c>
      <c r="AQ30" s="2">
        <v>2.9525299999999999</v>
      </c>
      <c r="AR30" s="2">
        <v>2.9200699999999999</v>
      </c>
      <c r="AS30" s="3">
        <v>347912</v>
      </c>
      <c r="AT30" s="2">
        <v>3.13504</v>
      </c>
      <c r="AU30" s="2">
        <v>2.55898</v>
      </c>
      <c r="AV30" s="22"/>
      <c r="AW30" s="23">
        <v>0.60505529999999996</v>
      </c>
      <c r="AX30" s="23">
        <v>0.39494469999999998</v>
      </c>
      <c r="AY30" s="23">
        <v>0.253384</v>
      </c>
      <c r="AZ30" s="23">
        <v>0.7466161</v>
      </c>
      <c r="BA30" s="23">
        <v>5.9688129999999999</v>
      </c>
      <c r="BB30" s="23">
        <v>0.59901610000000005</v>
      </c>
      <c r="BC30" s="23">
        <v>0.4009839</v>
      </c>
      <c r="BD30" s="23">
        <v>0.64724230000000005</v>
      </c>
      <c r="BE30" s="23">
        <v>0</v>
      </c>
      <c r="BF30" s="23">
        <v>2.6960229999999998</v>
      </c>
      <c r="BG30" s="23">
        <v>2.6960229999999998</v>
      </c>
      <c r="BH30" s="23">
        <v>1</v>
      </c>
      <c r="BI30" s="23">
        <v>0.83056479999999999</v>
      </c>
      <c r="BJ30" s="23">
        <v>0.25062960000000001</v>
      </c>
      <c r="BK30" s="23">
        <v>0.74937039999999999</v>
      </c>
      <c r="BL30" s="23">
        <v>0.29117480000000001</v>
      </c>
      <c r="BM30" s="23">
        <v>3.9300000000000004E-15</v>
      </c>
      <c r="BN30" s="23">
        <v>2.5074399999999999</v>
      </c>
      <c r="BO30" s="23">
        <v>2.5074399999999999</v>
      </c>
      <c r="BP30" s="23">
        <v>1</v>
      </c>
      <c r="BQ30" s="23">
        <v>0.44890160000000001</v>
      </c>
      <c r="BR30" s="23">
        <v>0.2475735</v>
      </c>
      <c r="BS30" s="23">
        <v>0.75242640000000005</v>
      </c>
      <c r="BT30" s="23">
        <v>0.55497370000000001</v>
      </c>
      <c r="BU30" s="23">
        <v>0.69686530000000002</v>
      </c>
      <c r="BV30" s="23">
        <v>0.44306980000000001</v>
      </c>
      <c r="BW30" s="23">
        <v>1.9564779999999999</v>
      </c>
      <c r="BX30" s="23">
        <v>2.826492</v>
      </c>
      <c r="BY30" s="23">
        <v>1.4446840000000001</v>
      </c>
      <c r="BZ30" s="23">
        <v>0</v>
      </c>
      <c r="CA30" s="23">
        <v>0.6093153</v>
      </c>
      <c r="CB30" s="23">
        <v>0.3906848</v>
      </c>
      <c r="CC30" s="23">
        <v>0.2539034</v>
      </c>
      <c r="CD30" s="23">
        <v>0.7460966</v>
      </c>
      <c r="CE30" s="23">
        <v>3.4442210000000002</v>
      </c>
      <c r="CF30" s="23">
        <v>3.2453609999999999</v>
      </c>
      <c r="CG30" s="23">
        <v>2.0631080000000002</v>
      </c>
      <c r="CH30" s="23">
        <v>2.7572920000000001</v>
      </c>
      <c r="CI30" s="23">
        <v>1.2282280000000001</v>
      </c>
      <c r="CJ30" s="23">
        <v>1.0579529999999999</v>
      </c>
      <c r="CK30" s="23">
        <v>0.86136590000000002</v>
      </c>
      <c r="CL30" s="23">
        <v>0.94033409999999995</v>
      </c>
      <c r="CM30" s="23">
        <v>0.56350199999999995</v>
      </c>
      <c r="CN30" s="23">
        <v>0.60514999999999997</v>
      </c>
      <c r="CO30" s="23">
        <v>0.53786230000000002</v>
      </c>
      <c r="CP30" s="23">
        <v>-2.4179000000000002E-3</v>
      </c>
      <c r="CQ30" s="23">
        <v>-2.0791299999999999E-2</v>
      </c>
      <c r="CR30" s="23">
        <v>3.1399000000000002E-3</v>
      </c>
      <c r="CS30" s="23">
        <v>1.281558</v>
      </c>
      <c r="CT30" s="23">
        <v>1.3350839999999999</v>
      </c>
      <c r="CU30" s="23">
        <v>1.21594</v>
      </c>
      <c r="CV30" s="23">
        <v>0.92316759999999998</v>
      </c>
      <c r="CW30" s="23">
        <v>1.1913279999999999</v>
      </c>
      <c r="CX30" s="23">
        <v>1.2483789999999999</v>
      </c>
      <c r="CY30" s="23">
        <v>1.246367</v>
      </c>
    </row>
    <row r="31" spans="1:103" x14ac:dyDescent="0.3">
      <c r="A31" s="5">
        <v>1976</v>
      </c>
      <c r="B31" s="3">
        <v>218086</v>
      </c>
      <c r="C31" s="3">
        <v>1873412</v>
      </c>
      <c r="D31" s="2">
        <v>2.9236</v>
      </c>
      <c r="E31" s="2">
        <v>2.5670999999999999</v>
      </c>
      <c r="F31" s="3">
        <v>1147666</v>
      </c>
      <c r="G31" s="3">
        <v>323224</v>
      </c>
      <c r="H31" s="3">
        <v>314508</v>
      </c>
      <c r="I31" s="3">
        <v>89645</v>
      </c>
      <c r="J31" s="3">
        <v>-1631</v>
      </c>
      <c r="K31" s="3">
        <v>1825309.9</v>
      </c>
      <c r="L31" s="3">
        <v>612529.19999999995</v>
      </c>
      <c r="M31" s="3">
        <v>1212780.8</v>
      </c>
      <c r="N31" s="2">
        <v>2.6396600000000001</v>
      </c>
      <c r="O31" s="2">
        <v>2.3098800000000002</v>
      </c>
      <c r="P31" s="2">
        <v>2.8889300000000002</v>
      </c>
      <c r="Q31" s="3">
        <v>240989</v>
      </c>
      <c r="R31" s="3">
        <v>363960</v>
      </c>
      <c r="S31" s="3">
        <v>154765</v>
      </c>
      <c r="T31" s="3">
        <v>1065595.8999999999</v>
      </c>
      <c r="U31" s="3">
        <v>1030431.8</v>
      </c>
      <c r="V31" s="3">
        <v>388488.6</v>
      </c>
      <c r="W31" s="3">
        <v>641943.19999999995</v>
      </c>
      <c r="X31" s="2">
        <v>0.56076999999999999</v>
      </c>
      <c r="Y31" s="2">
        <v>2.8324199999999999</v>
      </c>
      <c r="Z31" s="2">
        <v>2.621</v>
      </c>
      <c r="AA31" s="2">
        <v>2.9364699999999999</v>
      </c>
      <c r="AB31" s="2">
        <v>3.4965700000000002</v>
      </c>
      <c r="AC31" s="2">
        <v>3.40232</v>
      </c>
      <c r="AD31" s="2">
        <v>3.5218799999999999</v>
      </c>
      <c r="AE31" s="2">
        <v>1.49011</v>
      </c>
      <c r="AF31" s="2">
        <v>1.2079500000000001</v>
      </c>
      <c r="AG31" s="2">
        <v>1.75197</v>
      </c>
      <c r="AH31" s="2">
        <v>0.63121000000000005</v>
      </c>
      <c r="AI31" s="2">
        <v>0.52539000000000002</v>
      </c>
      <c r="AJ31" s="3">
        <v>1429555.9</v>
      </c>
      <c r="AK31" s="3">
        <v>542034</v>
      </c>
      <c r="AL31" s="3">
        <v>887521.9</v>
      </c>
      <c r="AM31" s="2">
        <v>2.8206600000000002</v>
      </c>
      <c r="AN31" s="2">
        <v>2.53999</v>
      </c>
      <c r="AO31" s="2">
        <v>2.5064199999999999</v>
      </c>
      <c r="AP31" s="2">
        <v>2.0507499999999999</v>
      </c>
      <c r="AQ31" s="2">
        <v>3.02942</v>
      </c>
      <c r="AR31" s="2">
        <v>3.1139899999999998</v>
      </c>
      <c r="AS31" s="3">
        <v>395754</v>
      </c>
      <c r="AT31" s="2">
        <v>3.3867600000000002</v>
      </c>
      <c r="AU31" s="2">
        <v>2.6945199999999998</v>
      </c>
      <c r="AV31" s="22"/>
      <c r="AW31" s="23">
        <v>0.60893640000000004</v>
      </c>
      <c r="AX31" s="23">
        <v>0.39106360000000001</v>
      </c>
      <c r="AY31" s="23">
        <v>0.25459660000000001</v>
      </c>
      <c r="AZ31" s="23">
        <v>0.7454035</v>
      </c>
      <c r="BA31" s="23">
        <v>6.5550100000000002</v>
      </c>
      <c r="BB31" s="23">
        <v>0.59465590000000002</v>
      </c>
      <c r="BC31" s="23">
        <v>0.40534409999999998</v>
      </c>
      <c r="BD31" s="23">
        <v>0.64724230000000005</v>
      </c>
      <c r="BE31" s="23">
        <v>0</v>
      </c>
      <c r="BF31" s="23">
        <v>2.8321360000000002</v>
      </c>
      <c r="BG31" s="23">
        <v>2.8321360000000002</v>
      </c>
      <c r="BH31" s="23">
        <v>1</v>
      </c>
      <c r="BI31" s="23">
        <v>0.83056479999999999</v>
      </c>
      <c r="BJ31" s="23">
        <v>0.24724170000000001</v>
      </c>
      <c r="BK31" s="23">
        <v>0.75275829999999999</v>
      </c>
      <c r="BL31" s="23">
        <v>0.29117480000000001</v>
      </c>
      <c r="BM31" s="23">
        <v>3.9300000000000004E-15</v>
      </c>
      <c r="BN31" s="23">
        <v>2.6174789999999999</v>
      </c>
      <c r="BO31" s="23">
        <v>2.6174789999999999</v>
      </c>
      <c r="BP31" s="23">
        <v>1</v>
      </c>
      <c r="BQ31" s="23">
        <v>0.44890160000000001</v>
      </c>
      <c r="BR31" s="23">
        <v>0.2405987</v>
      </c>
      <c r="BS31" s="23">
        <v>0.75940129999999995</v>
      </c>
      <c r="BT31" s="23">
        <v>0.55497370000000001</v>
      </c>
      <c r="BU31" s="23">
        <v>0.69686530000000002</v>
      </c>
      <c r="BV31" s="23">
        <v>0.44306980000000001</v>
      </c>
      <c r="BW31" s="23">
        <v>2.011997</v>
      </c>
      <c r="BX31" s="23">
        <v>2.9644819999999998</v>
      </c>
      <c r="BY31" s="23">
        <v>1.473403</v>
      </c>
      <c r="BZ31" s="23">
        <v>0</v>
      </c>
      <c r="CA31" s="23">
        <v>0.60699579999999997</v>
      </c>
      <c r="CB31" s="23">
        <v>0.39300420000000003</v>
      </c>
      <c r="CC31" s="23">
        <v>0.2539903</v>
      </c>
      <c r="CD31" s="23">
        <v>0.74600979999999995</v>
      </c>
      <c r="CE31" s="23">
        <v>3.762613</v>
      </c>
      <c r="CF31" s="23">
        <v>3.4255170000000001</v>
      </c>
      <c r="CG31" s="23">
        <v>2.1936059999999999</v>
      </c>
      <c r="CH31" s="23">
        <v>2.8606880000000001</v>
      </c>
      <c r="CI31" s="23">
        <v>1.2506870000000001</v>
      </c>
      <c r="CJ31" s="23">
        <v>1.0721499999999999</v>
      </c>
      <c r="CK31" s="23">
        <v>0.85724909999999999</v>
      </c>
      <c r="CL31" s="23">
        <v>0.94264890000000001</v>
      </c>
      <c r="CM31" s="23">
        <v>0.56350199999999995</v>
      </c>
      <c r="CN31" s="23">
        <v>0.60514999999999997</v>
      </c>
      <c r="CO31" s="23">
        <v>0.53786230000000002</v>
      </c>
      <c r="CP31" s="23">
        <v>2.1900300000000001E-2</v>
      </c>
      <c r="CQ31" s="23">
        <v>3.3625799999999997E-2</v>
      </c>
      <c r="CR31" s="23">
        <v>1.61618E-2</v>
      </c>
      <c r="CS31" s="23">
        <v>1.3099339999999999</v>
      </c>
      <c r="CT31" s="23">
        <v>1.3807400000000001</v>
      </c>
      <c r="CU31" s="23">
        <v>1.235752</v>
      </c>
      <c r="CV31" s="23">
        <v>0.92532159999999997</v>
      </c>
      <c r="CW31" s="23">
        <v>1.2268509999999999</v>
      </c>
      <c r="CX31" s="23">
        <v>1.2747269999999999</v>
      </c>
      <c r="CY31" s="23">
        <v>1.283261</v>
      </c>
    </row>
    <row r="32" spans="1:103" x14ac:dyDescent="0.3">
      <c r="A32" s="5">
        <v>1977</v>
      </c>
      <c r="B32" s="3">
        <v>220289</v>
      </c>
      <c r="C32" s="3">
        <v>2081826</v>
      </c>
      <c r="D32" s="2">
        <v>3.0587499999999999</v>
      </c>
      <c r="E32" s="2">
        <v>2.7266400000000002</v>
      </c>
      <c r="F32" s="3">
        <v>1273975</v>
      </c>
      <c r="G32" s="3">
        <v>396613</v>
      </c>
      <c r="H32" s="3">
        <v>341169</v>
      </c>
      <c r="I32" s="3">
        <v>93162</v>
      </c>
      <c r="J32" s="3">
        <v>-23094</v>
      </c>
      <c r="K32" s="3">
        <v>2030516.3</v>
      </c>
      <c r="L32" s="3">
        <v>686541.6</v>
      </c>
      <c r="M32" s="3">
        <v>1343974.6</v>
      </c>
      <c r="N32" s="2">
        <v>2.8187899999999999</v>
      </c>
      <c r="O32" s="2">
        <v>2.4762200000000001</v>
      </c>
      <c r="P32" s="2">
        <v>3.0789</v>
      </c>
      <c r="Q32" s="3">
        <v>284651</v>
      </c>
      <c r="R32" s="3">
        <v>394075</v>
      </c>
      <c r="S32" s="3">
        <v>182801</v>
      </c>
      <c r="T32" s="3">
        <v>1168989.3</v>
      </c>
      <c r="U32" s="3">
        <v>1149704</v>
      </c>
      <c r="V32" s="3">
        <v>437670.40000000002</v>
      </c>
      <c r="W32" s="3">
        <v>712033.6</v>
      </c>
      <c r="X32" s="2">
        <v>0.56537000000000004</v>
      </c>
      <c r="Y32" s="2">
        <v>2.9506100000000002</v>
      </c>
      <c r="Z32" s="2">
        <v>2.7403599999999999</v>
      </c>
      <c r="AA32" s="2">
        <v>3.05335</v>
      </c>
      <c r="AB32" s="2">
        <v>3.6051199999999999</v>
      </c>
      <c r="AC32" s="2">
        <v>3.5186299999999999</v>
      </c>
      <c r="AD32" s="2">
        <v>3.6268899999999999</v>
      </c>
      <c r="AE32" s="2">
        <v>1.54749</v>
      </c>
      <c r="AF32" s="2">
        <v>1.26125</v>
      </c>
      <c r="AG32" s="2">
        <v>1.8134600000000001</v>
      </c>
      <c r="AH32" s="2">
        <v>0.63587000000000005</v>
      </c>
      <c r="AI32" s="2">
        <v>0.52956000000000003</v>
      </c>
      <c r="AJ32" s="3">
        <v>1563064.3</v>
      </c>
      <c r="AK32" s="3">
        <v>579467</v>
      </c>
      <c r="AL32" s="3">
        <v>983597.3</v>
      </c>
      <c r="AM32" s="2">
        <v>2.90767</v>
      </c>
      <c r="AN32" s="2">
        <v>2.6919499999999998</v>
      </c>
      <c r="AO32" s="2">
        <v>2.5550999999999999</v>
      </c>
      <c r="AP32" s="2">
        <v>2.1488900000000002</v>
      </c>
      <c r="AQ32" s="2">
        <v>3.1297700000000002</v>
      </c>
      <c r="AR32" s="2">
        <v>3.3377599999999998</v>
      </c>
      <c r="AS32" s="3">
        <v>467452</v>
      </c>
      <c r="AT32" s="2">
        <v>3.7367900000000001</v>
      </c>
      <c r="AU32" s="2">
        <v>2.8845499999999999</v>
      </c>
      <c r="AV32" s="22"/>
      <c r="AW32" s="23">
        <v>0.60894170000000003</v>
      </c>
      <c r="AX32" s="23">
        <v>0.39105830000000003</v>
      </c>
      <c r="AY32" s="23">
        <v>0.25211689999999998</v>
      </c>
      <c r="AZ32" s="23">
        <v>0.74788299999999996</v>
      </c>
      <c r="BA32" s="23">
        <v>7.0955170000000001</v>
      </c>
      <c r="BB32" s="23">
        <v>0.59606559999999997</v>
      </c>
      <c r="BC32" s="23">
        <v>0.40393440000000003</v>
      </c>
      <c r="BD32" s="23">
        <v>0.64724230000000005</v>
      </c>
      <c r="BE32" s="23">
        <v>0</v>
      </c>
      <c r="BF32" s="23">
        <v>2.895467</v>
      </c>
      <c r="BG32" s="23">
        <v>2.895467</v>
      </c>
      <c r="BH32" s="23">
        <v>1</v>
      </c>
      <c r="BI32" s="23">
        <v>0.83056479999999999</v>
      </c>
      <c r="BJ32" s="23">
        <v>0.24833240000000001</v>
      </c>
      <c r="BK32" s="23">
        <v>0.75166759999999999</v>
      </c>
      <c r="BL32" s="23">
        <v>0.29117480000000001</v>
      </c>
      <c r="BM32" s="23">
        <v>3.9300000000000004E-15</v>
      </c>
      <c r="BN32" s="23">
        <v>2.6814580000000001</v>
      </c>
      <c r="BO32" s="23">
        <v>2.6814580000000001</v>
      </c>
      <c r="BP32" s="23">
        <v>1</v>
      </c>
      <c r="BQ32" s="23">
        <v>0.44890160000000001</v>
      </c>
      <c r="BR32" s="23">
        <v>0.23950630000000001</v>
      </c>
      <c r="BS32" s="23">
        <v>0.7604938</v>
      </c>
      <c r="BT32" s="23">
        <v>0.55497370000000001</v>
      </c>
      <c r="BU32" s="23">
        <v>0.69686530000000002</v>
      </c>
      <c r="BV32" s="23">
        <v>0.44306980000000001</v>
      </c>
      <c r="BW32" s="23">
        <v>2.042805</v>
      </c>
      <c r="BX32" s="23">
        <v>3.0457239999999999</v>
      </c>
      <c r="BY32" s="23">
        <v>1.4909520000000001</v>
      </c>
      <c r="BZ32" s="23">
        <v>0</v>
      </c>
      <c r="CA32" s="23">
        <v>0.60893900000000001</v>
      </c>
      <c r="CB32" s="23">
        <v>0.39106099999999999</v>
      </c>
      <c r="CC32" s="23">
        <v>0.25335679999999999</v>
      </c>
      <c r="CD32" s="23">
        <v>0.74664319999999995</v>
      </c>
      <c r="CE32" s="23">
        <v>4.145772</v>
      </c>
      <c r="CF32" s="23">
        <v>3.7964159999999998</v>
      </c>
      <c r="CG32" s="23">
        <v>2.2155640000000001</v>
      </c>
      <c r="CH32" s="23">
        <v>2.9446270000000001</v>
      </c>
      <c r="CI32" s="23">
        <v>1.2433890000000001</v>
      </c>
      <c r="CJ32" s="23">
        <v>1.0673760000000001</v>
      </c>
      <c r="CK32" s="23">
        <v>0.85844089999999995</v>
      </c>
      <c r="CL32" s="23">
        <v>0.93323009999999995</v>
      </c>
      <c r="CM32" s="23">
        <v>0.56350199999999995</v>
      </c>
      <c r="CN32" s="23">
        <v>0.60514999999999997</v>
      </c>
      <c r="CO32" s="23">
        <v>0.53786230000000002</v>
      </c>
      <c r="CP32" s="23">
        <v>6.2478999999999998E-3</v>
      </c>
      <c r="CQ32" s="23">
        <v>5.5345999999999998E-3</v>
      </c>
      <c r="CR32" s="23">
        <v>6.7673999999999998E-3</v>
      </c>
      <c r="CS32" s="23">
        <v>1.318144</v>
      </c>
      <c r="CT32" s="23">
        <v>1.3884030000000001</v>
      </c>
      <c r="CU32" s="23">
        <v>1.244143</v>
      </c>
      <c r="CV32" s="23">
        <v>0.92449000000000003</v>
      </c>
      <c r="CW32" s="23">
        <v>1.2331270000000001</v>
      </c>
      <c r="CX32" s="23">
        <v>1.282958</v>
      </c>
      <c r="CY32" s="23">
        <v>1.2880910000000001</v>
      </c>
    </row>
    <row r="33" spans="1:103" x14ac:dyDescent="0.3">
      <c r="A33" s="5">
        <v>1978</v>
      </c>
      <c r="B33" s="3">
        <v>222629</v>
      </c>
      <c r="C33" s="3">
        <v>2351599</v>
      </c>
      <c r="D33" s="2">
        <v>3.2280700000000002</v>
      </c>
      <c r="E33" s="2">
        <v>2.9184199999999998</v>
      </c>
      <c r="F33" s="3">
        <v>1422252</v>
      </c>
      <c r="G33" s="3">
        <v>478377</v>
      </c>
      <c r="H33" s="3">
        <v>370770</v>
      </c>
      <c r="I33" s="3">
        <v>105567</v>
      </c>
      <c r="J33" s="3">
        <v>-25367</v>
      </c>
      <c r="K33" s="3">
        <v>2293510.2999999998</v>
      </c>
      <c r="L33" s="3">
        <v>775739.8</v>
      </c>
      <c r="M33" s="3">
        <v>1517770.6</v>
      </c>
      <c r="N33" s="2">
        <v>3.0304899999999999</v>
      </c>
      <c r="O33" s="2">
        <v>2.6883699999999999</v>
      </c>
      <c r="P33" s="2">
        <v>3.2936399999999999</v>
      </c>
      <c r="Q33" s="3">
        <v>338410</v>
      </c>
      <c r="R33" s="3">
        <v>428357</v>
      </c>
      <c r="S33" s="3">
        <v>219743</v>
      </c>
      <c r="T33" s="3">
        <v>1307000.3</v>
      </c>
      <c r="U33" s="3">
        <v>1298036.3</v>
      </c>
      <c r="V33" s="3">
        <v>495253.8</v>
      </c>
      <c r="W33" s="3">
        <v>802782.6</v>
      </c>
      <c r="X33" s="2">
        <v>0.56608999999999998</v>
      </c>
      <c r="Y33" s="2">
        <v>3.0999599999999998</v>
      </c>
      <c r="Z33" s="2">
        <v>2.8520500000000002</v>
      </c>
      <c r="AA33" s="2">
        <v>3.2233800000000001</v>
      </c>
      <c r="AB33" s="2">
        <v>3.77996</v>
      </c>
      <c r="AC33" s="2">
        <v>3.6835</v>
      </c>
      <c r="AD33" s="2">
        <v>3.80511</v>
      </c>
      <c r="AE33" s="2">
        <v>1.6213500000000001</v>
      </c>
      <c r="AF33" s="2">
        <v>1.33036</v>
      </c>
      <c r="AG33" s="2">
        <v>1.89218</v>
      </c>
      <c r="AH33" s="2">
        <v>0.63795999999999997</v>
      </c>
      <c r="AI33" s="2">
        <v>0.52936000000000005</v>
      </c>
      <c r="AJ33" s="3">
        <v>1735357.3</v>
      </c>
      <c r="AK33" s="3">
        <v>640419</v>
      </c>
      <c r="AL33" s="3">
        <v>1094938.3</v>
      </c>
      <c r="AM33" s="2">
        <v>3.0253199999999998</v>
      </c>
      <c r="AN33" s="2">
        <v>2.87425</v>
      </c>
      <c r="AO33" s="2">
        <v>2.6634799999999998</v>
      </c>
      <c r="AP33" s="2">
        <v>2.2797100000000001</v>
      </c>
      <c r="AQ33" s="2">
        <v>3.2479900000000002</v>
      </c>
      <c r="AR33" s="2">
        <v>3.5825999999999998</v>
      </c>
      <c r="AS33" s="3">
        <v>558153</v>
      </c>
      <c r="AT33" s="2">
        <v>4.1348099999999999</v>
      </c>
      <c r="AU33" s="2">
        <v>3.1127099999999999</v>
      </c>
      <c r="AV33" s="22"/>
      <c r="AW33" s="23">
        <v>0.60630329999999999</v>
      </c>
      <c r="AX33" s="23">
        <v>0.39369670000000001</v>
      </c>
      <c r="AY33" s="23">
        <v>0.2468408</v>
      </c>
      <c r="AZ33" s="23">
        <v>0.75315920000000003</v>
      </c>
      <c r="BA33" s="23">
        <v>7.7948389999999996</v>
      </c>
      <c r="BB33" s="23">
        <v>0.59961960000000003</v>
      </c>
      <c r="BC33" s="23">
        <v>0.40038040000000003</v>
      </c>
      <c r="BD33" s="23">
        <v>0.64724230000000005</v>
      </c>
      <c r="BE33" s="23">
        <v>0</v>
      </c>
      <c r="BF33" s="23">
        <v>2.9786030000000001</v>
      </c>
      <c r="BG33" s="23">
        <v>2.9786030000000001</v>
      </c>
      <c r="BH33" s="23">
        <v>1</v>
      </c>
      <c r="BI33" s="23">
        <v>0.83056479999999999</v>
      </c>
      <c r="BJ33" s="23">
        <v>0.25110189999999999</v>
      </c>
      <c r="BK33" s="23">
        <v>0.74889810000000001</v>
      </c>
      <c r="BL33" s="23">
        <v>0.29117480000000001</v>
      </c>
      <c r="BM33" s="23">
        <v>3.9300000000000004E-15</v>
      </c>
      <c r="BN33" s="23">
        <v>2.772681</v>
      </c>
      <c r="BO33" s="23">
        <v>2.772681</v>
      </c>
      <c r="BP33" s="23">
        <v>1</v>
      </c>
      <c r="BQ33" s="23">
        <v>0.44890160000000001</v>
      </c>
      <c r="BR33" s="23">
        <v>0.23844290000000001</v>
      </c>
      <c r="BS33" s="23">
        <v>0.76155709999999999</v>
      </c>
      <c r="BT33" s="23">
        <v>0.55497370000000001</v>
      </c>
      <c r="BU33" s="23">
        <v>0.69686530000000002</v>
      </c>
      <c r="BV33" s="23">
        <v>0.44306980000000001</v>
      </c>
      <c r="BW33" s="23">
        <v>2.0797300000000001</v>
      </c>
      <c r="BX33" s="23">
        <v>3.1654059999999999</v>
      </c>
      <c r="BY33" s="23">
        <v>1.522027</v>
      </c>
      <c r="BZ33" s="23">
        <v>0</v>
      </c>
      <c r="CA33" s="23">
        <v>0.60762249999999995</v>
      </c>
      <c r="CB33" s="23">
        <v>0.39237749999999999</v>
      </c>
      <c r="CC33" s="23">
        <v>0.2494789</v>
      </c>
      <c r="CD33" s="23">
        <v>0.75052110000000005</v>
      </c>
      <c r="CE33" s="23">
        <v>4.5397939999999997</v>
      </c>
      <c r="CF33" s="23">
        <v>4.2660910000000003</v>
      </c>
      <c r="CG33" s="23">
        <v>2.2182550000000001</v>
      </c>
      <c r="CH33" s="23">
        <v>3.077623</v>
      </c>
      <c r="CI33" s="23">
        <v>1.2251449999999999</v>
      </c>
      <c r="CJ33" s="23">
        <v>1.058127</v>
      </c>
      <c r="CK33" s="23">
        <v>0.86367519999999998</v>
      </c>
      <c r="CL33" s="23">
        <v>0.92339380000000004</v>
      </c>
      <c r="CM33" s="23">
        <v>0.56350199999999995</v>
      </c>
      <c r="CN33" s="23">
        <v>0.60514999999999997</v>
      </c>
      <c r="CO33" s="23">
        <v>0.53786230000000002</v>
      </c>
      <c r="CP33" s="23">
        <v>2.4285999999999999E-3</v>
      </c>
      <c r="CQ33" s="23">
        <v>-1.0102699999999999E-2</v>
      </c>
      <c r="CR33" s="23">
        <v>9.3091000000000007E-3</v>
      </c>
      <c r="CS33" s="23">
        <v>1.3213490000000001</v>
      </c>
      <c r="CT33" s="23">
        <v>1.374447</v>
      </c>
      <c r="CU33" s="23">
        <v>1.255779</v>
      </c>
      <c r="CV33" s="23">
        <v>0.92474789999999996</v>
      </c>
      <c r="CW33" s="23">
        <v>1.2300150000000001</v>
      </c>
      <c r="CX33" s="23">
        <v>1.2881629999999999</v>
      </c>
      <c r="CY33" s="23">
        <v>1.286449</v>
      </c>
    </row>
    <row r="34" spans="1:103" x14ac:dyDescent="0.3">
      <c r="A34" s="5">
        <v>1979</v>
      </c>
      <c r="B34" s="3">
        <v>225106</v>
      </c>
      <c r="C34" s="3">
        <v>2627333</v>
      </c>
      <c r="D34" s="2">
        <v>3.33033</v>
      </c>
      <c r="E34" s="2">
        <v>3.1604999999999999</v>
      </c>
      <c r="F34" s="3">
        <v>1585420</v>
      </c>
      <c r="G34" s="3">
        <v>539657</v>
      </c>
      <c r="H34" s="3">
        <v>404705</v>
      </c>
      <c r="I34" s="3">
        <v>120097</v>
      </c>
      <c r="J34" s="3">
        <v>-22545</v>
      </c>
      <c r="K34" s="3">
        <v>2561569</v>
      </c>
      <c r="L34" s="3">
        <v>869995.4</v>
      </c>
      <c r="M34" s="3">
        <v>1691573.5</v>
      </c>
      <c r="N34" s="2">
        <v>3.2847499999999998</v>
      </c>
      <c r="O34" s="2">
        <v>2.9946299999999999</v>
      </c>
      <c r="P34" s="2">
        <v>3.5203199999999999</v>
      </c>
      <c r="Q34" s="3">
        <v>385625</v>
      </c>
      <c r="R34" s="3">
        <v>473749</v>
      </c>
      <c r="S34" s="3">
        <v>256144</v>
      </c>
      <c r="T34" s="3">
        <v>1446051</v>
      </c>
      <c r="U34" s="3">
        <v>1481996.5</v>
      </c>
      <c r="V34" s="3">
        <v>559856.9</v>
      </c>
      <c r="W34" s="3">
        <v>922139.5</v>
      </c>
      <c r="X34" s="2">
        <v>0.57225999999999999</v>
      </c>
      <c r="Y34" s="2">
        <v>3.1942699999999999</v>
      </c>
      <c r="Z34" s="2">
        <v>2.8714599999999999</v>
      </c>
      <c r="AA34" s="2">
        <v>3.36117</v>
      </c>
      <c r="AB34" s="2">
        <v>3.9663200000000001</v>
      </c>
      <c r="AC34" s="2">
        <v>3.8551700000000002</v>
      </c>
      <c r="AD34" s="2">
        <v>3.99681</v>
      </c>
      <c r="AE34" s="2">
        <v>1.67455</v>
      </c>
      <c r="AF34" s="2">
        <v>1.3723099999999999</v>
      </c>
      <c r="AG34" s="2">
        <v>1.95574</v>
      </c>
      <c r="AH34" s="2">
        <v>0.64097000000000004</v>
      </c>
      <c r="AI34" s="2">
        <v>0.53703000000000001</v>
      </c>
      <c r="AJ34" s="3">
        <v>1919800</v>
      </c>
      <c r="AK34" s="3">
        <v>706209</v>
      </c>
      <c r="AL34" s="3">
        <v>1213591</v>
      </c>
      <c r="AM34" s="2">
        <v>3.0972599999999999</v>
      </c>
      <c r="AN34" s="2">
        <v>3.1082399999999999</v>
      </c>
      <c r="AO34" s="2">
        <v>2.7629299999999999</v>
      </c>
      <c r="AP34" s="2">
        <v>2.4252600000000002</v>
      </c>
      <c r="AQ34" s="2">
        <v>3.3290000000000002</v>
      </c>
      <c r="AR34" s="2">
        <v>3.8771300000000002</v>
      </c>
      <c r="AS34" s="3">
        <v>641769</v>
      </c>
      <c r="AT34" s="2">
        <v>4.3704200000000002</v>
      </c>
      <c r="AU34" s="2">
        <v>3.3860700000000001</v>
      </c>
      <c r="AV34" s="22"/>
      <c r="AW34" s="23">
        <v>0.60087820000000003</v>
      </c>
      <c r="AX34" s="23">
        <v>0.39912180000000003</v>
      </c>
      <c r="AY34" s="23">
        <v>0.24676999999999999</v>
      </c>
      <c r="AZ34" s="23">
        <v>0.75322999999999996</v>
      </c>
      <c r="BA34" s="23">
        <v>8.5284259999999996</v>
      </c>
      <c r="BB34" s="23">
        <v>0.60949960000000003</v>
      </c>
      <c r="BC34" s="23">
        <v>0.39050040000000003</v>
      </c>
      <c r="BD34" s="23">
        <v>0.64724230000000005</v>
      </c>
      <c r="BE34" s="23">
        <v>0</v>
      </c>
      <c r="BF34" s="23">
        <v>3.0069240000000002</v>
      </c>
      <c r="BG34" s="23">
        <v>3.0069240000000002</v>
      </c>
      <c r="BH34" s="23">
        <v>1</v>
      </c>
      <c r="BI34" s="23">
        <v>0.83056479999999999</v>
      </c>
      <c r="BJ34" s="23">
        <v>0.2589535</v>
      </c>
      <c r="BK34" s="23">
        <v>0.74104650000000005</v>
      </c>
      <c r="BL34" s="23">
        <v>0.29117480000000001</v>
      </c>
      <c r="BM34" s="23">
        <v>3.9300000000000004E-15</v>
      </c>
      <c r="BN34" s="23">
        <v>2.8397739999999998</v>
      </c>
      <c r="BO34" s="23">
        <v>2.8397739999999998</v>
      </c>
      <c r="BP34" s="23">
        <v>1</v>
      </c>
      <c r="BQ34" s="23">
        <v>0.44890160000000001</v>
      </c>
      <c r="BR34" s="23">
        <v>0.24224580000000001</v>
      </c>
      <c r="BS34" s="23">
        <v>0.75775420000000004</v>
      </c>
      <c r="BT34" s="23">
        <v>0.55497370000000001</v>
      </c>
      <c r="BU34" s="23">
        <v>0.69686530000000002</v>
      </c>
      <c r="BV34" s="23">
        <v>0.44306980000000001</v>
      </c>
      <c r="BW34" s="23">
        <v>2.0984129999999999</v>
      </c>
      <c r="BX34" s="23">
        <v>3.2599909999999999</v>
      </c>
      <c r="BY34" s="23">
        <v>1.5535509999999999</v>
      </c>
      <c r="BZ34" s="23">
        <v>0</v>
      </c>
      <c r="CA34" s="23">
        <v>0.60359070000000004</v>
      </c>
      <c r="CB34" s="23">
        <v>0.39640920000000002</v>
      </c>
      <c r="CC34" s="23">
        <v>0.24680540000000001</v>
      </c>
      <c r="CD34" s="23">
        <v>0.75319460000000005</v>
      </c>
      <c r="CE34" s="23">
        <v>4.6441179999999997</v>
      </c>
      <c r="CF34" s="23">
        <v>4.6525749999999997</v>
      </c>
      <c r="CG34" s="23">
        <v>2.2024140000000001</v>
      </c>
      <c r="CH34" s="23">
        <v>3.1857920000000002</v>
      </c>
      <c r="CI34" s="23">
        <v>1.175543</v>
      </c>
      <c r="CJ34" s="23">
        <v>1.039647</v>
      </c>
      <c r="CK34" s="23">
        <v>0.88439800000000002</v>
      </c>
      <c r="CL34" s="23">
        <v>0.91794849999999995</v>
      </c>
      <c r="CM34" s="23">
        <v>0.56350199999999995</v>
      </c>
      <c r="CN34" s="23">
        <v>0.60514999999999997</v>
      </c>
      <c r="CO34" s="23">
        <v>0.53786230000000002</v>
      </c>
      <c r="CP34" s="23">
        <v>-9.2289999999999994E-3</v>
      </c>
      <c r="CQ34" s="23">
        <v>-3.05957E-2</v>
      </c>
      <c r="CR34" s="23">
        <v>1.7863E-3</v>
      </c>
      <c r="CS34" s="23">
        <v>1.30921</v>
      </c>
      <c r="CT34" s="23">
        <v>1.333032</v>
      </c>
      <c r="CU34" s="23">
        <v>1.258024</v>
      </c>
      <c r="CV34" s="23">
        <v>0.93154840000000005</v>
      </c>
      <c r="CW34" s="23">
        <v>1.2162040000000001</v>
      </c>
      <c r="CX34" s="23">
        <v>1.2789790000000001</v>
      </c>
      <c r="CY34" s="23">
        <v>1.2700370000000001</v>
      </c>
    </row>
    <row r="35" spans="1:103" x14ac:dyDescent="0.3">
      <c r="A35" s="5">
        <v>1980</v>
      </c>
      <c r="B35" s="3">
        <v>227726</v>
      </c>
      <c r="C35" s="3">
        <v>2857307</v>
      </c>
      <c r="D35" s="2">
        <v>3.3216999999999999</v>
      </c>
      <c r="E35" s="2">
        <v>3.4460600000000001</v>
      </c>
      <c r="F35" s="3">
        <v>1750667</v>
      </c>
      <c r="G35" s="3">
        <v>530098</v>
      </c>
      <c r="H35" s="3">
        <v>453650</v>
      </c>
      <c r="I35" s="3">
        <v>135948</v>
      </c>
      <c r="J35" s="3">
        <v>-13056</v>
      </c>
      <c r="K35" s="3">
        <v>2790478.5</v>
      </c>
      <c r="L35" s="3">
        <v>919646.7</v>
      </c>
      <c r="M35" s="3">
        <v>1870831.8</v>
      </c>
      <c r="N35" s="2">
        <v>3.6030099999999998</v>
      </c>
      <c r="O35" s="2">
        <v>3.32572</v>
      </c>
      <c r="P35" s="2">
        <v>3.8374299999999999</v>
      </c>
      <c r="Q35" s="3">
        <v>406974</v>
      </c>
      <c r="R35" s="3">
        <v>507838</v>
      </c>
      <c r="S35" s="3">
        <v>265404</v>
      </c>
      <c r="T35" s="3">
        <v>1610262.5</v>
      </c>
      <c r="U35" s="3">
        <v>1646776.1</v>
      </c>
      <c r="V35" s="3">
        <v>590986.6</v>
      </c>
      <c r="W35" s="3">
        <v>1055789.5</v>
      </c>
      <c r="X35" s="2">
        <v>0.58435000000000004</v>
      </c>
      <c r="Y35" s="2">
        <v>3.1723499999999998</v>
      </c>
      <c r="Z35" s="2">
        <v>2.7331599999999998</v>
      </c>
      <c r="AA35" s="2">
        <v>3.4101599999999999</v>
      </c>
      <c r="AB35" s="2">
        <v>4.1551799999999997</v>
      </c>
      <c r="AC35" s="2">
        <v>4.0397699999999999</v>
      </c>
      <c r="AD35" s="2">
        <v>4.1866899999999996</v>
      </c>
      <c r="AE35" s="2">
        <v>1.66185</v>
      </c>
      <c r="AF35" s="2">
        <v>1.32013</v>
      </c>
      <c r="AG35" s="2">
        <v>1.9764999999999999</v>
      </c>
      <c r="AH35" s="2">
        <v>0.64307000000000003</v>
      </c>
      <c r="AI35" s="2">
        <v>0.55474000000000001</v>
      </c>
      <c r="AJ35" s="3">
        <v>2118100.5</v>
      </c>
      <c r="AK35" s="3">
        <v>751607</v>
      </c>
      <c r="AL35" s="3">
        <v>1366493.5</v>
      </c>
      <c r="AM35" s="2">
        <v>3.1297100000000002</v>
      </c>
      <c r="AN35" s="2">
        <v>3.3848600000000002</v>
      </c>
      <c r="AO35" s="2">
        <v>2.8466</v>
      </c>
      <c r="AP35" s="2">
        <v>2.4987400000000002</v>
      </c>
      <c r="AQ35" s="2">
        <v>3.3889200000000002</v>
      </c>
      <c r="AR35" s="2">
        <v>4.2772199999999998</v>
      </c>
      <c r="AS35" s="3">
        <v>672378</v>
      </c>
      <c r="AT35" s="2">
        <v>4.1829000000000001</v>
      </c>
      <c r="AU35" s="2">
        <v>3.7065999999999999</v>
      </c>
      <c r="AV35" s="22"/>
      <c r="AW35" s="23">
        <v>0.60527560000000002</v>
      </c>
      <c r="AX35" s="23">
        <v>0.39472439999999998</v>
      </c>
      <c r="AY35" s="23">
        <v>0.2397611</v>
      </c>
      <c r="AZ35" s="23">
        <v>0.76023890000000005</v>
      </c>
      <c r="BA35" s="23">
        <v>9.3010920000000006</v>
      </c>
      <c r="BB35" s="23">
        <v>0.61392040000000003</v>
      </c>
      <c r="BC35" s="23">
        <v>0.38607960000000002</v>
      </c>
      <c r="BD35" s="23">
        <v>0.64724230000000005</v>
      </c>
      <c r="BE35" s="23">
        <v>0</v>
      </c>
      <c r="BF35" s="23">
        <v>3.008915</v>
      </c>
      <c r="BG35" s="23">
        <v>3.008915</v>
      </c>
      <c r="BH35" s="23">
        <v>1</v>
      </c>
      <c r="BI35" s="23">
        <v>0.83056479999999999</v>
      </c>
      <c r="BJ35" s="23">
        <v>0.26254110000000003</v>
      </c>
      <c r="BK35" s="23">
        <v>0.73745879999999997</v>
      </c>
      <c r="BL35" s="23">
        <v>0.29117480000000001</v>
      </c>
      <c r="BM35" s="23">
        <v>3.9300000000000004E-15</v>
      </c>
      <c r="BN35" s="23">
        <v>2.8602780000000001</v>
      </c>
      <c r="BO35" s="23">
        <v>2.8602780000000001</v>
      </c>
      <c r="BP35" s="23">
        <v>0.99999990000000005</v>
      </c>
      <c r="BQ35" s="23">
        <v>0.44890160000000001</v>
      </c>
      <c r="BR35" s="23">
        <v>0.24534349999999999</v>
      </c>
      <c r="BS35" s="23">
        <v>0.75465649999999995</v>
      </c>
      <c r="BT35" s="23">
        <v>0.55497370000000001</v>
      </c>
      <c r="BU35" s="23">
        <v>0.69686530000000002</v>
      </c>
      <c r="BV35" s="23">
        <v>0.44306980000000001</v>
      </c>
      <c r="BW35" s="23">
        <v>2.1113390000000001</v>
      </c>
      <c r="BX35" s="23">
        <v>3.2860149999999999</v>
      </c>
      <c r="BY35" s="23">
        <v>1.556365</v>
      </c>
      <c r="BZ35" s="23">
        <v>0</v>
      </c>
      <c r="CA35" s="23">
        <v>0.60307690000000003</v>
      </c>
      <c r="CB35" s="23">
        <v>0.39692309999999997</v>
      </c>
      <c r="CC35" s="23">
        <v>0.2432655</v>
      </c>
      <c r="CD35" s="23">
        <v>0.75673449999999998</v>
      </c>
      <c r="CE35" s="23">
        <v>4.4132949999999997</v>
      </c>
      <c r="CF35" s="23">
        <v>4.4224019999999999</v>
      </c>
      <c r="CG35" s="23">
        <v>2.125858</v>
      </c>
      <c r="CH35" s="23">
        <v>3.2544089999999999</v>
      </c>
      <c r="CI35" s="23">
        <v>1.1538649999999999</v>
      </c>
      <c r="CJ35" s="23">
        <v>1.0352950000000001</v>
      </c>
      <c r="CK35" s="23">
        <v>0.8972405</v>
      </c>
      <c r="CL35" s="23">
        <v>0.91319779999999995</v>
      </c>
      <c r="CM35" s="23">
        <v>0.56350199999999995</v>
      </c>
      <c r="CN35" s="23">
        <v>0.60514999999999997</v>
      </c>
      <c r="CO35" s="23">
        <v>0.53786230000000002</v>
      </c>
      <c r="CP35" s="23">
        <v>-2.2902599999999999E-2</v>
      </c>
      <c r="CQ35" s="23">
        <v>-4.79307E-2</v>
      </c>
      <c r="CR35" s="23">
        <v>-1.17371E-2</v>
      </c>
      <c r="CS35" s="23">
        <v>1.2795669999999999</v>
      </c>
      <c r="CT35" s="23">
        <v>1.2706459999999999</v>
      </c>
      <c r="CU35" s="23">
        <v>1.2433449999999999</v>
      </c>
      <c r="CV35" s="23">
        <v>0.9381195</v>
      </c>
      <c r="CW35" s="23">
        <v>1.182855</v>
      </c>
      <c r="CX35" s="23">
        <v>1.251172</v>
      </c>
      <c r="CY35" s="23">
        <v>1.243806</v>
      </c>
    </row>
    <row r="36" spans="1:103" x14ac:dyDescent="0.3">
      <c r="A36" s="5">
        <v>1981</v>
      </c>
      <c r="B36" s="3">
        <v>230008</v>
      </c>
      <c r="C36" s="3">
        <v>3207041</v>
      </c>
      <c r="D36" s="2">
        <v>3.4060000000000001</v>
      </c>
      <c r="E36" s="2">
        <v>3.7721300000000002</v>
      </c>
      <c r="F36" s="3">
        <v>1933951</v>
      </c>
      <c r="G36" s="3">
        <v>631229</v>
      </c>
      <c r="H36" s="3">
        <v>507041</v>
      </c>
      <c r="I36" s="3">
        <v>147340</v>
      </c>
      <c r="J36" s="3">
        <v>-12520</v>
      </c>
      <c r="K36" s="3">
        <v>3121636.5</v>
      </c>
      <c r="L36" s="3">
        <v>1033850.4</v>
      </c>
      <c r="M36" s="3">
        <v>2087786.1</v>
      </c>
      <c r="N36" s="2">
        <v>3.9321999999999999</v>
      </c>
      <c r="O36" s="2">
        <v>3.6718000000000002</v>
      </c>
      <c r="P36" s="2">
        <v>4.1641899999999996</v>
      </c>
      <c r="Q36" s="3">
        <v>449155</v>
      </c>
      <c r="R36" s="3">
        <v>583411</v>
      </c>
      <c r="S36" s="3">
        <v>299605</v>
      </c>
      <c r="T36" s="3">
        <v>1789465.5</v>
      </c>
      <c r="U36" s="3">
        <v>1814615.1</v>
      </c>
      <c r="V36" s="3">
        <v>648645.4</v>
      </c>
      <c r="W36" s="3">
        <v>1165969.8</v>
      </c>
      <c r="X36" s="2">
        <v>0.58572000000000002</v>
      </c>
      <c r="Y36" s="2">
        <v>3.2517299999999998</v>
      </c>
      <c r="Z36" s="2">
        <v>2.7829700000000002</v>
      </c>
      <c r="AA36" s="2">
        <v>3.5070000000000001</v>
      </c>
      <c r="AB36" s="2">
        <v>4.3158300000000001</v>
      </c>
      <c r="AC36" s="2">
        <v>4.1842600000000001</v>
      </c>
      <c r="AD36" s="2">
        <v>4.3535399999999997</v>
      </c>
      <c r="AE36" s="2">
        <v>1.6838299999999999</v>
      </c>
      <c r="AF36" s="2">
        <v>1.32179</v>
      </c>
      <c r="AG36" s="2">
        <v>2.0159500000000001</v>
      </c>
      <c r="AH36" s="2">
        <v>0.63502000000000003</v>
      </c>
      <c r="AI36" s="2">
        <v>0.56140999999999996</v>
      </c>
      <c r="AJ36" s="3">
        <v>2372876.5</v>
      </c>
      <c r="AK36" s="3">
        <v>846116</v>
      </c>
      <c r="AL36" s="3">
        <v>1526760.5</v>
      </c>
      <c r="AM36" s="2">
        <v>3.2152099999999999</v>
      </c>
      <c r="AN36" s="2">
        <v>3.7070599999999998</v>
      </c>
      <c r="AO36" s="2">
        <v>2.85724</v>
      </c>
      <c r="AP36" s="2">
        <v>2.8145199999999999</v>
      </c>
      <c r="AQ36" s="2">
        <v>3.4474999999999998</v>
      </c>
      <c r="AR36" s="2">
        <v>4.7178899999999997</v>
      </c>
      <c r="AS36" s="3">
        <v>748760</v>
      </c>
      <c r="AT36" s="2">
        <v>4.2626400000000002</v>
      </c>
      <c r="AU36" s="2">
        <v>4.0504600000000002</v>
      </c>
      <c r="AV36" s="22"/>
      <c r="AW36" s="23">
        <v>0.59986510000000004</v>
      </c>
      <c r="AX36" s="23">
        <v>0.40013490000000002</v>
      </c>
      <c r="AY36" s="23">
        <v>0.24586659999999999</v>
      </c>
      <c r="AZ36" s="23">
        <v>0.75413339999999995</v>
      </c>
      <c r="BA36" s="23">
        <v>10.3165</v>
      </c>
      <c r="BB36" s="23">
        <v>0.61800710000000003</v>
      </c>
      <c r="BC36" s="23">
        <v>0.38199290000000002</v>
      </c>
      <c r="BD36" s="23">
        <v>0.64724230000000005</v>
      </c>
      <c r="BE36" s="23">
        <v>0</v>
      </c>
      <c r="BF36" s="23">
        <v>3.0734509999999999</v>
      </c>
      <c r="BG36" s="23">
        <v>3.0734509999999999</v>
      </c>
      <c r="BH36" s="23">
        <v>1</v>
      </c>
      <c r="BI36" s="23">
        <v>0.83056479999999999</v>
      </c>
      <c r="BJ36" s="23">
        <v>0.26589970000000002</v>
      </c>
      <c r="BK36" s="23">
        <v>0.73410030000000004</v>
      </c>
      <c r="BL36" s="23">
        <v>0.29117480000000001</v>
      </c>
      <c r="BM36" s="23">
        <v>3.9300000000000004E-15</v>
      </c>
      <c r="BN36" s="23">
        <v>2.9394339999999999</v>
      </c>
      <c r="BO36" s="23">
        <v>2.9394339999999999</v>
      </c>
      <c r="BP36" s="23">
        <v>1</v>
      </c>
      <c r="BQ36" s="23">
        <v>0.44890160000000001</v>
      </c>
      <c r="BR36" s="23">
        <v>0.24531639999999999</v>
      </c>
      <c r="BS36" s="23">
        <v>0.75468360000000001</v>
      </c>
      <c r="BT36" s="23">
        <v>0.55497370000000001</v>
      </c>
      <c r="BU36" s="23">
        <v>0.69686530000000002</v>
      </c>
      <c r="BV36" s="23">
        <v>0.44306980000000001</v>
      </c>
      <c r="BW36" s="23">
        <v>2.1421260000000002</v>
      </c>
      <c r="BX36" s="23">
        <v>3.3925239999999999</v>
      </c>
      <c r="BY36" s="23">
        <v>1.583718</v>
      </c>
      <c r="BZ36" s="23">
        <v>0</v>
      </c>
      <c r="CA36" s="23">
        <v>0.60257039999999995</v>
      </c>
      <c r="CB36" s="23">
        <v>0.39742959999999999</v>
      </c>
      <c r="CC36" s="23">
        <v>0.2428138</v>
      </c>
      <c r="CD36" s="23">
        <v>0.75718620000000003</v>
      </c>
      <c r="CE36" s="23">
        <v>4.4116289999999996</v>
      </c>
      <c r="CF36" s="23">
        <v>4.600543</v>
      </c>
      <c r="CG36" s="23">
        <v>2.2120250000000001</v>
      </c>
      <c r="CH36" s="23">
        <v>3.3327909999999998</v>
      </c>
      <c r="CI36" s="23">
        <v>1.1341019999999999</v>
      </c>
      <c r="CJ36" s="23">
        <v>1.028079</v>
      </c>
      <c r="CK36" s="23">
        <v>0.90651369999999998</v>
      </c>
      <c r="CL36" s="23">
        <v>0.91522009999999998</v>
      </c>
      <c r="CM36" s="23">
        <v>0.56350199999999995</v>
      </c>
      <c r="CN36" s="23">
        <v>0.60514999999999997</v>
      </c>
      <c r="CO36" s="23">
        <v>0.53786230000000002</v>
      </c>
      <c r="CP36" s="23">
        <v>7.5540000000000004E-4</v>
      </c>
      <c r="CQ36" s="23">
        <v>2.0081000000000001E-3</v>
      </c>
      <c r="CR36" s="23">
        <v>-1.9430000000000001E-4</v>
      </c>
      <c r="CS36" s="23">
        <v>1.2805340000000001</v>
      </c>
      <c r="CT36" s="23">
        <v>1.2732000000000001</v>
      </c>
      <c r="CU36" s="23">
        <v>1.2431030000000001</v>
      </c>
      <c r="CV36" s="23">
        <v>0.94132970000000005</v>
      </c>
      <c r="CW36" s="23">
        <v>1.1883520000000001</v>
      </c>
      <c r="CX36" s="23">
        <v>1.251719</v>
      </c>
      <c r="CY36" s="23">
        <v>1.2431460000000001</v>
      </c>
    </row>
    <row r="37" spans="1:103" x14ac:dyDescent="0.3">
      <c r="A37" s="5">
        <v>1982</v>
      </c>
      <c r="B37" s="3">
        <v>232218</v>
      </c>
      <c r="C37" s="3">
        <v>3343789</v>
      </c>
      <c r="D37" s="2">
        <v>3.3446199999999999</v>
      </c>
      <c r="E37" s="2">
        <v>4.0051600000000001</v>
      </c>
      <c r="F37" s="3">
        <v>2071256</v>
      </c>
      <c r="G37" s="3">
        <v>581034</v>
      </c>
      <c r="H37" s="3">
        <v>554529</v>
      </c>
      <c r="I37" s="3">
        <v>156944</v>
      </c>
      <c r="J37" s="3">
        <v>-19974</v>
      </c>
      <c r="K37" s="3">
        <v>3252701.3</v>
      </c>
      <c r="L37" s="3">
        <v>1029055.6</v>
      </c>
      <c r="M37" s="3">
        <v>2223645.5</v>
      </c>
      <c r="N37" s="2">
        <v>4.1762899999999998</v>
      </c>
      <c r="O37" s="2">
        <v>3.8480400000000001</v>
      </c>
      <c r="P37" s="2">
        <v>4.4510199999999998</v>
      </c>
      <c r="Q37" s="3">
        <v>445841</v>
      </c>
      <c r="R37" s="3">
        <v>579940</v>
      </c>
      <c r="S37" s="3">
        <v>307050</v>
      </c>
      <c r="T37" s="3">
        <v>1919870.3</v>
      </c>
      <c r="U37" s="3">
        <v>1911405.8</v>
      </c>
      <c r="V37" s="3">
        <v>653979.5</v>
      </c>
      <c r="W37" s="3">
        <v>1257426.3</v>
      </c>
      <c r="X37" s="2">
        <v>0.58447000000000005</v>
      </c>
      <c r="Y37" s="2">
        <v>3.1902300000000001</v>
      </c>
      <c r="Z37" s="2">
        <v>2.6431900000000002</v>
      </c>
      <c r="AA37" s="2">
        <v>3.49451</v>
      </c>
      <c r="AB37" s="2">
        <v>4.4880000000000004</v>
      </c>
      <c r="AC37" s="2">
        <v>4.3826499999999999</v>
      </c>
      <c r="AD37" s="2">
        <v>4.5141</v>
      </c>
      <c r="AE37" s="2">
        <v>1.6490100000000001</v>
      </c>
      <c r="AF37" s="2">
        <v>1.2284600000000001</v>
      </c>
      <c r="AG37" s="2">
        <v>2.0306299999999999</v>
      </c>
      <c r="AH37" s="2">
        <v>0.63146000000000002</v>
      </c>
      <c r="AI37" s="2">
        <v>0.56198000000000004</v>
      </c>
      <c r="AJ37" s="3">
        <v>2499810.2999999998</v>
      </c>
      <c r="AK37" s="3">
        <v>826276</v>
      </c>
      <c r="AL37" s="3">
        <v>1673534.3</v>
      </c>
      <c r="AM37" s="2">
        <v>3.1881599999999999</v>
      </c>
      <c r="AN37" s="2">
        <v>3.9401999999999999</v>
      </c>
      <c r="AO37" s="2">
        <v>2.83094</v>
      </c>
      <c r="AP37" s="2">
        <v>2.7752599999999998</v>
      </c>
      <c r="AQ37" s="2">
        <v>3.5100500000000001</v>
      </c>
      <c r="AR37" s="2">
        <v>5.0814500000000002</v>
      </c>
      <c r="AS37" s="3">
        <v>752891</v>
      </c>
      <c r="AT37" s="2">
        <v>4.0510200000000003</v>
      </c>
      <c r="AU37" s="2">
        <v>4.2855699999999999</v>
      </c>
      <c r="AV37" s="22"/>
      <c r="AW37" s="23">
        <v>0.59217200000000003</v>
      </c>
      <c r="AX37" s="23">
        <v>0.40782800000000002</v>
      </c>
      <c r="AY37" s="23">
        <v>0.23199359999999999</v>
      </c>
      <c r="AZ37" s="23">
        <v>0.76800639999999998</v>
      </c>
      <c r="BA37" s="23">
        <v>10.76493</v>
      </c>
      <c r="BB37" s="23">
        <v>0.61333879999999996</v>
      </c>
      <c r="BC37" s="23">
        <v>0.38666119999999998</v>
      </c>
      <c r="BD37" s="23">
        <v>0.64724230000000005</v>
      </c>
      <c r="BE37" s="23">
        <v>0</v>
      </c>
      <c r="BF37" s="23">
        <v>3.0662289999999999</v>
      </c>
      <c r="BG37" s="23">
        <v>3.0662289999999999</v>
      </c>
      <c r="BH37" s="23">
        <v>1</v>
      </c>
      <c r="BI37" s="23">
        <v>0.83056479999999999</v>
      </c>
      <c r="BJ37" s="23">
        <v>0.26206639999999998</v>
      </c>
      <c r="BK37" s="23">
        <v>0.73793359999999997</v>
      </c>
      <c r="BL37" s="23">
        <v>0.29117480000000001</v>
      </c>
      <c r="BM37" s="23">
        <v>3.9300000000000004E-15</v>
      </c>
      <c r="BN37" s="23">
        <v>2.9122499999999998</v>
      </c>
      <c r="BO37" s="23">
        <v>2.9122499999999998</v>
      </c>
      <c r="BP37" s="23">
        <v>1</v>
      </c>
      <c r="BQ37" s="23">
        <v>0.44890160000000001</v>
      </c>
      <c r="BR37" s="23">
        <v>0.24521950000000001</v>
      </c>
      <c r="BS37" s="23">
        <v>0.75478049999999997</v>
      </c>
      <c r="BT37" s="23">
        <v>0.55497370000000001</v>
      </c>
      <c r="BU37" s="23">
        <v>0.69686530000000002</v>
      </c>
      <c r="BV37" s="23">
        <v>0.44306980000000001</v>
      </c>
      <c r="BW37" s="23">
        <v>2.1525080000000001</v>
      </c>
      <c r="BX37" s="23">
        <v>3.3441190000000001</v>
      </c>
      <c r="BY37" s="23">
        <v>1.5535920000000001</v>
      </c>
      <c r="BZ37" s="23">
        <v>0</v>
      </c>
      <c r="CA37" s="23">
        <v>0.59601859999999995</v>
      </c>
      <c r="CB37" s="23">
        <v>0.40398139999999999</v>
      </c>
      <c r="CC37" s="23">
        <v>0.23893010000000001</v>
      </c>
      <c r="CD37" s="23">
        <v>0.76106989999999997</v>
      </c>
      <c r="CE37" s="23">
        <v>4.1785170000000003</v>
      </c>
      <c r="CF37" s="23">
        <v>4.4110329999999998</v>
      </c>
      <c r="CG37" s="23">
        <v>2.098157</v>
      </c>
      <c r="CH37" s="23">
        <v>3.345243</v>
      </c>
      <c r="CI37" s="23">
        <v>1.1567000000000001</v>
      </c>
      <c r="CJ37" s="23">
        <v>1.038608</v>
      </c>
      <c r="CK37" s="23">
        <v>0.89790610000000004</v>
      </c>
      <c r="CL37" s="23">
        <v>0.91941110000000004</v>
      </c>
      <c r="CM37" s="23">
        <v>0.56350199999999995</v>
      </c>
      <c r="CN37" s="23">
        <v>0.60514999999999997</v>
      </c>
      <c r="CO37" s="23">
        <v>0.53786230000000002</v>
      </c>
      <c r="CP37" s="23">
        <v>-2.4395E-2</v>
      </c>
      <c r="CQ37" s="23">
        <v>-3.0485399999999999E-2</v>
      </c>
      <c r="CR37" s="23">
        <v>-2.3462799999999999E-2</v>
      </c>
      <c r="CS37" s="23">
        <v>1.249673</v>
      </c>
      <c r="CT37" s="23">
        <v>1.234972</v>
      </c>
      <c r="CU37" s="23">
        <v>1.2142759999999999</v>
      </c>
      <c r="CV37" s="23">
        <v>0.93985249999999998</v>
      </c>
      <c r="CW37" s="23">
        <v>1.1537550000000001</v>
      </c>
      <c r="CX37" s="23">
        <v>1.2202299999999999</v>
      </c>
      <c r="CY37" s="23">
        <v>1.217808</v>
      </c>
    </row>
    <row r="38" spans="1:103" x14ac:dyDescent="0.3">
      <c r="A38" s="5">
        <v>1983</v>
      </c>
      <c r="B38" s="3">
        <v>234333</v>
      </c>
      <c r="C38" s="3">
        <v>3634038</v>
      </c>
      <c r="D38" s="2">
        <v>3.49796</v>
      </c>
      <c r="E38" s="2">
        <v>4.1619999999999999</v>
      </c>
      <c r="F38" s="3">
        <v>2281605</v>
      </c>
      <c r="G38" s="3">
        <v>637518</v>
      </c>
      <c r="H38" s="3">
        <v>595393</v>
      </c>
      <c r="I38" s="3">
        <v>171164</v>
      </c>
      <c r="J38" s="3">
        <v>-51642</v>
      </c>
      <c r="K38" s="3">
        <v>3536684</v>
      </c>
      <c r="L38" s="3">
        <v>1081754.6000000001</v>
      </c>
      <c r="M38" s="3">
        <v>2454929.5</v>
      </c>
      <c r="N38" s="2">
        <v>4.3331</v>
      </c>
      <c r="O38" s="2">
        <v>3.8769100000000001</v>
      </c>
      <c r="P38" s="2">
        <v>4.6798299999999999</v>
      </c>
      <c r="Q38" s="3">
        <v>463798</v>
      </c>
      <c r="R38" s="3">
        <v>606514</v>
      </c>
      <c r="S38" s="3">
        <v>350635</v>
      </c>
      <c r="T38" s="3">
        <v>2115737</v>
      </c>
      <c r="U38" s="3">
        <v>2042380.5</v>
      </c>
      <c r="V38" s="3">
        <v>670899.4</v>
      </c>
      <c r="W38" s="3">
        <v>1371481.1</v>
      </c>
      <c r="X38" s="2">
        <v>0.58255999999999997</v>
      </c>
      <c r="Y38" s="2">
        <v>3.3432300000000001</v>
      </c>
      <c r="Z38" s="2">
        <v>2.75786</v>
      </c>
      <c r="AA38" s="2">
        <v>3.6693500000000001</v>
      </c>
      <c r="AB38" s="2">
        <v>4.6554500000000001</v>
      </c>
      <c r="AC38" s="2">
        <v>4.5598299999999998</v>
      </c>
      <c r="AD38" s="2">
        <v>4.6771200000000004</v>
      </c>
      <c r="AE38" s="2">
        <v>1.6745399999999999</v>
      </c>
      <c r="AF38" s="2">
        <v>1.2419</v>
      </c>
      <c r="AG38" s="2">
        <v>2.0667399999999998</v>
      </c>
      <c r="AH38" s="2">
        <v>0.62785000000000002</v>
      </c>
      <c r="AI38" s="2">
        <v>0.56206999999999996</v>
      </c>
      <c r="AJ38" s="3">
        <v>2722251</v>
      </c>
      <c r="AK38" s="3">
        <v>878005</v>
      </c>
      <c r="AL38" s="3">
        <v>1844246</v>
      </c>
      <c r="AM38" s="2">
        <v>3.3100299999999998</v>
      </c>
      <c r="AN38" s="2">
        <v>4.1301399999999999</v>
      </c>
      <c r="AO38" s="2">
        <v>2.8859400000000002</v>
      </c>
      <c r="AP38" s="2">
        <v>2.8909199999999999</v>
      </c>
      <c r="AQ38" s="2">
        <v>3.6571899999999999</v>
      </c>
      <c r="AR38" s="2">
        <v>5.3710100000000001</v>
      </c>
      <c r="AS38" s="3">
        <v>814433</v>
      </c>
      <c r="AT38" s="2">
        <v>4.3450800000000003</v>
      </c>
      <c r="AU38" s="2">
        <v>4.3221299999999996</v>
      </c>
      <c r="AV38" s="22"/>
      <c r="AW38" s="23">
        <v>0.56947349999999997</v>
      </c>
      <c r="AX38" s="23">
        <v>0.43052649999999998</v>
      </c>
      <c r="AY38" s="23">
        <v>0.22279869999999999</v>
      </c>
      <c r="AZ38" s="23">
        <v>0.77720129999999998</v>
      </c>
      <c r="BA38" s="23">
        <v>11.61702</v>
      </c>
      <c r="BB38" s="23">
        <v>0.60317580000000004</v>
      </c>
      <c r="BC38" s="23">
        <v>0.39682420000000002</v>
      </c>
      <c r="BD38" s="23">
        <v>0.64724230000000005</v>
      </c>
      <c r="BE38" s="23">
        <v>0</v>
      </c>
      <c r="BF38" s="23">
        <v>3.2592880000000002</v>
      </c>
      <c r="BG38" s="23">
        <v>3.2592889999999999</v>
      </c>
      <c r="BH38" s="23">
        <v>1</v>
      </c>
      <c r="BI38" s="23">
        <v>0.83056479999999999</v>
      </c>
      <c r="BJ38" s="23">
        <v>0.25390200000000002</v>
      </c>
      <c r="BK38" s="23">
        <v>0.74609800000000004</v>
      </c>
      <c r="BL38" s="23">
        <v>0.29117480000000001</v>
      </c>
      <c r="BM38" s="23">
        <v>3.9300000000000004E-15</v>
      </c>
      <c r="BN38" s="23">
        <v>3.049706</v>
      </c>
      <c r="BO38" s="23">
        <v>3.049706</v>
      </c>
      <c r="BP38" s="23">
        <v>1</v>
      </c>
      <c r="BQ38" s="23">
        <v>0.44890160000000001</v>
      </c>
      <c r="BR38" s="23">
        <v>0.23462150000000001</v>
      </c>
      <c r="BS38" s="23">
        <v>0.76537849999999996</v>
      </c>
      <c r="BT38" s="23">
        <v>0.55497370000000001</v>
      </c>
      <c r="BU38" s="23">
        <v>0.69686530000000002</v>
      </c>
      <c r="BV38" s="23">
        <v>0.44306980000000001</v>
      </c>
      <c r="BW38" s="23">
        <v>2.2260369999999998</v>
      </c>
      <c r="BX38" s="23">
        <v>3.5122710000000001</v>
      </c>
      <c r="BY38" s="23">
        <v>1.577814</v>
      </c>
      <c r="BZ38" s="23">
        <v>0</v>
      </c>
      <c r="CA38" s="23">
        <v>0.58082279999999997</v>
      </c>
      <c r="CB38" s="23">
        <v>0.41917720000000003</v>
      </c>
      <c r="CC38" s="23">
        <v>0.22739619999999999</v>
      </c>
      <c r="CD38" s="23">
        <v>0.77260390000000001</v>
      </c>
      <c r="CE38" s="23">
        <v>4.3144410000000004</v>
      </c>
      <c r="CF38" s="23">
        <v>4.7908869999999997</v>
      </c>
      <c r="CG38" s="23">
        <v>2.1779570000000001</v>
      </c>
      <c r="CH38" s="23">
        <v>3.506284</v>
      </c>
      <c r="CI38" s="23">
        <v>1.207104</v>
      </c>
      <c r="CJ38" s="23">
        <v>1.0827610000000001</v>
      </c>
      <c r="CK38" s="23">
        <v>0.89699079999999998</v>
      </c>
      <c r="CL38" s="23">
        <v>0.95557899999999996</v>
      </c>
      <c r="CM38" s="23">
        <v>0.56350199999999995</v>
      </c>
      <c r="CN38" s="23">
        <v>0.60514999999999997</v>
      </c>
      <c r="CO38" s="23">
        <v>0.53786230000000002</v>
      </c>
      <c r="CP38" s="23">
        <v>2.2197700000000001E-2</v>
      </c>
      <c r="CQ38" s="23">
        <v>1.9036600000000001E-2</v>
      </c>
      <c r="CR38" s="23">
        <v>2.3402699999999999E-2</v>
      </c>
      <c r="CS38" s="23">
        <v>1.2777229999999999</v>
      </c>
      <c r="CT38" s="23">
        <v>1.258707</v>
      </c>
      <c r="CU38" s="23">
        <v>1.2430289999999999</v>
      </c>
      <c r="CV38" s="23">
        <v>0.95582959999999995</v>
      </c>
      <c r="CW38" s="23">
        <v>1.1977800000000001</v>
      </c>
      <c r="CX38" s="23">
        <v>1.2475529999999999</v>
      </c>
      <c r="CY38" s="23">
        <v>1.280966</v>
      </c>
    </row>
    <row r="39" spans="1:103" x14ac:dyDescent="0.3">
      <c r="A39" s="5">
        <v>1984</v>
      </c>
      <c r="B39" s="3">
        <v>236394</v>
      </c>
      <c r="C39" s="3">
        <v>4037613</v>
      </c>
      <c r="D39" s="2">
        <v>3.7511000000000001</v>
      </c>
      <c r="E39" s="2">
        <v>4.3121499999999999</v>
      </c>
      <c r="F39" s="3">
        <v>2492340</v>
      </c>
      <c r="G39" s="3">
        <v>820089</v>
      </c>
      <c r="H39" s="3">
        <v>634728</v>
      </c>
      <c r="I39" s="3">
        <v>193182</v>
      </c>
      <c r="J39" s="3">
        <v>-102727</v>
      </c>
      <c r="K39" s="3">
        <v>3924395.5</v>
      </c>
      <c r="L39" s="3">
        <v>1215932.8</v>
      </c>
      <c r="M39" s="3">
        <v>2708462.8</v>
      </c>
      <c r="N39" s="2">
        <v>4.4909600000000003</v>
      </c>
      <c r="O39" s="2">
        <v>3.9630800000000002</v>
      </c>
      <c r="P39" s="2">
        <v>4.8801899999999998</v>
      </c>
      <c r="Q39" s="3">
        <v>539736</v>
      </c>
      <c r="R39" s="3">
        <v>664108</v>
      </c>
      <c r="S39" s="3">
        <v>408130</v>
      </c>
      <c r="T39" s="3">
        <v>2312421.5</v>
      </c>
      <c r="U39" s="3">
        <v>2272605.2999999998</v>
      </c>
      <c r="V39" s="3">
        <v>760622.4</v>
      </c>
      <c r="W39" s="3">
        <v>1511982.9</v>
      </c>
      <c r="X39" s="2">
        <v>0.57828999999999997</v>
      </c>
      <c r="Y39" s="2">
        <v>3.5793300000000001</v>
      </c>
      <c r="Z39" s="2">
        <v>3.03254</v>
      </c>
      <c r="AA39" s="2">
        <v>3.8820999999999999</v>
      </c>
      <c r="AB39" s="2">
        <v>4.85426</v>
      </c>
      <c r="AC39" s="2">
        <v>4.6733399999999996</v>
      </c>
      <c r="AD39" s="2">
        <v>4.9088900000000004</v>
      </c>
      <c r="AE39" s="2">
        <v>1.76894</v>
      </c>
      <c r="AF39" s="2">
        <v>1.3339000000000001</v>
      </c>
      <c r="AG39" s="2">
        <v>2.1653199999999999</v>
      </c>
      <c r="AH39" s="2">
        <v>0.62287000000000003</v>
      </c>
      <c r="AI39" s="2">
        <v>0.55845</v>
      </c>
      <c r="AJ39" s="3">
        <v>2976529.5</v>
      </c>
      <c r="AK39" s="3">
        <v>986550</v>
      </c>
      <c r="AL39" s="3">
        <v>1989979.5</v>
      </c>
      <c r="AM39" s="2">
        <v>3.4763700000000002</v>
      </c>
      <c r="AN39" s="2">
        <v>4.3092800000000002</v>
      </c>
      <c r="AO39" s="2">
        <v>2.94923</v>
      </c>
      <c r="AP39" s="2">
        <v>3.1855799999999999</v>
      </c>
      <c r="AQ39" s="2">
        <v>3.7582300000000002</v>
      </c>
      <c r="AR39" s="2">
        <v>5.6519899999999996</v>
      </c>
      <c r="AS39" s="3">
        <v>947866</v>
      </c>
      <c r="AT39" s="2">
        <v>4.9971800000000002</v>
      </c>
      <c r="AU39" s="2">
        <v>4.3738299999999999</v>
      </c>
      <c r="AV39" s="22"/>
      <c r="AW39" s="23">
        <v>0.56942219999999999</v>
      </c>
      <c r="AX39" s="23">
        <v>0.43057770000000001</v>
      </c>
      <c r="AY39" s="23">
        <v>0.2231149</v>
      </c>
      <c r="AZ39" s="23">
        <v>0.77688520000000005</v>
      </c>
      <c r="BA39" s="23">
        <v>12.591390000000001</v>
      </c>
      <c r="BB39" s="23">
        <v>0.59839339999999996</v>
      </c>
      <c r="BC39" s="23">
        <v>0.40160659999999998</v>
      </c>
      <c r="BD39" s="23">
        <v>0.64724230000000005</v>
      </c>
      <c r="BE39" s="23">
        <v>0</v>
      </c>
      <c r="BF39" s="23">
        <v>3.4586060000000001</v>
      </c>
      <c r="BG39" s="23">
        <v>3.4586060000000001</v>
      </c>
      <c r="BH39" s="23">
        <v>1</v>
      </c>
      <c r="BI39" s="23">
        <v>0.83056479999999999</v>
      </c>
      <c r="BJ39" s="23">
        <v>0.25014310000000001</v>
      </c>
      <c r="BK39" s="23">
        <v>0.74985679999999999</v>
      </c>
      <c r="BL39" s="23">
        <v>0.29117480000000001</v>
      </c>
      <c r="BM39" s="23">
        <v>3.9300000000000004E-15</v>
      </c>
      <c r="BN39" s="23">
        <v>3.2137790000000002</v>
      </c>
      <c r="BO39" s="23">
        <v>3.2137790000000002</v>
      </c>
      <c r="BP39" s="23">
        <v>1</v>
      </c>
      <c r="BQ39" s="23">
        <v>0.44890160000000001</v>
      </c>
      <c r="BR39" s="23">
        <v>0.22647729999999999</v>
      </c>
      <c r="BS39" s="23">
        <v>0.77352270000000001</v>
      </c>
      <c r="BT39" s="23">
        <v>0.55497370000000001</v>
      </c>
      <c r="BU39" s="23">
        <v>0.69686530000000002</v>
      </c>
      <c r="BV39" s="23">
        <v>0.44306980000000001</v>
      </c>
      <c r="BW39" s="23">
        <v>2.2983950000000002</v>
      </c>
      <c r="BX39" s="23">
        <v>3.7218629999999999</v>
      </c>
      <c r="BY39" s="23">
        <v>1.6193310000000001</v>
      </c>
      <c r="BZ39" s="23">
        <v>0</v>
      </c>
      <c r="CA39" s="23">
        <v>0.56944790000000001</v>
      </c>
      <c r="CB39" s="23">
        <v>0.43055209999999999</v>
      </c>
      <c r="CC39" s="23">
        <v>0.22295680000000001</v>
      </c>
      <c r="CD39" s="23">
        <v>0.77704320000000004</v>
      </c>
      <c r="CE39" s="23">
        <v>4.9116850000000003</v>
      </c>
      <c r="CF39" s="23">
        <v>5.3475250000000001</v>
      </c>
      <c r="CG39" s="23">
        <v>2.3329240000000002</v>
      </c>
      <c r="CH39" s="23">
        <v>3.674903</v>
      </c>
      <c r="CI39" s="23">
        <v>1.2314149999999999</v>
      </c>
      <c r="CJ39" s="23">
        <v>1.1157699999999999</v>
      </c>
      <c r="CK39" s="23">
        <v>0.90608739999999999</v>
      </c>
      <c r="CL39" s="23">
        <v>0.9852417</v>
      </c>
      <c r="CM39" s="23">
        <v>0.56350199999999995</v>
      </c>
      <c r="CN39" s="23">
        <v>0.60514999999999997</v>
      </c>
      <c r="CO39" s="23">
        <v>0.53786230000000002</v>
      </c>
      <c r="CP39" s="23">
        <v>1.9081600000000001E-2</v>
      </c>
      <c r="CQ39" s="23">
        <v>4.3939699999999998E-2</v>
      </c>
      <c r="CR39" s="23">
        <v>8.9940999999999997E-3</v>
      </c>
      <c r="CS39" s="23">
        <v>1.302338</v>
      </c>
      <c r="CT39" s="23">
        <v>1.3152470000000001</v>
      </c>
      <c r="CU39" s="23">
        <v>1.254259</v>
      </c>
      <c r="CV39" s="23">
        <v>0.97384789999999999</v>
      </c>
      <c r="CW39" s="23">
        <v>1.2592509999999999</v>
      </c>
      <c r="CX39" s="23">
        <v>1.271425</v>
      </c>
      <c r="CY39" s="23">
        <v>1.337213</v>
      </c>
    </row>
    <row r="40" spans="1:103" x14ac:dyDescent="0.3">
      <c r="A40" s="5">
        <v>1985</v>
      </c>
      <c r="B40" s="3">
        <v>238506</v>
      </c>
      <c r="C40" s="3">
        <v>4338979</v>
      </c>
      <c r="D40" s="2">
        <v>3.9074800000000001</v>
      </c>
      <c r="E40" s="2">
        <v>4.44855</v>
      </c>
      <c r="F40" s="3">
        <v>2712830</v>
      </c>
      <c r="G40" s="3">
        <v>829650</v>
      </c>
      <c r="H40" s="3">
        <v>690640</v>
      </c>
      <c r="I40" s="3">
        <v>219876</v>
      </c>
      <c r="J40" s="3">
        <v>-114018</v>
      </c>
      <c r="K40" s="3">
        <v>4225330.5</v>
      </c>
      <c r="L40" s="3">
        <v>1265461</v>
      </c>
      <c r="M40" s="3">
        <v>2959869.8</v>
      </c>
      <c r="N40" s="2">
        <v>4.6316499999999996</v>
      </c>
      <c r="O40" s="2">
        <v>3.9274399999999998</v>
      </c>
      <c r="P40" s="2">
        <v>5.1218000000000004</v>
      </c>
      <c r="Q40" s="3">
        <v>575883</v>
      </c>
      <c r="R40" s="3">
        <v>678879</v>
      </c>
      <c r="S40" s="3">
        <v>451819</v>
      </c>
      <c r="T40" s="3">
        <v>2518749.5</v>
      </c>
      <c r="U40" s="3">
        <v>2468433.2999999998</v>
      </c>
      <c r="V40" s="3">
        <v>806297.59999999998</v>
      </c>
      <c r="W40" s="3">
        <v>1662135.6</v>
      </c>
      <c r="X40" s="2">
        <v>0.58165</v>
      </c>
      <c r="Y40" s="2">
        <v>3.7367400000000002</v>
      </c>
      <c r="Z40" s="2">
        <v>3.1846999999999999</v>
      </c>
      <c r="AA40" s="2">
        <v>4.0423200000000001</v>
      </c>
      <c r="AB40" s="2">
        <v>5.0852199999999996</v>
      </c>
      <c r="AC40" s="2">
        <v>4.8268800000000001</v>
      </c>
      <c r="AD40" s="2">
        <v>5.1692400000000003</v>
      </c>
      <c r="AE40" s="2">
        <v>1.80694</v>
      </c>
      <c r="AF40" s="2">
        <v>1.3505499999999999</v>
      </c>
      <c r="AG40" s="2">
        <v>2.2215199999999999</v>
      </c>
      <c r="AH40" s="2">
        <v>0.63134999999999997</v>
      </c>
      <c r="AI40" s="2">
        <v>0.55989999999999995</v>
      </c>
      <c r="AJ40" s="3">
        <v>3197628.5</v>
      </c>
      <c r="AK40" s="3">
        <v>1007808</v>
      </c>
      <c r="AL40" s="3">
        <v>2189820.5</v>
      </c>
      <c r="AM40" s="2">
        <v>3.5914100000000002</v>
      </c>
      <c r="AN40" s="2">
        <v>4.4703200000000001</v>
      </c>
      <c r="AO40" s="2">
        <v>3.0823999999999998</v>
      </c>
      <c r="AP40" s="2">
        <v>3.10615</v>
      </c>
      <c r="AQ40" s="2">
        <v>3.9409700000000001</v>
      </c>
      <c r="AR40" s="2">
        <v>5.9169299999999998</v>
      </c>
      <c r="AS40" s="3">
        <v>1027702</v>
      </c>
      <c r="AT40" s="2">
        <v>5.3472200000000001</v>
      </c>
      <c r="AU40" s="2">
        <v>4.4317900000000003</v>
      </c>
      <c r="AV40" s="22"/>
      <c r="AW40" s="23">
        <v>0.56035990000000002</v>
      </c>
      <c r="AX40" s="23">
        <v>0.43964009999999998</v>
      </c>
      <c r="AY40" s="23">
        <v>0.212307</v>
      </c>
      <c r="AZ40" s="23">
        <v>0.78769299999999998</v>
      </c>
      <c r="BA40" s="23">
        <v>13.40691</v>
      </c>
      <c r="BB40" s="23">
        <v>0.58453560000000004</v>
      </c>
      <c r="BC40" s="23">
        <v>0.41546440000000001</v>
      </c>
      <c r="BD40" s="23">
        <v>0.64724230000000005</v>
      </c>
      <c r="BE40" s="23">
        <v>0</v>
      </c>
      <c r="BF40" s="23">
        <v>3.6624029999999999</v>
      </c>
      <c r="BG40" s="23">
        <v>3.6624029999999999</v>
      </c>
      <c r="BH40" s="23">
        <v>1</v>
      </c>
      <c r="BI40" s="23">
        <v>0.83056479999999999</v>
      </c>
      <c r="BJ40" s="23">
        <v>0.2395399</v>
      </c>
      <c r="BK40" s="23">
        <v>0.76046009999999997</v>
      </c>
      <c r="BL40" s="23">
        <v>0.29117480000000001</v>
      </c>
      <c r="BM40" s="23">
        <v>3.9300000000000004E-15</v>
      </c>
      <c r="BN40" s="23">
        <v>3.3361540000000001</v>
      </c>
      <c r="BO40" s="23">
        <v>3.3361540000000001</v>
      </c>
      <c r="BP40" s="23">
        <v>1</v>
      </c>
      <c r="BQ40" s="23">
        <v>0.44890160000000001</v>
      </c>
      <c r="BR40" s="23">
        <v>0.21586759999999999</v>
      </c>
      <c r="BS40" s="23">
        <v>0.78413239999999995</v>
      </c>
      <c r="BT40" s="23">
        <v>0.55497370000000001</v>
      </c>
      <c r="BU40" s="23">
        <v>0.69686530000000002</v>
      </c>
      <c r="BV40" s="23">
        <v>0.44306980000000001</v>
      </c>
      <c r="BW40" s="23">
        <v>2.374806</v>
      </c>
      <c r="BX40" s="23">
        <v>3.8619690000000002</v>
      </c>
      <c r="BY40" s="23">
        <v>1.626225</v>
      </c>
      <c r="BZ40" s="23">
        <v>0</v>
      </c>
      <c r="CA40" s="23">
        <v>0.56489109999999998</v>
      </c>
      <c r="CB40" s="23">
        <v>0.43510890000000002</v>
      </c>
      <c r="CC40" s="23">
        <v>0.21771099999999999</v>
      </c>
      <c r="CD40" s="23">
        <v>0.78228900000000001</v>
      </c>
      <c r="CE40" s="23">
        <v>5.2881830000000001</v>
      </c>
      <c r="CF40" s="23">
        <v>5.6406999999999998</v>
      </c>
      <c r="CG40" s="23">
        <v>2.4064519999999998</v>
      </c>
      <c r="CH40" s="23">
        <v>3.813977</v>
      </c>
      <c r="CI40" s="23">
        <v>1.3041069999999999</v>
      </c>
      <c r="CJ40" s="23">
        <v>1.155694</v>
      </c>
      <c r="CK40" s="23">
        <v>0.88619599999999998</v>
      </c>
      <c r="CL40" s="23">
        <v>1.008694</v>
      </c>
      <c r="CM40" s="23">
        <v>0.56350199999999995</v>
      </c>
      <c r="CN40" s="23">
        <v>0.60514999999999997</v>
      </c>
      <c r="CO40" s="23">
        <v>0.53786230000000002</v>
      </c>
      <c r="CP40" s="23">
        <v>1.07709E-2</v>
      </c>
      <c r="CQ40" s="23">
        <v>2.78582E-2</v>
      </c>
      <c r="CR40" s="23">
        <v>3.4445999999999999E-3</v>
      </c>
      <c r="CS40" s="23">
        <v>1.316441</v>
      </c>
      <c r="CT40" s="23">
        <v>1.3524020000000001</v>
      </c>
      <c r="CU40" s="23">
        <v>1.2585869999999999</v>
      </c>
      <c r="CV40" s="23">
        <v>0.97653719999999999</v>
      </c>
      <c r="CW40" s="23">
        <v>1.286834</v>
      </c>
      <c r="CX40" s="23">
        <v>1.2845329999999999</v>
      </c>
      <c r="CY40" s="23">
        <v>1.3758090000000001</v>
      </c>
    </row>
    <row r="41" spans="1:103" x14ac:dyDescent="0.3">
      <c r="A41" s="5">
        <v>1986</v>
      </c>
      <c r="B41" s="3">
        <v>240683</v>
      </c>
      <c r="C41" s="3">
        <v>4579631</v>
      </c>
      <c r="D41" s="2">
        <v>4.0427900000000001</v>
      </c>
      <c r="E41" s="2">
        <v>4.5381299999999998</v>
      </c>
      <c r="F41" s="3">
        <v>2886278</v>
      </c>
      <c r="G41" s="3">
        <v>849146</v>
      </c>
      <c r="H41" s="3">
        <v>737989</v>
      </c>
      <c r="I41" s="3">
        <v>238087</v>
      </c>
      <c r="J41" s="3">
        <v>-131869</v>
      </c>
      <c r="K41" s="3">
        <v>4466132.5</v>
      </c>
      <c r="L41" s="3">
        <v>1281382.6000000001</v>
      </c>
      <c r="M41" s="3">
        <v>3184749.8</v>
      </c>
      <c r="N41" s="2">
        <v>4.7225799999999998</v>
      </c>
      <c r="O41" s="2">
        <v>3.8808099999999999</v>
      </c>
      <c r="P41" s="2">
        <v>5.2907700000000002</v>
      </c>
      <c r="Q41" s="3">
        <v>594229</v>
      </c>
      <c r="R41" s="3">
        <v>674254</v>
      </c>
      <c r="S41" s="3">
        <v>486433</v>
      </c>
      <c r="T41" s="3">
        <v>2711216.5</v>
      </c>
      <c r="U41" s="3">
        <v>2613823</v>
      </c>
      <c r="V41" s="3">
        <v>832855.6</v>
      </c>
      <c r="W41" s="3">
        <v>1780967.3</v>
      </c>
      <c r="X41" s="2">
        <v>0.58472999999999997</v>
      </c>
      <c r="Y41" s="2">
        <v>3.87365</v>
      </c>
      <c r="Z41" s="2">
        <v>3.2635100000000001</v>
      </c>
      <c r="AA41" s="2">
        <v>4.2105399999999999</v>
      </c>
      <c r="AB41" s="2">
        <v>5.3226000000000004</v>
      </c>
      <c r="AC41" s="2">
        <v>4.9581499999999998</v>
      </c>
      <c r="AD41" s="2">
        <v>5.4448600000000003</v>
      </c>
      <c r="AE41" s="2">
        <v>1.8209200000000001</v>
      </c>
      <c r="AF41" s="2">
        <v>1.32504</v>
      </c>
      <c r="AG41" s="2">
        <v>2.2674500000000002</v>
      </c>
      <c r="AH41" s="2">
        <v>0.64356000000000002</v>
      </c>
      <c r="AI41" s="2">
        <v>0.56039000000000005</v>
      </c>
      <c r="AJ41" s="3">
        <v>3385470.5</v>
      </c>
      <c r="AK41" s="3">
        <v>1029137</v>
      </c>
      <c r="AL41" s="3">
        <v>2356333.5</v>
      </c>
      <c r="AM41" s="2">
        <v>3.71929</v>
      </c>
      <c r="AN41" s="2">
        <v>4.5612899999999996</v>
      </c>
      <c r="AO41" s="2">
        <v>3.2055899999999999</v>
      </c>
      <c r="AP41" s="2">
        <v>3.0440499999999999</v>
      </c>
      <c r="AQ41" s="2">
        <v>4.0981699999999996</v>
      </c>
      <c r="AR41" s="2">
        <v>6.1107199999999997</v>
      </c>
      <c r="AS41" s="3">
        <v>1080662</v>
      </c>
      <c r="AT41" s="2">
        <v>5.5154899999999998</v>
      </c>
      <c r="AU41" s="2">
        <v>4.5179999999999998</v>
      </c>
      <c r="AV41" s="22"/>
      <c r="AW41" s="23">
        <v>0.549875</v>
      </c>
      <c r="AX41" s="23">
        <v>0.450125</v>
      </c>
      <c r="AY41" s="23">
        <v>0.19916110000000001</v>
      </c>
      <c r="AZ41" s="23">
        <v>0.80083890000000002</v>
      </c>
      <c r="BA41" s="23">
        <v>14.0661</v>
      </c>
      <c r="BB41" s="23">
        <v>0.57371399999999995</v>
      </c>
      <c r="BC41" s="23">
        <v>0.426286</v>
      </c>
      <c r="BD41" s="23">
        <v>0.64724230000000005</v>
      </c>
      <c r="BE41" s="23">
        <v>0</v>
      </c>
      <c r="BF41" s="23">
        <v>3.8514840000000001</v>
      </c>
      <c r="BG41" s="23">
        <v>3.8514840000000001</v>
      </c>
      <c r="BH41" s="23">
        <v>1</v>
      </c>
      <c r="BI41" s="23">
        <v>0.83056479999999999</v>
      </c>
      <c r="BJ41" s="23">
        <v>0.23154569999999999</v>
      </c>
      <c r="BK41" s="23">
        <v>0.76845430000000003</v>
      </c>
      <c r="BL41" s="23">
        <v>0.29117480000000001</v>
      </c>
      <c r="BM41" s="23">
        <v>3.9300000000000004E-15</v>
      </c>
      <c r="BN41" s="23">
        <v>3.4552740000000002</v>
      </c>
      <c r="BO41" s="23">
        <v>3.4552740000000002</v>
      </c>
      <c r="BP41" s="23">
        <v>1</v>
      </c>
      <c r="BQ41" s="23">
        <v>0.44890160000000001</v>
      </c>
      <c r="BR41" s="23">
        <v>0.2074936</v>
      </c>
      <c r="BS41" s="23">
        <v>0.79250640000000006</v>
      </c>
      <c r="BT41" s="23">
        <v>0.55497370000000001</v>
      </c>
      <c r="BU41" s="23">
        <v>0.69686530000000002</v>
      </c>
      <c r="BV41" s="23">
        <v>0.44306980000000001</v>
      </c>
      <c r="BW41" s="23">
        <v>2.445811</v>
      </c>
      <c r="BX41" s="23">
        <v>4.0005249999999997</v>
      </c>
      <c r="BY41" s="23">
        <v>1.635664</v>
      </c>
      <c r="BZ41" s="23">
        <v>0</v>
      </c>
      <c r="CA41" s="23">
        <v>0.55511739999999998</v>
      </c>
      <c r="CB41" s="23">
        <v>0.44488250000000001</v>
      </c>
      <c r="CC41" s="23">
        <v>0.2057341</v>
      </c>
      <c r="CD41" s="23">
        <v>0.79426589999999997</v>
      </c>
      <c r="CE41" s="23">
        <v>5.5222040000000003</v>
      </c>
      <c r="CF41" s="23">
        <v>5.878889</v>
      </c>
      <c r="CG41" s="23">
        <v>2.418771</v>
      </c>
      <c r="CH41" s="23">
        <v>3.9743040000000001</v>
      </c>
      <c r="CI41" s="23">
        <v>1.3633139999999999</v>
      </c>
      <c r="CJ41" s="23">
        <v>1.171041</v>
      </c>
      <c r="CK41" s="23">
        <v>0.85896640000000002</v>
      </c>
      <c r="CL41" s="23">
        <v>1.0095810000000001</v>
      </c>
      <c r="CM41" s="23">
        <v>0.56350199999999995</v>
      </c>
      <c r="CN41" s="23">
        <v>0.60514999999999997</v>
      </c>
      <c r="CO41" s="23">
        <v>0.53786230000000002</v>
      </c>
      <c r="CP41" s="23">
        <v>1.17264E-2</v>
      </c>
      <c r="CQ41" s="23">
        <v>2.3479799999999999E-2</v>
      </c>
      <c r="CR41" s="23">
        <v>6.5659999999999998E-3</v>
      </c>
      <c r="CS41" s="23">
        <v>1.331969</v>
      </c>
      <c r="CT41" s="23">
        <v>1.3845320000000001</v>
      </c>
      <c r="CU41" s="23">
        <v>1.2668779999999999</v>
      </c>
      <c r="CV41" s="23">
        <v>0.96541399999999999</v>
      </c>
      <c r="CW41" s="23">
        <v>1.2942469999999999</v>
      </c>
      <c r="CX41" s="23">
        <v>1.2990200000000001</v>
      </c>
      <c r="CY41" s="23">
        <v>1.3922810000000001</v>
      </c>
    </row>
    <row r="42" spans="1:103" x14ac:dyDescent="0.3">
      <c r="A42" s="5">
        <v>1987</v>
      </c>
      <c r="B42" s="3">
        <v>242843</v>
      </c>
      <c r="C42" s="3">
        <v>4855215</v>
      </c>
      <c r="D42" s="2">
        <v>4.1826499999999998</v>
      </c>
      <c r="E42" s="2">
        <v>4.6503399999999999</v>
      </c>
      <c r="F42" s="3">
        <v>3076279</v>
      </c>
      <c r="G42" s="3">
        <v>892176</v>
      </c>
      <c r="H42" s="3">
        <v>776893</v>
      </c>
      <c r="I42" s="3">
        <v>254637</v>
      </c>
      <c r="J42" s="3">
        <v>-144770</v>
      </c>
      <c r="K42" s="3">
        <v>4753138.5</v>
      </c>
      <c r="L42" s="3">
        <v>1360536.8</v>
      </c>
      <c r="M42" s="3">
        <v>3392601.8</v>
      </c>
      <c r="N42" s="2">
        <v>4.8716400000000002</v>
      </c>
      <c r="O42" s="2">
        <v>3.9077700000000002</v>
      </c>
      <c r="P42" s="2">
        <v>5.5109700000000004</v>
      </c>
      <c r="Q42" s="3">
        <v>616978</v>
      </c>
      <c r="R42" s="3">
        <v>730233</v>
      </c>
      <c r="S42" s="3">
        <v>502686</v>
      </c>
      <c r="T42" s="3">
        <v>2903241.5</v>
      </c>
      <c r="U42" s="3">
        <v>2806064.5</v>
      </c>
      <c r="V42" s="3">
        <v>864301.3</v>
      </c>
      <c r="W42" s="3">
        <v>1941763</v>
      </c>
      <c r="X42" s="2">
        <v>0.58781000000000005</v>
      </c>
      <c r="Y42" s="2">
        <v>3.9964400000000002</v>
      </c>
      <c r="Z42" s="2">
        <v>3.4411999999999998</v>
      </c>
      <c r="AA42" s="2">
        <v>4.3061100000000003</v>
      </c>
      <c r="AB42" s="2">
        <v>5.5711399999999998</v>
      </c>
      <c r="AC42" s="2">
        <v>5.0682700000000001</v>
      </c>
      <c r="AD42" s="2">
        <v>5.7438900000000004</v>
      </c>
      <c r="AE42" s="2">
        <v>1.8855500000000001</v>
      </c>
      <c r="AF42" s="2">
        <v>1.3492999999999999</v>
      </c>
      <c r="AG42" s="2">
        <v>2.36591</v>
      </c>
      <c r="AH42" s="2">
        <v>0.64261999999999997</v>
      </c>
      <c r="AI42" s="2">
        <v>0.56577999999999995</v>
      </c>
      <c r="AJ42" s="3">
        <v>3633474.5</v>
      </c>
      <c r="AK42" s="3">
        <v>1103238</v>
      </c>
      <c r="AL42" s="3">
        <v>2530236.5</v>
      </c>
      <c r="AM42" s="2">
        <v>3.8673000000000002</v>
      </c>
      <c r="AN42" s="2">
        <v>4.6833299999999998</v>
      </c>
      <c r="AO42" s="2">
        <v>3.3036799999999999</v>
      </c>
      <c r="AP42" s="2">
        <v>3.1497000000000002</v>
      </c>
      <c r="AQ42" s="2">
        <v>4.2462099999999996</v>
      </c>
      <c r="AR42" s="2">
        <v>6.2996400000000001</v>
      </c>
      <c r="AS42" s="3">
        <v>1119664</v>
      </c>
      <c r="AT42" s="2">
        <v>5.6130199999999997</v>
      </c>
      <c r="AU42" s="2">
        <v>4.5997199999999996</v>
      </c>
      <c r="AV42" s="22"/>
      <c r="AW42" s="23">
        <v>0.55103849999999999</v>
      </c>
      <c r="AX42" s="23">
        <v>0.44896150000000001</v>
      </c>
      <c r="AY42" s="23">
        <v>0.20097370000000001</v>
      </c>
      <c r="AZ42" s="23">
        <v>0.79902629999999997</v>
      </c>
      <c r="BA42" s="23">
        <v>14.96224</v>
      </c>
      <c r="BB42" s="23">
        <v>0.56541439999999998</v>
      </c>
      <c r="BC42" s="23">
        <v>0.43458560000000002</v>
      </c>
      <c r="BD42" s="23">
        <v>0.64724230000000005</v>
      </c>
      <c r="BE42" s="23">
        <v>0</v>
      </c>
      <c r="BF42" s="23">
        <v>4.0457229999999997</v>
      </c>
      <c r="BG42" s="23">
        <v>4.0457229999999997</v>
      </c>
      <c r="BH42" s="23">
        <v>1</v>
      </c>
      <c r="BI42" s="23">
        <v>0.83056479999999999</v>
      </c>
      <c r="BJ42" s="23">
        <v>0.22557669999999999</v>
      </c>
      <c r="BK42" s="23">
        <v>0.77442330000000004</v>
      </c>
      <c r="BL42" s="23">
        <v>0.29117480000000001</v>
      </c>
      <c r="BM42" s="23">
        <v>3.9300000000000004E-15</v>
      </c>
      <c r="BN42" s="23">
        <v>3.587869</v>
      </c>
      <c r="BO42" s="23">
        <v>3.587869</v>
      </c>
      <c r="BP42" s="23">
        <v>1</v>
      </c>
      <c r="BQ42" s="23">
        <v>0.44890160000000001</v>
      </c>
      <c r="BR42" s="23">
        <v>0.20030919999999999</v>
      </c>
      <c r="BS42" s="23">
        <v>0.79969080000000003</v>
      </c>
      <c r="BT42" s="23">
        <v>0.55497370000000001</v>
      </c>
      <c r="BU42" s="23">
        <v>0.69686530000000002</v>
      </c>
      <c r="BV42" s="23">
        <v>0.44306980000000001</v>
      </c>
      <c r="BW42" s="23">
        <v>2.5166089999999999</v>
      </c>
      <c r="BX42" s="23">
        <v>4.1593939999999998</v>
      </c>
      <c r="BY42" s="23">
        <v>1.6527769999999999</v>
      </c>
      <c r="BZ42" s="23">
        <v>0</v>
      </c>
      <c r="CA42" s="23">
        <v>0.55045679999999997</v>
      </c>
      <c r="CB42" s="23">
        <v>0.44954319999999998</v>
      </c>
      <c r="CC42" s="23">
        <v>0.20006740000000001</v>
      </c>
      <c r="CD42" s="23">
        <v>0.79993259999999999</v>
      </c>
      <c r="CE42" s="23">
        <v>5.6940580000000001</v>
      </c>
      <c r="CF42" s="23">
        <v>5.8325670000000001</v>
      </c>
      <c r="CG42" s="23">
        <v>2.601515</v>
      </c>
      <c r="CH42" s="23">
        <v>4.0857400000000004</v>
      </c>
      <c r="CI42" s="23">
        <v>1.4102589999999999</v>
      </c>
      <c r="CJ42" s="23">
        <v>1.1981090000000001</v>
      </c>
      <c r="CK42" s="23">
        <v>0.84956670000000001</v>
      </c>
      <c r="CL42" s="23">
        <v>1.018176</v>
      </c>
      <c r="CM42" s="23">
        <v>0.56350199999999995</v>
      </c>
      <c r="CN42" s="23">
        <v>0.60514999999999997</v>
      </c>
      <c r="CO42" s="23">
        <v>0.53786230000000002</v>
      </c>
      <c r="CP42" s="23">
        <v>-8.3660999999999996E-3</v>
      </c>
      <c r="CQ42" s="23">
        <v>3.3203499999999997E-2</v>
      </c>
      <c r="CR42" s="23">
        <v>-2.4845200000000001E-2</v>
      </c>
      <c r="CS42" s="23">
        <v>1.320873</v>
      </c>
      <c r="CT42" s="23">
        <v>1.4312750000000001</v>
      </c>
      <c r="CU42" s="23">
        <v>1.2357899999999999</v>
      </c>
      <c r="CV42" s="23">
        <v>0.96949269999999999</v>
      </c>
      <c r="CW42" s="23">
        <v>1.3142720000000001</v>
      </c>
      <c r="CX42" s="23">
        <v>1.2869710000000001</v>
      </c>
      <c r="CY42" s="23">
        <v>1.398957</v>
      </c>
    </row>
    <row r="43" spans="1:103" x14ac:dyDescent="0.3">
      <c r="A43" s="5">
        <v>1988</v>
      </c>
      <c r="B43" s="3">
        <v>245061</v>
      </c>
      <c r="C43" s="3">
        <v>5236438</v>
      </c>
      <c r="D43" s="2">
        <v>4.3573899999999997</v>
      </c>
      <c r="E43" s="2">
        <v>4.8143500000000001</v>
      </c>
      <c r="F43" s="3">
        <v>3330012</v>
      </c>
      <c r="G43" s="3">
        <v>936963</v>
      </c>
      <c r="H43" s="3">
        <v>820454</v>
      </c>
      <c r="I43" s="3">
        <v>258401</v>
      </c>
      <c r="J43" s="3">
        <v>-109393</v>
      </c>
      <c r="K43" s="3">
        <v>5129091.5</v>
      </c>
      <c r="L43" s="3">
        <v>1458687.9</v>
      </c>
      <c r="M43" s="3">
        <v>3670403.5</v>
      </c>
      <c r="N43" s="2">
        <v>5.0456500000000002</v>
      </c>
      <c r="O43" s="2">
        <v>4.0140599999999997</v>
      </c>
      <c r="P43" s="2">
        <v>5.7266700000000004</v>
      </c>
      <c r="Q43" s="3">
        <v>650465</v>
      </c>
      <c r="R43" s="3">
        <v>794144</v>
      </c>
      <c r="S43" s="3">
        <v>526417</v>
      </c>
      <c r="T43" s="3">
        <v>3158065.5</v>
      </c>
      <c r="U43" s="3">
        <v>3071243.3</v>
      </c>
      <c r="V43" s="3">
        <v>933561.6</v>
      </c>
      <c r="W43" s="3">
        <v>2137681.5</v>
      </c>
      <c r="X43" s="2">
        <v>0.59457000000000004</v>
      </c>
      <c r="Y43" s="2">
        <v>4.1638200000000003</v>
      </c>
      <c r="Z43" s="2">
        <v>3.5917599999999998</v>
      </c>
      <c r="AA43" s="2">
        <v>4.48325</v>
      </c>
      <c r="AB43" s="2">
        <v>5.7736299999999998</v>
      </c>
      <c r="AC43" s="2">
        <v>5.0646699999999996</v>
      </c>
      <c r="AD43" s="2">
        <v>6.0273099999999999</v>
      </c>
      <c r="AE43" s="2">
        <v>1.9368700000000001</v>
      </c>
      <c r="AF43" s="2">
        <v>1.4036599999999999</v>
      </c>
      <c r="AG43" s="2">
        <v>2.4168099999999999</v>
      </c>
      <c r="AH43" s="2">
        <v>0.63763000000000003</v>
      </c>
      <c r="AI43" s="2">
        <v>0.57738</v>
      </c>
      <c r="AJ43" s="3">
        <v>3952209.5</v>
      </c>
      <c r="AK43" s="3">
        <v>1203044</v>
      </c>
      <c r="AL43" s="3">
        <v>2749165.5</v>
      </c>
      <c r="AM43" s="2">
        <v>4.0503999999999998</v>
      </c>
      <c r="AN43" s="2">
        <v>4.85947</v>
      </c>
      <c r="AO43" s="2">
        <v>3.53552</v>
      </c>
      <c r="AP43" s="2">
        <v>3.2065100000000002</v>
      </c>
      <c r="AQ43" s="2">
        <v>4.4187399999999997</v>
      </c>
      <c r="AR43" s="2">
        <v>6.5715000000000003</v>
      </c>
      <c r="AS43" s="3">
        <v>1176882</v>
      </c>
      <c r="AT43" s="2">
        <v>5.7427599999999996</v>
      </c>
      <c r="AU43" s="2">
        <v>4.7255500000000001</v>
      </c>
      <c r="AV43" s="22"/>
      <c r="AW43" s="23">
        <v>0.55270200000000003</v>
      </c>
      <c r="AX43" s="23">
        <v>0.44729799999999997</v>
      </c>
      <c r="AY43" s="23">
        <v>0.2009367</v>
      </c>
      <c r="AZ43" s="23">
        <v>0.79906330000000003</v>
      </c>
      <c r="BA43" s="23">
        <v>16.12745</v>
      </c>
      <c r="BB43" s="23">
        <v>0.56257230000000003</v>
      </c>
      <c r="BC43" s="23">
        <v>0.43742769999999997</v>
      </c>
      <c r="BD43" s="23">
        <v>0.64724230000000005</v>
      </c>
      <c r="BE43" s="23">
        <v>0</v>
      </c>
      <c r="BF43" s="23">
        <v>4.2625650000000004</v>
      </c>
      <c r="BG43" s="23">
        <v>4.2625650000000004</v>
      </c>
      <c r="BH43" s="23">
        <v>1</v>
      </c>
      <c r="BI43" s="23">
        <v>0.83056479999999999</v>
      </c>
      <c r="BJ43" s="23">
        <v>0.22356409999999999</v>
      </c>
      <c r="BK43" s="23">
        <v>0.77643600000000002</v>
      </c>
      <c r="BL43" s="23">
        <v>0.29117480000000001</v>
      </c>
      <c r="BM43" s="23">
        <v>3.9300000000000004E-15</v>
      </c>
      <c r="BN43" s="23">
        <v>3.765371</v>
      </c>
      <c r="BO43" s="23">
        <v>3.765371</v>
      </c>
      <c r="BP43" s="23">
        <v>1</v>
      </c>
      <c r="BQ43" s="23">
        <v>0.44890160000000001</v>
      </c>
      <c r="BR43" s="23">
        <v>0.19470699999999999</v>
      </c>
      <c r="BS43" s="23">
        <v>0.80529300000000004</v>
      </c>
      <c r="BT43" s="23">
        <v>0.55497370000000001</v>
      </c>
      <c r="BU43" s="23">
        <v>0.69686530000000002</v>
      </c>
      <c r="BV43" s="23">
        <v>0.44306980000000001</v>
      </c>
      <c r="BW43" s="23">
        <v>2.5903580000000002</v>
      </c>
      <c r="BX43" s="23">
        <v>4.3843560000000004</v>
      </c>
      <c r="BY43" s="23">
        <v>1.6925669999999999</v>
      </c>
      <c r="BZ43" s="23">
        <v>0</v>
      </c>
      <c r="CA43" s="23">
        <v>0.55187019999999998</v>
      </c>
      <c r="CB43" s="23">
        <v>0.44812970000000002</v>
      </c>
      <c r="CC43" s="23">
        <v>0.2009552</v>
      </c>
      <c r="CD43" s="23">
        <v>0.7990448</v>
      </c>
      <c r="CE43" s="23">
        <v>5.8441539999999996</v>
      </c>
      <c r="CF43" s="23">
        <v>5.8778550000000003</v>
      </c>
      <c r="CG43" s="23">
        <v>2.7542900000000001</v>
      </c>
      <c r="CH43" s="23">
        <v>4.2769560000000002</v>
      </c>
      <c r="CI43" s="23">
        <v>1.4266529999999999</v>
      </c>
      <c r="CJ43" s="23">
        <v>1.2118519999999999</v>
      </c>
      <c r="CK43" s="23">
        <v>0.84943690000000005</v>
      </c>
      <c r="CL43" s="23">
        <v>1.02834</v>
      </c>
      <c r="CM43" s="23">
        <v>0.56350199999999995</v>
      </c>
      <c r="CN43" s="23">
        <v>0.60514999999999997</v>
      </c>
      <c r="CO43" s="23">
        <v>0.53786230000000002</v>
      </c>
      <c r="CP43" s="23">
        <v>1.0311000000000001E-2</v>
      </c>
      <c r="CQ43" s="23">
        <v>2.0877099999999999E-2</v>
      </c>
      <c r="CR43" s="23">
        <v>7.2940000000000001E-3</v>
      </c>
      <c r="CS43" s="23">
        <v>1.3345629999999999</v>
      </c>
      <c r="CT43" s="23">
        <v>1.46147</v>
      </c>
      <c r="CU43" s="23">
        <v>1.244837</v>
      </c>
      <c r="CV43" s="23">
        <v>0.97437830000000003</v>
      </c>
      <c r="CW43" s="23">
        <v>1.3416619999999999</v>
      </c>
      <c r="CX43" s="23">
        <v>1.300988</v>
      </c>
      <c r="CY43" s="23">
        <v>1.424963</v>
      </c>
    </row>
    <row r="44" spans="1:103" x14ac:dyDescent="0.3">
      <c r="A44" s="5">
        <v>1989</v>
      </c>
      <c r="B44" s="3">
        <v>247387</v>
      </c>
      <c r="C44" s="3">
        <v>5641580</v>
      </c>
      <c r="D44" s="2">
        <v>4.51736</v>
      </c>
      <c r="E44" s="2">
        <v>5.0031499999999998</v>
      </c>
      <c r="F44" s="3">
        <v>3576758</v>
      </c>
      <c r="G44" s="3">
        <v>999701</v>
      </c>
      <c r="H44" s="3">
        <v>881429</v>
      </c>
      <c r="I44" s="3">
        <v>270433</v>
      </c>
      <c r="J44" s="3">
        <v>-86741</v>
      </c>
      <c r="K44" s="3">
        <v>5519883.5</v>
      </c>
      <c r="L44" s="3">
        <v>1556168.1</v>
      </c>
      <c r="M44" s="3">
        <v>3963715.5</v>
      </c>
      <c r="N44" s="2">
        <v>5.2455800000000004</v>
      </c>
      <c r="O44" s="2">
        <v>4.2202599999999997</v>
      </c>
      <c r="P44" s="2">
        <v>5.9272200000000002</v>
      </c>
      <c r="Q44" s="3">
        <v>683806</v>
      </c>
      <c r="R44" s="3">
        <v>857264</v>
      </c>
      <c r="S44" s="3">
        <v>558635</v>
      </c>
      <c r="T44" s="3">
        <v>3420178.5</v>
      </c>
      <c r="U44" s="3">
        <v>3220815.3</v>
      </c>
      <c r="V44" s="3">
        <v>975114.6</v>
      </c>
      <c r="W44" s="3">
        <v>2245700.5</v>
      </c>
      <c r="X44" s="2">
        <v>0.59114</v>
      </c>
      <c r="Y44" s="2">
        <v>4.31027</v>
      </c>
      <c r="Z44" s="2">
        <v>3.6445699999999999</v>
      </c>
      <c r="AA44" s="2">
        <v>4.6776999999999997</v>
      </c>
      <c r="AB44" s="2">
        <v>5.9772499999999997</v>
      </c>
      <c r="AC44" s="2">
        <v>5.149</v>
      </c>
      <c r="AD44" s="2">
        <v>6.2785500000000001</v>
      </c>
      <c r="AE44" s="2">
        <v>1.98933</v>
      </c>
      <c r="AF44" s="2">
        <v>1.4126399999999999</v>
      </c>
      <c r="AG44" s="2">
        <v>2.5043700000000002</v>
      </c>
      <c r="AH44" s="2">
        <v>0.63331000000000004</v>
      </c>
      <c r="AI44" s="2">
        <v>0.57448999999999995</v>
      </c>
      <c r="AJ44" s="3">
        <v>4277442.5</v>
      </c>
      <c r="AK44" s="3">
        <v>1304346</v>
      </c>
      <c r="AL44" s="3">
        <v>2973096.5</v>
      </c>
      <c r="AM44" s="2">
        <v>4.2077299999999997</v>
      </c>
      <c r="AN44" s="2">
        <v>5.0690600000000003</v>
      </c>
      <c r="AO44" s="2">
        <v>3.6864499999999998</v>
      </c>
      <c r="AP44" s="2">
        <v>3.3383699999999998</v>
      </c>
      <c r="AQ44" s="2">
        <v>4.5706800000000003</v>
      </c>
      <c r="AR44" s="2">
        <v>6.8791599999999997</v>
      </c>
      <c r="AS44" s="3">
        <v>1242441</v>
      </c>
      <c r="AT44" s="2">
        <v>5.9110300000000002</v>
      </c>
      <c r="AU44" s="2">
        <v>4.8467799999999999</v>
      </c>
      <c r="AV44" s="22"/>
      <c r="AW44" s="23">
        <v>0.550373</v>
      </c>
      <c r="AX44" s="23">
        <v>0.449627</v>
      </c>
      <c r="AY44" s="23">
        <v>0.20041510000000001</v>
      </c>
      <c r="AZ44" s="23">
        <v>0.79958490000000004</v>
      </c>
      <c r="BA44" s="23">
        <v>17.290489999999998</v>
      </c>
      <c r="BB44" s="23">
        <v>0.56642499999999996</v>
      </c>
      <c r="BC44" s="23">
        <v>0.43357499999999999</v>
      </c>
      <c r="BD44" s="23">
        <v>0.64724230000000005</v>
      </c>
      <c r="BE44" s="23">
        <v>0</v>
      </c>
      <c r="BF44" s="23">
        <v>4.4179839999999997</v>
      </c>
      <c r="BG44" s="23">
        <v>4.4179849999999998</v>
      </c>
      <c r="BH44" s="23">
        <v>1</v>
      </c>
      <c r="BI44" s="23">
        <v>0.83056479999999999</v>
      </c>
      <c r="BJ44" s="23">
        <v>0.2262962</v>
      </c>
      <c r="BK44" s="23">
        <v>0.77370380000000005</v>
      </c>
      <c r="BL44" s="23">
        <v>0.29117480000000001</v>
      </c>
      <c r="BM44" s="23">
        <v>3.9300000000000004E-15</v>
      </c>
      <c r="BN44" s="23">
        <v>3.923486</v>
      </c>
      <c r="BO44" s="23">
        <v>3.923486</v>
      </c>
      <c r="BP44" s="23">
        <v>1</v>
      </c>
      <c r="BQ44" s="23">
        <v>0.44890160000000001</v>
      </c>
      <c r="BR44" s="23">
        <v>0.1930356</v>
      </c>
      <c r="BS44" s="23">
        <v>0.80696429999999997</v>
      </c>
      <c r="BT44" s="23">
        <v>0.55497370000000001</v>
      </c>
      <c r="BU44" s="23">
        <v>0.69686530000000002</v>
      </c>
      <c r="BV44" s="23">
        <v>0.44306980000000001</v>
      </c>
      <c r="BW44" s="23">
        <v>2.643656</v>
      </c>
      <c r="BX44" s="23">
        <v>4.5941099999999997</v>
      </c>
      <c r="BY44" s="23">
        <v>1.737787</v>
      </c>
      <c r="BZ44" s="23">
        <v>0</v>
      </c>
      <c r="CA44" s="23">
        <v>0.55153750000000001</v>
      </c>
      <c r="CB44" s="23">
        <v>0.44846249999999999</v>
      </c>
      <c r="CC44" s="23">
        <v>0.20067589999999999</v>
      </c>
      <c r="CD44" s="23">
        <v>0.79932409999999998</v>
      </c>
      <c r="CE44" s="23">
        <v>5.843534</v>
      </c>
      <c r="CF44" s="23">
        <v>6.0265409999999999</v>
      </c>
      <c r="CG44" s="23">
        <v>2.8279380000000001</v>
      </c>
      <c r="CH44" s="23">
        <v>4.4752099999999997</v>
      </c>
      <c r="CI44" s="23">
        <v>1.404469</v>
      </c>
      <c r="CJ44" s="23">
        <v>1.2229190000000001</v>
      </c>
      <c r="CK44" s="23">
        <v>0.8707336</v>
      </c>
      <c r="CL44" s="23">
        <v>1.0458620000000001</v>
      </c>
      <c r="CM44" s="23">
        <v>0.56350199999999995</v>
      </c>
      <c r="CN44" s="23">
        <v>0.60514999999999997</v>
      </c>
      <c r="CO44" s="23">
        <v>0.53786230000000002</v>
      </c>
      <c r="CP44" s="23">
        <v>4.3797000000000003E-3</v>
      </c>
      <c r="CQ44" s="23">
        <v>3.7961000000000002E-3</v>
      </c>
      <c r="CR44" s="23">
        <v>4.5789000000000003E-3</v>
      </c>
      <c r="CS44" s="23">
        <v>1.3404199999999999</v>
      </c>
      <c r="CT44" s="23">
        <v>1.4670289999999999</v>
      </c>
      <c r="CU44" s="23">
        <v>1.2505500000000001</v>
      </c>
      <c r="CV44" s="23">
        <v>0.99181220000000003</v>
      </c>
      <c r="CW44" s="23">
        <v>1.3712800000000001</v>
      </c>
      <c r="CX44" s="23">
        <v>1.306694</v>
      </c>
      <c r="CY44" s="23">
        <v>1.4507110000000001</v>
      </c>
    </row>
    <row r="45" spans="1:103" x14ac:dyDescent="0.3">
      <c r="A45" s="5">
        <v>1990</v>
      </c>
      <c r="B45" s="3">
        <v>250181</v>
      </c>
      <c r="C45" s="3">
        <v>5963144</v>
      </c>
      <c r="D45" s="2">
        <v>4.6025400000000003</v>
      </c>
      <c r="E45" s="2">
        <v>5.1904599999999999</v>
      </c>
      <c r="F45" s="3">
        <v>3808994</v>
      </c>
      <c r="G45" s="3">
        <v>993448</v>
      </c>
      <c r="H45" s="3">
        <v>948186</v>
      </c>
      <c r="I45" s="3">
        <v>290370</v>
      </c>
      <c r="J45" s="3">
        <v>-77855</v>
      </c>
      <c r="K45" s="3">
        <v>5835094.5</v>
      </c>
      <c r="L45" s="3">
        <v>1600088</v>
      </c>
      <c r="M45" s="3">
        <v>4235006.5</v>
      </c>
      <c r="N45" s="2">
        <v>5.4440999999999997</v>
      </c>
      <c r="O45" s="2">
        <v>4.3323099999999997</v>
      </c>
      <c r="P45" s="2">
        <v>6.1775200000000003</v>
      </c>
      <c r="Q45" s="3">
        <v>686742</v>
      </c>
      <c r="R45" s="3">
        <v>899237</v>
      </c>
      <c r="S45" s="3">
        <v>582530</v>
      </c>
      <c r="T45" s="3">
        <v>3666585.5</v>
      </c>
      <c r="U45" s="3">
        <v>3418432.3</v>
      </c>
      <c r="V45" s="3">
        <v>990332.9</v>
      </c>
      <c r="W45" s="3">
        <v>2428099.5</v>
      </c>
      <c r="X45" s="2">
        <v>0.58467000000000002</v>
      </c>
      <c r="Y45" s="2">
        <v>4.3902599999999996</v>
      </c>
      <c r="Z45" s="2">
        <v>3.6505100000000001</v>
      </c>
      <c r="AA45" s="2">
        <v>4.7953599999999996</v>
      </c>
      <c r="AB45" s="2">
        <v>6.1940999999999997</v>
      </c>
      <c r="AC45" s="2">
        <v>5.2593199999999998</v>
      </c>
      <c r="AD45" s="2">
        <v>6.5381299999999998</v>
      </c>
      <c r="AE45" s="2">
        <v>2.0140199999999999</v>
      </c>
      <c r="AF45" s="2">
        <v>1.40269</v>
      </c>
      <c r="AG45" s="2">
        <v>2.5562299999999998</v>
      </c>
      <c r="AH45" s="2">
        <v>0.62277000000000005</v>
      </c>
      <c r="AI45" s="2">
        <v>0.56994999999999996</v>
      </c>
      <c r="AJ45" s="3">
        <v>4565822.5</v>
      </c>
      <c r="AK45" s="3">
        <v>1362820</v>
      </c>
      <c r="AL45" s="3">
        <v>3203002.5</v>
      </c>
      <c r="AM45" s="2">
        <v>4.3105099999999998</v>
      </c>
      <c r="AN45" s="2">
        <v>5.2797200000000002</v>
      </c>
      <c r="AO45" s="2">
        <v>3.7602199999999999</v>
      </c>
      <c r="AP45" s="2">
        <v>3.41825</v>
      </c>
      <c r="AQ45" s="2">
        <v>4.7092599999999996</v>
      </c>
      <c r="AR45" s="2">
        <v>7.1901900000000003</v>
      </c>
      <c r="AS45" s="3">
        <v>1269272</v>
      </c>
      <c r="AT45" s="2">
        <v>5.9048299999999996</v>
      </c>
      <c r="AU45" s="2">
        <v>4.9566400000000002</v>
      </c>
      <c r="AV45" s="22"/>
      <c r="AW45" s="23">
        <v>0.54105190000000003</v>
      </c>
      <c r="AX45" s="23">
        <v>0.45894810000000003</v>
      </c>
      <c r="AY45" s="23">
        <v>0.1969496</v>
      </c>
      <c r="AZ45" s="23">
        <v>0.80305040000000005</v>
      </c>
      <c r="BA45" s="23">
        <v>18.250080000000001</v>
      </c>
      <c r="BB45" s="23">
        <v>0.56269899999999995</v>
      </c>
      <c r="BC45" s="23">
        <v>0.437301</v>
      </c>
      <c r="BD45" s="23">
        <v>0.64724230000000005</v>
      </c>
      <c r="BE45" s="23">
        <v>0</v>
      </c>
      <c r="BF45" s="23">
        <v>4.5636510000000001</v>
      </c>
      <c r="BG45" s="23">
        <v>4.5636520000000003</v>
      </c>
      <c r="BH45" s="23">
        <v>1</v>
      </c>
      <c r="BI45" s="23">
        <v>0.83056479999999999</v>
      </c>
      <c r="BJ45" s="23">
        <v>0.22365350000000001</v>
      </c>
      <c r="BK45" s="23">
        <v>0.7763466</v>
      </c>
      <c r="BL45" s="23">
        <v>0.29117480000000001</v>
      </c>
      <c r="BM45" s="23">
        <v>3.9300000000000004E-15</v>
      </c>
      <c r="BN45" s="23">
        <v>4.0320419999999997</v>
      </c>
      <c r="BO45" s="23">
        <v>4.0320419999999997</v>
      </c>
      <c r="BP45" s="23">
        <v>1</v>
      </c>
      <c r="BQ45" s="23">
        <v>0.44890160000000001</v>
      </c>
      <c r="BR45" s="23">
        <v>0.18967110000000001</v>
      </c>
      <c r="BS45" s="23">
        <v>0.81032899999999997</v>
      </c>
      <c r="BT45" s="23">
        <v>0.55497370000000001</v>
      </c>
      <c r="BU45" s="23">
        <v>0.69686530000000002</v>
      </c>
      <c r="BV45" s="23">
        <v>0.44306980000000001</v>
      </c>
      <c r="BW45" s="23">
        <v>2.70099</v>
      </c>
      <c r="BX45" s="23">
        <v>4.7247680000000001</v>
      </c>
      <c r="BY45" s="23">
        <v>1.7492730000000001</v>
      </c>
      <c r="BZ45" s="23">
        <v>0</v>
      </c>
      <c r="CA45" s="23">
        <v>0.54571250000000004</v>
      </c>
      <c r="CB45" s="23">
        <v>0.45428760000000001</v>
      </c>
      <c r="CC45" s="23">
        <v>0.19868240000000001</v>
      </c>
      <c r="CD45" s="23">
        <v>0.80131759999999996</v>
      </c>
      <c r="CE45" s="23">
        <v>5.7168390000000002</v>
      </c>
      <c r="CF45" s="23">
        <v>6.0296969999999996</v>
      </c>
      <c r="CG45" s="23">
        <v>2.8896760000000001</v>
      </c>
      <c r="CH45" s="23">
        <v>4.6032400000000004</v>
      </c>
      <c r="CI45" s="23">
        <v>1.4259189999999999</v>
      </c>
      <c r="CJ45" s="23">
        <v>1.24631</v>
      </c>
      <c r="CK45" s="23">
        <v>0.87404009999999999</v>
      </c>
      <c r="CL45" s="23">
        <v>1.0651809999999999</v>
      </c>
      <c r="CM45" s="23">
        <v>0.56350199999999995</v>
      </c>
      <c r="CN45" s="23">
        <v>0.60514999999999997</v>
      </c>
      <c r="CO45" s="23">
        <v>0.53786230000000002</v>
      </c>
      <c r="CP45" s="23">
        <v>-4.1171999999999997E-3</v>
      </c>
      <c r="CQ45" s="23">
        <v>-3.6454E-3</v>
      </c>
      <c r="CR45" s="23">
        <v>-4.3912999999999999E-3</v>
      </c>
      <c r="CS45" s="23">
        <v>1.334913</v>
      </c>
      <c r="CT45" s="23">
        <v>1.4616899999999999</v>
      </c>
      <c r="CU45" s="23">
        <v>1.2450699999999999</v>
      </c>
      <c r="CV45" s="23">
        <v>1.0024569999999999</v>
      </c>
      <c r="CW45" s="23">
        <v>1.3805529999999999</v>
      </c>
      <c r="CX45" s="23">
        <v>1.30122</v>
      </c>
      <c r="CY45" s="23">
        <v>1.4661930000000001</v>
      </c>
    </row>
    <row r="46" spans="1:103" x14ac:dyDescent="0.3">
      <c r="A46" s="5">
        <v>1991</v>
      </c>
      <c r="B46" s="3">
        <v>253530</v>
      </c>
      <c r="C46" s="3">
        <v>6158129</v>
      </c>
      <c r="D46" s="2">
        <v>4.5975900000000003</v>
      </c>
      <c r="E46" s="2">
        <v>5.3659400000000002</v>
      </c>
      <c r="F46" s="3">
        <v>3943449</v>
      </c>
      <c r="G46" s="3">
        <v>944344</v>
      </c>
      <c r="H46" s="3">
        <v>1004857</v>
      </c>
      <c r="I46" s="3">
        <v>294094</v>
      </c>
      <c r="J46" s="3">
        <v>-28614</v>
      </c>
      <c r="K46" s="3">
        <v>6013991.5</v>
      </c>
      <c r="L46" s="3">
        <v>1580645.3</v>
      </c>
      <c r="M46" s="3">
        <v>4433346</v>
      </c>
      <c r="N46" s="2">
        <v>5.6094299999999997</v>
      </c>
      <c r="O46" s="2">
        <v>4.3624099999999997</v>
      </c>
      <c r="P46" s="2">
        <v>6.4190699999999996</v>
      </c>
      <c r="Q46" s="3">
        <v>655834</v>
      </c>
      <c r="R46" s="3">
        <v>910797</v>
      </c>
      <c r="S46" s="3">
        <v>582998</v>
      </c>
      <c r="T46" s="3">
        <v>3864362.5</v>
      </c>
      <c r="U46" s="3">
        <v>3577624.5</v>
      </c>
      <c r="V46" s="3">
        <v>998328.8</v>
      </c>
      <c r="W46" s="3">
        <v>2579295.7999999998</v>
      </c>
      <c r="X46" s="2">
        <v>0.59036</v>
      </c>
      <c r="Y46" s="2">
        <v>4.3914900000000001</v>
      </c>
      <c r="Z46" s="2">
        <v>3.58127</v>
      </c>
      <c r="AA46" s="2">
        <v>4.8310399999999998</v>
      </c>
      <c r="AB46" s="2">
        <v>6.3761599999999996</v>
      </c>
      <c r="AC46" s="2">
        <v>5.3583400000000001</v>
      </c>
      <c r="AD46" s="2">
        <v>6.7529599999999999</v>
      </c>
      <c r="AE46" s="2">
        <v>1.9877499999999999</v>
      </c>
      <c r="AF46" s="2">
        <v>1.3529100000000001</v>
      </c>
      <c r="AG46" s="2">
        <v>2.5460600000000002</v>
      </c>
      <c r="AH46" s="2">
        <v>0.62526000000000004</v>
      </c>
      <c r="AI46" s="2">
        <v>0.57757000000000003</v>
      </c>
      <c r="AJ46" s="3">
        <v>4775159.5</v>
      </c>
      <c r="AK46" s="3">
        <v>1384659</v>
      </c>
      <c r="AL46" s="3">
        <v>3390500.5</v>
      </c>
      <c r="AM46" s="2">
        <v>4.3520300000000001</v>
      </c>
      <c r="AN46" s="2">
        <v>5.4804899999999996</v>
      </c>
      <c r="AO46" s="2">
        <v>3.7464499999999998</v>
      </c>
      <c r="AP46" s="2">
        <v>3.4930400000000001</v>
      </c>
      <c r="AQ46" s="2">
        <v>4.8027499999999996</v>
      </c>
      <c r="AR46" s="2">
        <v>7.4784699999999997</v>
      </c>
      <c r="AS46" s="3">
        <v>1238832</v>
      </c>
      <c r="AT46" s="2">
        <v>5.66235</v>
      </c>
      <c r="AU46" s="2">
        <v>5.0449400000000004</v>
      </c>
      <c r="AV46" s="22"/>
      <c r="AW46" s="23">
        <v>0.52939709999999995</v>
      </c>
      <c r="AX46" s="23">
        <v>0.47060299999999999</v>
      </c>
      <c r="AY46" s="23">
        <v>0.1907365</v>
      </c>
      <c r="AZ46" s="23">
        <v>0.80926350000000002</v>
      </c>
      <c r="BA46" s="23">
        <v>18.834689999999998</v>
      </c>
      <c r="BB46" s="23">
        <v>0.55494980000000005</v>
      </c>
      <c r="BC46" s="23">
        <v>0.44505020000000001</v>
      </c>
      <c r="BD46" s="23">
        <v>0.64724230000000005</v>
      </c>
      <c r="BE46" s="23">
        <v>0</v>
      </c>
      <c r="BF46" s="23">
        <v>4.6746800000000004</v>
      </c>
      <c r="BG46" s="23">
        <v>4.6746809999999996</v>
      </c>
      <c r="BH46" s="23">
        <v>1</v>
      </c>
      <c r="BI46" s="23">
        <v>0.83056479999999999</v>
      </c>
      <c r="BJ46" s="23">
        <v>0.2182432</v>
      </c>
      <c r="BK46" s="23">
        <v>0.78175680000000003</v>
      </c>
      <c r="BL46" s="23">
        <v>0.29117480000000001</v>
      </c>
      <c r="BM46" s="23">
        <v>3.9300000000000004E-15</v>
      </c>
      <c r="BN46" s="23">
        <v>4.0865039999999997</v>
      </c>
      <c r="BO46" s="23">
        <v>4.0865039999999997</v>
      </c>
      <c r="BP46" s="23">
        <v>1</v>
      </c>
      <c r="BQ46" s="23">
        <v>0.44890160000000001</v>
      </c>
      <c r="BR46" s="23">
        <v>0.18626580000000001</v>
      </c>
      <c r="BS46" s="23">
        <v>0.81373419999999996</v>
      </c>
      <c r="BT46" s="23">
        <v>0.55497370000000001</v>
      </c>
      <c r="BU46" s="23">
        <v>0.69686530000000002</v>
      </c>
      <c r="BV46" s="23">
        <v>0.44306980000000001</v>
      </c>
      <c r="BW46" s="23">
        <v>2.7549709999999998</v>
      </c>
      <c r="BX46" s="23">
        <v>4.7754310000000002</v>
      </c>
      <c r="BY46" s="23">
        <v>1.733387</v>
      </c>
      <c r="BZ46" s="23">
        <v>0</v>
      </c>
      <c r="CA46" s="23">
        <v>0.53522440000000004</v>
      </c>
      <c r="CB46" s="23">
        <v>0.46477550000000001</v>
      </c>
      <c r="CC46" s="23">
        <v>0.19384299999999999</v>
      </c>
      <c r="CD46" s="23">
        <v>0.80615689999999995</v>
      </c>
      <c r="CE46" s="23">
        <v>5.4218719999999996</v>
      </c>
      <c r="CF46" s="23">
        <v>5.807461</v>
      </c>
      <c r="CG46" s="23">
        <v>2.9066290000000001</v>
      </c>
      <c r="CH46" s="23">
        <v>4.6689769999999999</v>
      </c>
      <c r="CI46" s="23">
        <v>1.4714510000000001</v>
      </c>
      <c r="CJ46" s="23">
        <v>1.272376</v>
      </c>
      <c r="CK46" s="23">
        <v>0.86470860000000005</v>
      </c>
      <c r="CL46" s="23">
        <v>1.086333</v>
      </c>
      <c r="CM46" s="23">
        <v>0.56350199999999995</v>
      </c>
      <c r="CN46" s="23">
        <v>0.60514999999999997</v>
      </c>
      <c r="CO46" s="23">
        <v>0.53786230000000002</v>
      </c>
      <c r="CP46" s="23">
        <v>-4.9655000000000003E-3</v>
      </c>
      <c r="CQ46" s="23">
        <v>-6.9274000000000002E-3</v>
      </c>
      <c r="CR46" s="23">
        <v>-4.4514999999999997E-3</v>
      </c>
      <c r="CS46" s="23">
        <v>1.328301</v>
      </c>
      <c r="CT46" s="23">
        <v>1.4516</v>
      </c>
      <c r="CU46" s="23">
        <v>1.2395400000000001</v>
      </c>
      <c r="CV46" s="23">
        <v>1.0063489999999999</v>
      </c>
      <c r="CW46" s="23">
        <v>1.3776740000000001</v>
      </c>
      <c r="CX46" s="23">
        <v>1.294608</v>
      </c>
      <c r="CY46" s="23">
        <v>1.4769270000000001</v>
      </c>
    </row>
    <row r="47" spans="1:103" x14ac:dyDescent="0.3">
      <c r="A47" s="5">
        <v>1992</v>
      </c>
      <c r="B47" s="3">
        <v>256922</v>
      </c>
      <c r="C47" s="3">
        <v>6520327</v>
      </c>
      <c r="D47" s="2">
        <v>4.7595599999999996</v>
      </c>
      <c r="E47" s="2">
        <v>5.4882</v>
      </c>
      <c r="F47" s="3">
        <v>4197559</v>
      </c>
      <c r="G47" s="3">
        <v>1013006</v>
      </c>
      <c r="H47" s="3">
        <v>1048383</v>
      </c>
      <c r="I47" s="3">
        <v>296117</v>
      </c>
      <c r="J47" s="3">
        <v>-34738</v>
      </c>
      <c r="K47" s="3">
        <v>6370092.5</v>
      </c>
      <c r="L47" s="3">
        <v>1638973.5</v>
      </c>
      <c r="M47" s="3">
        <v>4731119</v>
      </c>
      <c r="N47" s="2">
        <v>5.7447999999999997</v>
      </c>
      <c r="O47" s="2">
        <v>4.3813599999999999</v>
      </c>
      <c r="P47" s="2">
        <v>6.6192000000000002</v>
      </c>
      <c r="Q47" s="3">
        <v>678417</v>
      </c>
      <c r="R47" s="3">
        <v>945527</v>
      </c>
      <c r="S47" s="3">
        <v>614379</v>
      </c>
      <c r="T47" s="3">
        <v>4131769.5</v>
      </c>
      <c r="U47" s="3">
        <v>3740753.8</v>
      </c>
      <c r="V47" s="3">
        <v>1033005.1</v>
      </c>
      <c r="W47" s="3">
        <v>2707748.8</v>
      </c>
      <c r="X47" s="2">
        <v>0.59106000000000003</v>
      </c>
      <c r="Y47" s="2">
        <v>4.5419200000000002</v>
      </c>
      <c r="Z47" s="2">
        <v>3.6973600000000002</v>
      </c>
      <c r="AA47" s="2">
        <v>4.9996499999999999</v>
      </c>
      <c r="AB47" s="2">
        <v>6.5597200000000004</v>
      </c>
      <c r="AC47" s="2">
        <v>5.4644500000000003</v>
      </c>
      <c r="AD47" s="2">
        <v>6.9660799999999998</v>
      </c>
      <c r="AE47" s="2">
        <v>1.9932799999999999</v>
      </c>
      <c r="AF47" s="2">
        <v>1.3496699999999999</v>
      </c>
      <c r="AG47" s="2">
        <v>2.55823</v>
      </c>
      <c r="AH47" s="2">
        <v>0.63093999999999995</v>
      </c>
      <c r="AI47" s="2">
        <v>0.57706000000000002</v>
      </c>
      <c r="AJ47" s="3">
        <v>5077296.5</v>
      </c>
      <c r="AK47" s="3">
        <v>1447156</v>
      </c>
      <c r="AL47" s="3">
        <v>3630140.5</v>
      </c>
      <c r="AM47" s="2">
        <v>4.4991099999999999</v>
      </c>
      <c r="AN47" s="2">
        <v>5.6334999999999997</v>
      </c>
      <c r="AO47" s="2">
        <v>3.8313799999999998</v>
      </c>
      <c r="AP47" s="2">
        <v>3.56772</v>
      </c>
      <c r="AQ47" s="2">
        <v>4.9629799999999999</v>
      </c>
      <c r="AR47" s="2">
        <v>7.7440699999999998</v>
      </c>
      <c r="AS47" s="3">
        <v>1292796</v>
      </c>
      <c r="AT47" s="2">
        <v>5.8944700000000001</v>
      </c>
      <c r="AU47" s="2">
        <v>5.0573800000000002</v>
      </c>
      <c r="AV47" s="22"/>
      <c r="AW47" s="23">
        <v>0.52476719999999999</v>
      </c>
      <c r="AX47" s="23">
        <v>0.47523280000000001</v>
      </c>
      <c r="AY47" s="23">
        <v>0.18622649999999999</v>
      </c>
      <c r="AZ47" s="23">
        <v>0.81377350000000004</v>
      </c>
      <c r="BA47" s="23">
        <v>19.76201</v>
      </c>
      <c r="BB47" s="23">
        <v>0.54842869999999999</v>
      </c>
      <c r="BC47" s="23">
        <v>0.45157130000000001</v>
      </c>
      <c r="BD47" s="23">
        <v>0.64724230000000005</v>
      </c>
      <c r="BE47" s="23">
        <v>0</v>
      </c>
      <c r="BF47" s="23">
        <v>4.8908050000000003</v>
      </c>
      <c r="BG47" s="23">
        <v>4.8908050000000003</v>
      </c>
      <c r="BH47" s="23">
        <v>1</v>
      </c>
      <c r="BI47" s="23">
        <v>0.83056479999999999</v>
      </c>
      <c r="BJ47" s="23">
        <v>0.2137781</v>
      </c>
      <c r="BK47" s="23">
        <v>0.78622190000000003</v>
      </c>
      <c r="BL47" s="23">
        <v>0.29117480000000001</v>
      </c>
      <c r="BM47" s="23">
        <v>3.9300000000000004E-15</v>
      </c>
      <c r="BN47" s="23">
        <v>4.2377609999999999</v>
      </c>
      <c r="BO47" s="23">
        <v>4.2377609999999999</v>
      </c>
      <c r="BP47" s="23">
        <v>1</v>
      </c>
      <c r="BQ47" s="23">
        <v>0.44890160000000001</v>
      </c>
      <c r="BR47" s="23">
        <v>0.18112120000000001</v>
      </c>
      <c r="BS47" s="23">
        <v>0.81887880000000002</v>
      </c>
      <c r="BT47" s="23">
        <v>0.55497370000000001</v>
      </c>
      <c r="BU47" s="23">
        <v>0.69686530000000002</v>
      </c>
      <c r="BV47" s="23">
        <v>0.44306980000000001</v>
      </c>
      <c r="BW47" s="23">
        <v>2.8360590000000001</v>
      </c>
      <c r="BX47" s="23">
        <v>4.9551939999999997</v>
      </c>
      <c r="BY47" s="23">
        <v>1.7472110000000001</v>
      </c>
      <c r="BZ47" s="23">
        <v>0</v>
      </c>
      <c r="CA47" s="23">
        <v>0.5270821</v>
      </c>
      <c r="CB47" s="23">
        <v>0.4729179</v>
      </c>
      <c r="CC47" s="23">
        <v>0.1884815</v>
      </c>
      <c r="CD47" s="23">
        <v>0.81151850000000003</v>
      </c>
      <c r="CE47" s="23">
        <v>5.5843100000000003</v>
      </c>
      <c r="CF47" s="23">
        <v>5.9350180000000003</v>
      </c>
      <c r="CG47" s="23">
        <v>3.0044110000000002</v>
      </c>
      <c r="CH47" s="23">
        <v>4.841126</v>
      </c>
      <c r="CI47" s="23">
        <v>1.510764</v>
      </c>
      <c r="CJ47" s="23">
        <v>1.308819</v>
      </c>
      <c r="CK47" s="23">
        <v>0.86632909999999996</v>
      </c>
      <c r="CL47" s="23">
        <v>1.1139159999999999</v>
      </c>
      <c r="CM47" s="23">
        <v>0.56350199999999995</v>
      </c>
      <c r="CN47" s="23">
        <v>0.60514999999999997</v>
      </c>
      <c r="CO47" s="23">
        <v>0.53786230000000002</v>
      </c>
      <c r="CP47" s="23">
        <v>1.97249E-2</v>
      </c>
      <c r="CQ47" s="23">
        <v>2.4693900000000001E-2</v>
      </c>
      <c r="CR47" s="23">
        <v>1.8054199999999999E-2</v>
      </c>
      <c r="CS47" s="23">
        <v>1.354762</v>
      </c>
      <c r="CT47" s="23">
        <v>1.487892</v>
      </c>
      <c r="CU47" s="23">
        <v>1.262122</v>
      </c>
      <c r="CV47" s="23">
        <v>1.020886</v>
      </c>
      <c r="CW47" s="23">
        <v>1.4288080000000001</v>
      </c>
      <c r="CX47" s="23">
        <v>1.3204629999999999</v>
      </c>
      <c r="CY47" s="23">
        <v>1.538905</v>
      </c>
    </row>
    <row r="48" spans="1:103" x14ac:dyDescent="0.3">
      <c r="A48" s="5">
        <v>1993</v>
      </c>
      <c r="B48" s="3">
        <v>260282</v>
      </c>
      <c r="C48" s="3">
        <v>6858559</v>
      </c>
      <c r="D48" s="2">
        <v>4.8904800000000002</v>
      </c>
      <c r="E48" s="2">
        <v>5.61836</v>
      </c>
      <c r="F48" s="3">
        <v>4451984</v>
      </c>
      <c r="G48" s="3">
        <v>1106826</v>
      </c>
      <c r="H48" s="3">
        <v>1073040</v>
      </c>
      <c r="I48" s="3">
        <v>291883</v>
      </c>
      <c r="J48" s="3">
        <v>-65173</v>
      </c>
      <c r="K48" s="3">
        <v>6699666</v>
      </c>
      <c r="L48" s="3">
        <v>1691618</v>
      </c>
      <c r="M48" s="3">
        <v>5008048</v>
      </c>
      <c r="N48" s="2">
        <v>5.8893199999999997</v>
      </c>
      <c r="O48" s="2">
        <v>4.4226200000000002</v>
      </c>
      <c r="P48" s="2">
        <v>6.8217299999999996</v>
      </c>
      <c r="Q48" s="3">
        <v>719055</v>
      </c>
      <c r="R48" s="3">
        <v>958938</v>
      </c>
      <c r="S48" s="3">
        <v>658840</v>
      </c>
      <c r="T48" s="3">
        <v>4362833</v>
      </c>
      <c r="U48" s="3">
        <v>3962040.5</v>
      </c>
      <c r="V48" s="3">
        <v>1065297.3999999999</v>
      </c>
      <c r="W48" s="3">
        <v>2896743</v>
      </c>
      <c r="X48" s="2">
        <v>0.58931</v>
      </c>
      <c r="Y48" s="2">
        <v>4.6596799999999998</v>
      </c>
      <c r="Z48" s="2">
        <v>3.7805200000000001</v>
      </c>
      <c r="AA48" s="2">
        <v>5.1351699999999996</v>
      </c>
      <c r="AB48" s="2">
        <v>6.7839700000000001</v>
      </c>
      <c r="AC48" s="2">
        <v>5.5819400000000003</v>
      </c>
      <c r="AD48" s="2">
        <v>7.2307899999999998</v>
      </c>
      <c r="AE48" s="2">
        <v>2.0386099999999998</v>
      </c>
      <c r="AF48" s="2">
        <v>1.3728400000000001</v>
      </c>
      <c r="AG48" s="2">
        <v>2.6217600000000001</v>
      </c>
      <c r="AH48" s="2">
        <v>0.63000999999999996</v>
      </c>
      <c r="AI48" s="2">
        <v>0.57537000000000005</v>
      </c>
      <c r="AJ48" s="3">
        <v>5321771</v>
      </c>
      <c r="AK48" s="3">
        <v>1493530</v>
      </c>
      <c r="AL48" s="3">
        <v>3828241</v>
      </c>
      <c r="AM48" s="2">
        <v>4.5969199999999999</v>
      </c>
      <c r="AN48" s="2">
        <v>5.7806199999999999</v>
      </c>
      <c r="AO48" s="2">
        <v>3.8978999999999999</v>
      </c>
      <c r="AP48" s="2">
        <v>3.6201400000000001</v>
      </c>
      <c r="AQ48" s="2">
        <v>5.0739200000000002</v>
      </c>
      <c r="AR48" s="2">
        <v>7.9901799999999996</v>
      </c>
      <c r="AS48" s="3">
        <v>1377895</v>
      </c>
      <c r="AT48" s="2">
        <v>6.1948400000000001</v>
      </c>
      <c r="AU48" s="2">
        <v>5.1289300000000004</v>
      </c>
      <c r="AV48" s="22"/>
      <c r="AW48" s="23">
        <v>0.52185029999999999</v>
      </c>
      <c r="AX48" s="23">
        <v>0.47814970000000001</v>
      </c>
      <c r="AY48" s="23">
        <v>0.1801915</v>
      </c>
      <c r="AZ48" s="23">
        <v>0.81980850000000005</v>
      </c>
      <c r="BA48" s="23">
        <v>20.446169999999999</v>
      </c>
      <c r="BB48" s="23">
        <v>0.54328089999999996</v>
      </c>
      <c r="BC48" s="23">
        <v>0.45671909999999999</v>
      </c>
      <c r="BD48" s="23">
        <v>0.64724230000000005</v>
      </c>
      <c r="BE48" s="23">
        <v>0</v>
      </c>
      <c r="BF48" s="23">
        <v>5.0308070000000003</v>
      </c>
      <c r="BG48" s="23">
        <v>5.0308080000000004</v>
      </c>
      <c r="BH48" s="23">
        <v>1</v>
      </c>
      <c r="BI48" s="23">
        <v>0.83056479999999999</v>
      </c>
      <c r="BJ48" s="23">
        <v>0.21030860000000001</v>
      </c>
      <c r="BK48" s="23">
        <v>0.78969140000000004</v>
      </c>
      <c r="BL48" s="23">
        <v>0.29117480000000001</v>
      </c>
      <c r="BM48" s="23">
        <v>3.9300000000000004E-15</v>
      </c>
      <c r="BN48" s="23">
        <v>4.3289580000000001</v>
      </c>
      <c r="BO48" s="23">
        <v>4.3289580000000001</v>
      </c>
      <c r="BP48" s="23">
        <v>1</v>
      </c>
      <c r="BQ48" s="23">
        <v>0.44890160000000001</v>
      </c>
      <c r="BR48" s="23">
        <v>0.1781336</v>
      </c>
      <c r="BS48" s="23">
        <v>0.8218664</v>
      </c>
      <c r="BT48" s="23">
        <v>0.55497370000000001</v>
      </c>
      <c r="BU48" s="23">
        <v>0.69686530000000002</v>
      </c>
      <c r="BV48" s="23">
        <v>0.44306980000000001</v>
      </c>
      <c r="BW48" s="23">
        <v>2.8963079999999999</v>
      </c>
      <c r="BX48" s="23">
        <v>5.0579780000000003</v>
      </c>
      <c r="BY48" s="23">
        <v>1.746354</v>
      </c>
      <c r="BZ48" s="23">
        <v>0</v>
      </c>
      <c r="CA48" s="23">
        <v>0.52330880000000002</v>
      </c>
      <c r="CB48" s="23">
        <v>0.47669119999999998</v>
      </c>
      <c r="CC48" s="23">
        <v>0.18320900000000001</v>
      </c>
      <c r="CD48" s="23">
        <v>0.81679100000000004</v>
      </c>
      <c r="CE48" s="23">
        <v>5.8635989999999998</v>
      </c>
      <c r="CF48" s="23">
        <v>6.1755630000000004</v>
      </c>
      <c r="CG48" s="23">
        <v>3.0185979999999999</v>
      </c>
      <c r="CH48" s="23">
        <v>4.9600929999999996</v>
      </c>
      <c r="CI48" s="23">
        <v>1.5424640000000001</v>
      </c>
      <c r="CJ48" s="23">
        <v>1.33005</v>
      </c>
      <c r="CK48" s="23">
        <v>0.86228899999999997</v>
      </c>
      <c r="CL48" s="23">
        <v>1.127062</v>
      </c>
      <c r="CM48" s="23">
        <v>0.56350199999999995</v>
      </c>
      <c r="CN48" s="23">
        <v>0.60514999999999997</v>
      </c>
      <c r="CO48" s="23">
        <v>0.53786230000000002</v>
      </c>
      <c r="CP48" s="23">
        <v>-1.7447000000000001E-3</v>
      </c>
      <c r="CQ48" s="23">
        <v>3.3660000000000001E-3</v>
      </c>
      <c r="CR48" s="23">
        <v>-3.356E-3</v>
      </c>
      <c r="CS48" s="23">
        <v>1.3524</v>
      </c>
      <c r="CT48" s="23">
        <v>1.4929079999999999</v>
      </c>
      <c r="CU48" s="23">
        <v>1.2578940000000001</v>
      </c>
      <c r="CV48" s="23">
        <v>1.0262340000000001</v>
      </c>
      <c r="CW48" s="23">
        <v>1.437343</v>
      </c>
      <c r="CX48" s="23">
        <v>1.3183210000000001</v>
      </c>
      <c r="CY48" s="23">
        <v>1.5528999999999999</v>
      </c>
    </row>
    <row r="49" spans="1:103" x14ac:dyDescent="0.3">
      <c r="A49" s="5">
        <v>1994</v>
      </c>
      <c r="B49" s="3">
        <v>263455</v>
      </c>
      <c r="C49" s="3">
        <v>7287236</v>
      </c>
      <c r="D49" s="2">
        <v>5.0875700000000004</v>
      </c>
      <c r="E49" s="2">
        <v>5.7382600000000004</v>
      </c>
      <c r="F49" s="3">
        <v>4720965</v>
      </c>
      <c r="G49" s="3">
        <v>1256484</v>
      </c>
      <c r="H49" s="3">
        <v>1108101</v>
      </c>
      <c r="I49" s="3">
        <v>294173</v>
      </c>
      <c r="J49" s="3">
        <v>-92487</v>
      </c>
      <c r="K49" s="3">
        <v>7110672</v>
      </c>
      <c r="L49" s="3">
        <v>1812614.9</v>
      </c>
      <c r="M49" s="3">
        <v>5298057</v>
      </c>
      <c r="N49" s="2">
        <v>6.0107100000000004</v>
      </c>
      <c r="O49" s="2">
        <v>4.4542000000000002</v>
      </c>
      <c r="P49" s="2">
        <v>6.9938500000000001</v>
      </c>
      <c r="Q49" s="3">
        <v>784635</v>
      </c>
      <c r="R49" s="3">
        <v>1012243</v>
      </c>
      <c r="S49" s="3">
        <v>702238</v>
      </c>
      <c r="T49" s="3">
        <v>4611556</v>
      </c>
      <c r="U49" s="3">
        <v>4108492.7999999998</v>
      </c>
      <c r="V49" s="3">
        <v>1109825.1000000001</v>
      </c>
      <c r="W49" s="3">
        <v>2998667.5</v>
      </c>
      <c r="X49" s="2">
        <v>0.58459000000000005</v>
      </c>
      <c r="Y49" s="2">
        <v>4.8456599999999996</v>
      </c>
      <c r="Z49" s="2">
        <v>4.0222100000000003</v>
      </c>
      <c r="AA49" s="2">
        <v>5.2988400000000002</v>
      </c>
      <c r="AB49" s="2">
        <v>7.0274200000000002</v>
      </c>
      <c r="AC49" s="2">
        <v>5.7040800000000003</v>
      </c>
      <c r="AD49" s="2">
        <v>7.5210299999999997</v>
      </c>
      <c r="AE49" s="2">
        <v>2.0909</v>
      </c>
      <c r="AF49" s="2">
        <v>1.41401</v>
      </c>
      <c r="AG49" s="2">
        <v>2.6848299999999998</v>
      </c>
      <c r="AH49" s="2">
        <v>0.62100999999999995</v>
      </c>
      <c r="AI49" s="2">
        <v>0.57221</v>
      </c>
      <c r="AJ49" s="3">
        <v>5623799</v>
      </c>
      <c r="AK49" s="3">
        <v>1601614</v>
      </c>
      <c r="AL49" s="3">
        <v>4022185</v>
      </c>
      <c r="AM49" s="2">
        <v>4.7582700000000004</v>
      </c>
      <c r="AN49" s="2">
        <v>5.9103700000000003</v>
      </c>
      <c r="AO49" s="2">
        <v>4.0324099999999996</v>
      </c>
      <c r="AP49" s="2">
        <v>3.7582399999999998</v>
      </c>
      <c r="AQ49" s="2">
        <v>5.1998600000000001</v>
      </c>
      <c r="AR49" s="2">
        <v>8.2038899999999995</v>
      </c>
      <c r="AS49" s="3">
        <v>1486873</v>
      </c>
      <c r="AT49" s="2">
        <v>6.5730399999999998</v>
      </c>
      <c r="AU49" s="2">
        <v>5.2161299999999997</v>
      </c>
      <c r="AV49" s="22"/>
      <c r="AW49" s="23">
        <v>0.52770819999999996</v>
      </c>
      <c r="AX49" s="23">
        <v>0.47229189999999999</v>
      </c>
      <c r="AY49" s="23">
        <v>0.17999270000000001</v>
      </c>
      <c r="AZ49" s="23">
        <v>0.82000729999999999</v>
      </c>
      <c r="BA49" s="23">
        <v>21.346340000000001</v>
      </c>
      <c r="BB49" s="23">
        <v>0.53886049999999996</v>
      </c>
      <c r="BC49" s="23">
        <v>0.46113949999999998</v>
      </c>
      <c r="BD49" s="23">
        <v>0.64724230000000005</v>
      </c>
      <c r="BE49" s="23">
        <v>0</v>
      </c>
      <c r="BF49" s="23">
        <v>5.2356720000000001</v>
      </c>
      <c r="BG49" s="23">
        <v>5.2356730000000002</v>
      </c>
      <c r="BH49" s="23">
        <v>1</v>
      </c>
      <c r="BI49" s="23">
        <v>0.83056479999999999</v>
      </c>
      <c r="BJ49" s="23">
        <v>0.2073673</v>
      </c>
      <c r="BK49" s="23">
        <v>0.79263269999999997</v>
      </c>
      <c r="BL49" s="23">
        <v>0.29117480000000001</v>
      </c>
      <c r="BM49" s="23">
        <v>3.9300000000000004E-15</v>
      </c>
      <c r="BN49" s="23">
        <v>4.4786739999999998</v>
      </c>
      <c r="BO49" s="23">
        <v>4.478675</v>
      </c>
      <c r="BP49" s="23">
        <v>1</v>
      </c>
      <c r="BQ49" s="23">
        <v>0.44890160000000001</v>
      </c>
      <c r="BR49" s="23">
        <v>0.17417260000000001</v>
      </c>
      <c r="BS49" s="23">
        <v>0.82582739999999999</v>
      </c>
      <c r="BT49" s="23">
        <v>0.55497370000000001</v>
      </c>
      <c r="BU49" s="23">
        <v>0.69686530000000002</v>
      </c>
      <c r="BV49" s="23">
        <v>0.44306980000000001</v>
      </c>
      <c r="BW49" s="23">
        <v>2.971403</v>
      </c>
      <c r="BX49" s="23">
        <v>5.2386160000000004</v>
      </c>
      <c r="BY49" s="23">
        <v>1.7630110000000001</v>
      </c>
      <c r="BZ49" s="23">
        <v>0</v>
      </c>
      <c r="CA49" s="23">
        <v>0.52477929999999995</v>
      </c>
      <c r="CB49" s="23">
        <v>0.4752207</v>
      </c>
      <c r="CC49" s="23">
        <v>0.1800921</v>
      </c>
      <c r="CD49" s="23">
        <v>0.81990779999999996</v>
      </c>
      <c r="CE49" s="23">
        <v>6.3530030000000002</v>
      </c>
      <c r="CF49" s="23">
        <v>6.4203530000000004</v>
      </c>
      <c r="CG49" s="23">
        <v>3.1637979999999999</v>
      </c>
      <c r="CH49" s="23">
        <v>5.1138349999999999</v>
      </c>
      <c r="CI49" s="23">
        <v>1.5701689999999999</v>
      </c>
      <c r="CJ49" s="23">
        <v>1.340813</v>
      </c>
      <c r="CK49" s="23">
        <v>0.85392900000000005</v>
      </c>
      <c r="CL49" s="23">
        <v>1.133095</v>
      </c>
      <c r="CM49" s="23">
        <v>0.56350199999999995</v>
      </c>
      <c r="CN49" s="23">
        <v>0.60514999999999997</v>
      </c>
      <c r="CO49" s="23">
        <v>0.53786230000000002</v>
      </c>
      <c r="CP49" s="23">
        <v>9.4748999999999996E-3</v>
      </c>
      <c r="CQ49" s="23">
        <v>3.5869199999999997E-2</v>
      </c>
      <c r="CR49" s="23">
        <v>8.0159999999999997E-4</v>
      </c>
      <c r="CS49" s="23">
        <v>1.365275</v>
      </c>
      <c r="CT49" s="23">
        <v>1.5474300000000001</v>
      </c>
      <c r="CU49" s="23">
        <v>1.258902</v>
      </c>
      <c r="CV49" s="23">
        <v>1.024918</v>
      </c>
      <c r="CW49" s="23">
        <v>1.467355</v>
      </c>
      <c r="CX49" s="23">
        <v>1.3311740000000001</v>
      </c>
      <c r="CY49" s="23">
        <v>1.573248</v>
      </c>
    </row>
    <row r="50" spans="1:103" x14ac:dyDescent="0.3">
      <c r="A50" s="5">
        <v>1995</v>
      </c>
      <c r="B50" s="3">
        <v>266588</v>
      </c>
      <c r="C50" s="3">
        <v>7639749</v>
      </c>
      <c r="D50" s="2">
        <v>5.2240799999999998</v>
      </c>
      <c r="E50" s="2">
        <v>5.8586499999999999</v>
      </c>
      <c r="F50" s="3">
        <v>4962590</v>
      </c>
      <c r="G50" s="3">
        <v>1317489</v>
      </c>
      <c r="H50" s="3">
        <v>1141743</v>
      </c>
      <c r="I50" s="3">
        <v>307688</v>
      </c>
      <c r="J50" s="3">
        <v>-89761</v>
      </c>
      <c r="K50" s="3">
        <v>7465376.5</v>
      </c>
      <c r="L50" s="3">
        <v>1885910.5</v>
      </c>
      <c r="M50" s="3">
        <v>5579466</v>
      </c>
      <c r="N50" s="2">
        <v>6.1708800000000004</v>
      </c>
      <c r="O50" s="2">
        <v>4.5414700000000003</v>
      </c>
      <c r="P50" s="2">
        <v>7.1970799999999997</v>
      </c>
      <c r="Q50" s="3">
        <v>840555</v>
      </c>
      <c r="R50" s="3">
        <v>1030932</v>
      </c>
      <c r="S50" s="3">
        <v>753448</v>
      </c>
      <c r="T50" s="3">
        <v>4840441.5</v>
      </c>
      <c r="U50" s="3">
        <v>4331886.5</v>
      </c>
      <c r="V50" s="3">
        <v>1137367.5</v>
      </c>
      <c r="W50" s="3">
        <v>3194519</v>
      </c>
      <c r="X50" s="2">
        <v>0.57903000000000004</v>
      </c>
      <c r="Y50" s="2">
        <v>4.95533</v>
      </c>
      <c r="Z50" s="2">
        <v>4.1044400000000003</v>
      </c>
      <c r="AA50" s="2">
        <v>5.42272</v>
      </c>
      <c r="AB50" s="2">
        <v>7.30091</v>
      </c>
      <c r="AC50" s="2">
        <v>5.87662</v>
      </c>
      <c r="AD50" s="2">
        <v>7.8340300000000003</v>
      </c>
      <c r="AE50" s="2">
        <v>2.14378</v>
      </c>
      <c r="AF50" s="2">
        <v>1.4318299999999999</v>
      </c>
      <c r="AG50" s="2">
        <v>2.7652100000000002</v>
      </c>
      <c r="AH50" s="2">
        <v>0.60768</v>
      </c>
      <c r="AI50" s="2">
        <v>0.56927000000000005</v>
      </c>
      <c r="AJ50" s="3">
        <v>5871373.5</v>
      </c>
      <c r="AK50" s="3">
        <v>1633196</v>
      </c>
      <c r="AL50" s="3">
        <v>4238177.5</v>
      </c>
      <c r="AM50" s="2">
        <v>4.8558000000000003</v>
      </c>
      <c r="AN50" s="2">
        <v>6.0366600000000004</v>
      </c>
      <c r="AO50" s="2">
        <v>4.1631999999999998</v>
      </c>
      <c r="AP50" s="2">
        <v>3.7058399999999998</v>
      </c>
      <c r="AQ50" s="2">
        <v>5.32484</v>
      </c>
      <c r="AR50" s="2">
        <v>8.4276599999999995</v>
      </c>
      <c r="AS50" s="3">
        <v>1594003</v>
      </c>
      <c r="AT50" s="2">
        <v>6.9119299999999999</v>
      </c>
      <c r="AU50" s="2">
        <v>5.31778</v>
      </c>
      <c r="AV50" s="22"/>
      <c r="AW50" s="23">
        <v>0.5273234</v>
      </c>
      <c r="AX50" s="23">
        <v>0.47267670000000001</v>
      </c>
      <c r="AY50" s="23">
        <v>0.1755862</v>
      </c>
      <c r="AZ50" s="23">
        <v>0.82441379999999997</v>
      </c>
      <c r="BA50" s="23">
        <v>22.024149999999999</v>
      </c>
      <c r="BB50" s="23">
        <v>0.53656309999999996</v>
      </c>
      <c r="BC50" s="23">
        <v>0.46343689999999998</v>
      </c>
      <c r="BD50" s="23">
        <v>0.64724230000000005</v>
      </c>
      <c r="BE50" s="23">
        <v>0</v>
      </c>
      <c r="BF50" s="23">
        <v>5.3382719999999999</v>
      </c>
      <c r="BG50" s="23">
        <v>5.3382719999999999</v>
      </c>
      <c r="BH50" s="23">
        <v>1</v>
      </c>
      <c r="BI50" s="23">
        <v>0.83056479999999999</v>
      </c>
      <c r="BJ50" s="23">
        <v>0.20585229999999999</v>
      </c>
      <c r="BK50" s="23">
        <v>0.79414770000000001</v>
      </c>
      <c r="BL50" s="23">
        <v>0.29117480000000001</v>
      </c>
      <c r="BM50" s="23">
        <v>3.9300000000000004E-15</v>
      </c>
      <c r="BN50" s="23">
        <v>4.552486</v>
      </c>
      <c r="BO50" s="23">
        <v>4.552486</v>
      </c>
      <c r="BP50" s="23">
        <v>1</v>
      </c>
      <c r="BQ50" s="23">
        <v>0.44890160000000001</v>
      </c>
      <c r="BR50" s="23">
        <v>0.1728035</v>
      </c>
      <c r="BS50" s="23">
        <v>0.8271965</v>
      </c>
      <c r="BT50" s="23">
        <v>0.55497370000000001</v>
      </c>
      <c r="BU50" s="23">
        <v>0.69686530000000002</v>
      </c>
      <c r="BV50" s="23">
        <v>0.44306980000000001</v>
      </c>
      <c r="BW50" s="23">
        <v>3.0186860000000002</v>
      </c>
      <c r="BX50" s="23">
        <v>5.3236049999999997</v>
      </c>
      <c r="BY50" s="23">
        <v>1.7635510000000001</v>
      </c>
      <c r="BZ50" s="23">
        <v>0</v>
      </c>
      <c r="CA50" s="23">
        <v>0.52751579999999998</v>
      </c>
      <c r="CB50" s="23">
        <v>0.47248430000000002</v>
      </c>
      <c r="CC50" s="23">
        <v>0.17778939999999999</v>
      </c>
      <c r="CD50" s="23">
        <v>0.82221060000000001</v>
      </c>
      <c r="CE50" s="23">
        <v>6.675001</v>
      </c>
      <c r="CF50" s="23">
        <v>6.6940330000000001</v>
      </c>
      <c r="CG50" s="23">
        <v>3.1602969999999999</v>
      </c>
      <c r="CH50" s="23">
        <v>5.2160789999999997</v>
      </c>
      <c r="CI50" s="23">
        <v>1.584748</v>
      </c>
      <c r="CJ50" s="23">
        <v>1.353399</v>
      </c>
      <c r="CK50" s="23">
        <v>0.85401539999999998</v>
      </c>
      <c r="CL50" s="23">
        <v>1.135184</v>
      </c>
      <c r="CM50" s="23">
        <v>0.56350199999999995</v>
      </c>
      <c r="CN50" s="23">
        <v>0.60514999999999997</v>
      </c>
      <c r="CO50" s="23">
        <v>0.53786230000000002</v>
      </c>
      <c r="CP50" s="23">
        <v>-8.3598000000000006E-3</v>
      </c>
      <c r="CQ50" s="23">
        <v>1.727E-4</v>
      </c>
      <c r="CR50" s="23">
        <v>-1.13118E-2</v>
      </c>
      <c r="CS50" s="23">
        <v>1.353909</v>
      </c>
      <c r="CT50" s="23">
        <v>1.5476970000000001</v>
      </c>
      <c r="CU50" s="23">
        <v>1.244742</v>
      </c>
      <c r="CV50" s="23">
        <v>1.0295080000000001</v>
      </c>
      <c r="CW50" s="23">
        <v>1.467381</v>
      </c>
      <c r="CX50" s="23">
        <v>1.319976</v>
      </c>
      <c r="CY50" s="23">
        <v>1.571107</v>
      </c>
    </row>
    <row r="51" spans="1:103" x14ac:dyDescent="0.3">
      <c r="A51" s="5">
        <v>1996</v>
      </c>
      <c r="B51" s="3">
        <v>269714</v>
      </c>
      <c r="C51" s="3">
        <v>8073122</v>
      </c>
      <c r="D51" s="2">
        <v>5.42117</v>
      </c>
      <c r="E51" s="2">
        <v>5.9659000000000004</v>
      </c>
      <c r="F51" s="3">
        <v>5244596</v>
      </c>
      <c r="G51" s="3">
        <v>1432055</v>
      </c>
      <c r="H51" s="3">
        <v>1172889</v>
      </c>
      <c r="I51" s="3">
        <v>319959</v>
      </c>
      <c r="J51" s="3">
        <v>-96376</v>
      </c>
      <c r="K51" s="3">
        <v>7884917</v>
      </c>
      <c r="L51" s="3">
        <v>1986876.6</v>
      </c>
      <c r="M51" s="3">
        <v>5898040.5</v>
      </c>
      <c r="N51" s="2">
        <v>6.2631699999999997</v>
      </c>
      <c r="O51" s="2">
        <v>4.6086299999999998</v>
      </c>
      <c r="P51" s="2">
        <v>7.3051199999999996</v>
      </c>
      <c r="Q51" s="3">
        <v>896551</v>
      </c>
      <c r="R51" s="3">
        <v>1074668</v>
      </c>
      <c r="S51" s="3">
        <v>824663</v>
      </c>
      <c r="T51" s="3">
        <v>5089035</v>
      </c>
      <c r="U51" s="3">
        <v>4551839.5</v>
      </c>
      <c r="V51" s="3">
        <v>1193016.5</v>
      </c>
      <c r="W51" s="3">
        <v>3358822.8</v>
      </c>
      <c r="X51" s="2">
        <v>0.57877000000000001</v>
      </c>
      <c r="Y51" s="2">
        <v>5.1566900000000002</v>
      </c>
      <c r="Z51" s="2">
        <v>4.2611600000000003</v>
      </c>
      <c r="AA51" s="2">
        <v>5.6475600000000004</v>
      </c>
      <c r="AB51" s="2">
        <v>7.6035500000000003</v>
      </c>
      <c r="AC51" s="2">
        <v>6.0986000000000002</v>
      </c>
      <c r="AD51" s="2">
        <v>8.1678300000000004</v>
      </c>
      <c r="AE51" s="2">
        <v>2.1777600000000001</v>
      </c>
      <c r="AF51" s="2">
        <v>1.45495</v>
      </c>
      <c r="AG51" s="2">
        <v>2.8087300000000002</v>
      </c>
      <c r="AH51" s="2">
        <v>0.60177000000000003</v>
      </c>
      <c r="AI51" s="2">
        <v>0.57101999999999997</v>
      </c>
      <c r="AJ51" s="3">
        <v>6163703</v>
      </c>
      <c r="AK51" s="3">
        <v>1717368</v>
      </c>
      <c r="AL51" s="3">
        <v>4446335</v>
      </c>
      <c r="AM51" s="2">
        <v>4.9897900000000002</v>
      </c>
      <c r="AN51" s="2">
        <v>6.1720600000000001</v>
      </c>
      <c r="AO51" s="2">
        <v>4.3226300000000002</v>
      </c>
      <c r="AP51" s="2">
        <v>3.7561499999999999</v>
      </c>
      <c r="AQ51" s="2">
        <v>5.4498100000000003</v>
      </c>
      <c r="AR51" s="2">
        <v>8.6458300000000001</v>
      </c>
      <c r="AS51" s="3">
        <v>1721214</v>
      </c>
      <c r="AT51" s="2">
        <v>7.4409299999999998</v>
      </c>
      <c r="AU51" s="2">
        <v>5.3339400000000001</v>
      </c>
      <c r="AV51" s="22"/>
      <c r="AW51" s="23">
        <v>0.52088299999999998</v>
      </c>
      <c r="AX51" s="23">
        <v>0.47911710000000002</v>
      </c>
      <c r="AY51" s="23">
        <v>0.17435429999999999</v>
      </c>
      <c r="AZ51" s="23">
        <v>0.82564570000000004</v>
      </c>
      <c r="BA51" s="23">
        <v>22.852740000000001</v>
      </c>
      <c r="BB51" s="23">
        <v>0.53650850000000005</v>
      </c>
      <c r="BC51" s="23">
        <v>0.4634915</v>
      </c>
      <c r="BD51" s="23">
        <v>0.64724230000000005</v>
      </c>
      <c r="BE51" s="23">
        <v>0</v>
      </c>
      <c r="BF51" s="23">
        <v>5.5218259999999999</v>
      </c>
      <c r="BG51" s="23">
        <v>5.5218259999999999</v>
      </c>
      <c r="BH51" s="23">
        <v>1</v>
      </c>
      <c r="BI51" s="23">
        <v>0.83056479999999999</v>
      </c>
      <c r="BJ51" s="23">
        <v>0.20581640000000001</v>
      </c>
      <c r="BK51" s="23">
        <v>0.79418359999999999</v>
      </c>
      <c r="BL51" s="23">
        <v>0.29117480000000001</v>
      </c>
      <c r="BM51" s="23">
        <v>3.9300000000000004E-15</v>
      </c>
      <c r="BN51" s="23">
        <v>4.7086800000000002</v>
      </c>
      <c r="BO51" s="23">
        <v>4.7086800000000002</v>
      </c>
      <c r="BP51" s="23">
        <v>1</v>
      </c>
      <c r="BQ51" s="23">
        <v>0.44890160000000001</v>
      </c>
      <c r="BR51" s="23">
        <v>0.17067740000000001</v>
      </c>
      <c r="BS51" s="23">
        <v>0.82932260000000002</v>
      </c>
      <c r="BT51" s="23">
        <v>0.55497370000000001</v>
      </c>
      <c r="BU51" s="23">
        <v>0.69686530000000002</v>
      </c>
      <c r="BV51" s="23">
        <v>0.44306980000000001</v>
      </c>
      <c r="BW51" s="23">
        <v>3.0843790000000002</v>
      </c>
      <c r="BX51" s="23">
        <v>5.5201580000000003</v>
      </c>
      <c r="BY51" s="23">
        <v>1.7897149999999999</v>
      </c>
      <c r="BZ51" s="23">
        <v>0</v>
      </c>
      <c r="CA51" s="23">
        <v>0.52410319999999999</v>
      </c>
      <c r="CB51" s="23">
        <v>0.47589690000000001</v>
      </c>
      <c r="CC51" s="23">
        <v>0.17497019999999999</v>
      </c>
      <c r="CD51" s="23">
        <v>0.82502980000000004</v>
      </c>
      <c r="CE51" s="23">
        <v>7.0159159999999998</v>
      </c>
      <c r="CF51" s="23">
        <v>7.2183830000000002</v>
      </c>
      <c r="CG51" s="23">
        <v>3.2463579999999999</v>
      </c>
      <c r="CH51" s="23">
        <v>5.402857</v>
      </c>
      <c r="CI51" s="23">
        <v>1.5850960000000001</v>
      </c>
      <c r="CJ51" s="23">
        <v>1.3695539999999999</v>
      </c>
      <c r="CK51" s="23">
        <v>0.8640198</v>
      </c>
      <c r="CL51" s="23">
        <v>1.1571279999999999</v>
      </c>
      <c r="CM51" s="23">
        <v>0.56350199999999995</v>
      </c>
      <c r="CN51" s="23">
        <v>0.60514999999999997</v>
      </c>
      <c r="CO51" s="23">
        <v>0.53786230000000002</v>
      </c>
      <c r="CP51" s="23">
        <v>1.32421E-2</v>
      </c>
      <c r="CQ51" s="23">
        <v>1.2261599999999999E-2</v>
      </c>
      <c r="CR51" s="23">
        <v>1.36133E-2</v>
      </c>
      <c r="CS51" s="23">
        <v>1.3719570000000001</v>
      </c>
      <c r="CT51" s="23">
        <v>1.566791</v>
      </c>
      <c r="CU51" s="23">
        <v>1.261803</v>
      </c>
      <c r="CV51" s="23">
        <v>1.041677</v>
      </c>
      <c r="CW51" s="23">
        <v>1.5038640000000001</v>
      </c>
      <c r="CX51" s="23">
        <v>1.3376189999999999</v>
      </c>
      <c r="CY51" s="23">
        <v>1.610965</v>
      </c>
    </row>
    <row r="52" spans="1:103" x14ac:dyDescent="0.3">
      <c r="A52" s="5">
        <v>1997</v>
      </c>
      <c r="B52" s="3">
        <v>272958</v>
      </c>
      <c r="C52" s="3">
        <v>8577552</v>
      </c>
      <c r="D52" s="2">
        <v>5.6622500000000002</v>
      </c>
      <c r="E52" s="2">
        <v>6.0687899999999999</v>
      </c>
      <c r="F52" s="3">
        <v>5536790</v>
      </c>
      <c r="G52" s="3">
        <v>1595600</v>
      </c>
      <c r="H52" s="3">
        <v>1220528</v>
      </c>
      <c r="I52" s="3">
        <v>326605</v>
      </c>
      <c r="J52" s="3">
        <v>-101971</v>
      </c>
      <c r="K52" s="3">
        <v>8384974</v>
      </c>
      <c r="L52" s="3">
        <v>2085355.5</v>
      </c>
      <c r="M52" s="3">
        <v>6299618</v>
      </c>
      <c r="N52" s="2">
        <v>6.3539700000000003</v>
      </c>
      <c r="O52" s="2">
        <v>4.6014200000000001</v>
      </c>
      <c r="P52" s="2">
        <v>7.4506300000000003</v>
      </c>
      <c r="Q52" s="3">
        <v>964775</v>
      </c>
      <c r="R52" s="3">
        <v>1100389</v>
      </c>
      <c r="S52" s="3">
        <v>886504</v>
      </c>
      <c r="T52" s="3">
        <v>5433306</v>
      </c>
      <c r="U52" s="3">
        <v>4892870.5</v>
      </c>
      <c r="V52" s="3">
        <v>1244620.3999999999</v>
      </c>
      <c r="W52" s="3">
        <v>3648250.3</v>
      </c>
      <c r="X52" s="2">
        <v>0.58040999999999998</v>
      </c>
      <c r="Y52" s="2">
        <v>5.4053599999999999</v>
      </c>
      <c r="Z52" s="2">
        <v>4.4793799999999999</v>
      </c>
      <c r="AA52" s="2">
        <v>5.9142799999999998</v>
      </c>
      <c r="AB52" s="2">
        <v>7.9690099999999999</v>
      </c>
      <c r="AC52" s="2">
        <v>6.3500699999999997</v>
      </c>
      <c r="AD52" s="2">
        <v>8.5780399999999997</v>
      </c>
      <c r="AE52" s="2">
        <v>2.2414200000000002</v>
      </c>
      <c r="AF52" s="2">
        <v>1.48705</v>
      </c>
      <c r="AG52" s="2">
        <v>2.8978799999999998</v>
      </c>
      <c r="AH52" s="2">
        <v>0.59863999999999995</v>
      </c>
      <c r="AI52" s="2">
        <v>0.57430000000000003</v>
      </c>
      <c r="AJ52" s="3">
        <v>6533695</v>
      </c>
      <c r="AK52" s="3">
        <v>1837506</v>
      </c>
      <c r="AL52" s="3">
        <v>4696189</v>
      </c>
      <c r="AM52" s="2">
        <v>5.17502</v>
      </c>
      <c r="AN52" s="2">
        <v>6.3018799999999997</v>
      </c>
      <c r="AO52" s="2">
        <v>4.4883800000000003</v>
      </c>
      <c r="AP52" s="2">
        <v>3.86652</v>
      </c>
      <c r="AQ52" s="2">
        <v>5.6010499999999999</v>
      </c>
      <c r="AR52" s="2">
        <v>8.8759700000000006</v>
      </c>
      <c r="AS52" s="3">
        <v>1851279</v>
      </c>
      <c r="AT52" s="2">
        <v>7.9753400000000001</v>
      </c>
      <c r="AU52" s="2">
        <v>5.3525799999999997</v>
      </c>
      <c r="AV52" s="22"/>
      <c r="AW52" s="23">
        <v>0.52113969999999998</v>
      </c>
      <c r="AX52" s="23">
        <v>0.47886030000000002</v>
      </c>
      <c r="AY52" s="23">
        <v>0.1684176</v>
      </c>
      <c r="AZ52" s="23">
        <v>0.83158240000000005</v>
      </c>
      <c r="BA52" s="23">
        <v>23.936630000000001</v>
      </c>
      <c r="BB52" s="23">
        <v>0.53121059999999998</v>
      </c>
      <c r="BC52" s="23">
        <v>0.46878940000000002</v>
      </c>
      <c r="BD52" s="23">
        <v>0.64724230000000005</v>
      </c>
      <c r="BE52" s="23">
        <v>0</v>
      </c>
      <c r="BF52" s="23">
        <v>5.8045739999999997</v>
      </c>
      <c r="BG52" s="23">
        <v>5.8045749999999998</v>
      </c>
      <c r="BH52" s="23">
        <v>1</v>
      </c>
      <c r="BI52" s="23">
        <v>0.83056479999999999</v>
      </c>
      <c r="BJ52" s="23">
        <v>0.20235829999999999</v>
      </c>
      <c r="BK52" s="23">
        <v>0.79764159999999995</v>
      </c>
      <c r="BL52" s="23">
        <v>0.29117480000000001</v>
      </c>
      <c r="BM52" s="23">
        <v>3.9300000000000004E-15</v>
      </c>
      <c r="BN52" s="23">
        <v>4.9151619999999996</v>
      </c>
      <c r="BO52" s="23">
        <v>4.9151619999999996</v>
      </c>
      <c r="BP52" s="23">
        <v>0.99999990000000005</v>
      </c>
      <c r="BQ52" s="23">
        <v>0.44890160000000001</v>
      </c>
      <c r="BR52" s="23">
        <v>0.16569819999999999</v>
      </c>
      <c r="BS52" s="23">
        <v>0.83430179999999998</v>
      </c>
      <c r="BT52" s="23">
        <v>0.55497370000000001</v>
      </c>
      <c r="BU52" s="23">
        <v>0.69686530000000002</v>
      </c>
      <c r="BV52" s="23">
        <v>0.44306980000000001</v>
      </c>
      <c r="BW52" s="23">
        <v>3.1791209999999999</v>
      </c>
      <c r="BX52" s="23">
        <v>5.7716890000000003</v>
      </c>
      <c r="BY52" s="23">
        <v>1.8154980000000001</v>
      </c>
      <c r="BZ52" s="23">
        <v>0</v>
      </c>
      <c r="CA52" s="23">
        <v>0.52101129999999996</v>
      </c>
      <c r="CB52" s="23">
        <v>0.47898869999999999</v>
      </c>
      <c r="CC52" s="23">
        <v>0.17138590000000001</v>
      </c>
      <c r="CD52" s="23">
        <v>0.82861410000000002</v>
      </c>
      <c r="CE52" s="23">
        <v>7.5616380000000003</v>
      </c>
      <c r="CF52" s="23">
        <v>7.6081430000000001</v>
      </c>
      <c r="CG52" s="23">
        <v>3.3292679999999999</v>
      </c>
      <c r="CH52" s="23">
        <v>5.6557050000000002</v>
      </c>
      <c r="CI52" s="23">
        <v>1.6192040000000001</v>
      </c>
      <c r="CJ52" s="23">
        <v>1.391969</v>
      </c>
      <c r="CK52" s="23">
        <v>0.85966279999999995</v>
      </c>
      <c r="CL52" s="23">
        <v>1.1773530000000001</v>
      </c>
      <c r="CM52" s="23">
        <v>0.56350199999999995</v>
      </c>
      <c r="CN52" s="23">
        <v>0.60514999999999997</v>
      </c>
      <c r="CO52" s="23">
        <v>0.53786230000000002</v>
      </c>
      <c r="CP52" s="23">
        <v>1.0369099999999999E-2</v>
      </c>
      <c r="CQ52" s="23">
        <v>2.0006900000000001E-2</v>
      </c>
      <c r="CR52" s="23">
        <v>7.1492999999999999E-3</v>
      </c>
      <c r="CS52" s="23">
        <v>1.3862570000000001</v>
      </c>
      <c r="CT52" s="23">
        <v>1.5984529999999999</v>
      </c>
      <c r="CU52" s="23">
        <v>1.270856</v>
      </c>
      <c r="CV52" s="23">
        <v>1.0470470000000001</v>
      </c>
      <c r="CW52" s="23">
        <v>1.534151</v>
      </c>
      <c r="CX52" s="23">
        <v>1.3515079999999999</v>
      </c>
      <c r="CY52" s="23">
        <v>1.6456029999999999</v>
      </c>
    </row>
    <row r="53" spans="1:103" x14ac:dyDescent="0.3">
      <c r="A53" s="5">
        <v>1998</v>
      </c>
      <c r="B53" s="3">
        <v>276154</v>
      </c>
      <c r="C53" s="3">
        <v>9062817</v>
      </c>
      <c r="D53" s="2">
        <v>5.9160199999999996</v>
      </c>
      <c r="E53" s="2">
        <v>6.1370699999999996</v>
      </c>
      <c r="F53" s="3">
        <v>5877248</v>
      </c>
      <c r="G53" s="3">
        <v>1736671</v>
      </c>
      <c r="H53" s="3">
        <v>1267607</v>
      </c>
      <c r="I53" s="3">
        <v>344001</v>
      </c>
      <c r="J53" s="3">
        <v>-162711</v>
      </c>
      <c r="K53" s="3">
        <v>8843244</v>
      </c>
      <c r="L53" s="3">
        <v>2142471.2999999998</v>
      </c>
      <c r="M53" s="3">
        <v>6700773</v>
      </c>
      <c r="N53" s="2">
        <v>6.4304600000000001</v>
      </c>
      <c r="O53" s="2">
        <v>4.5717999999999996</v>
      </c>
      <c r="P53" s="2">
        <v>7.5856700000000004</v>
      </c>
      <c r="Q53" s="3">
        <v>1037787</v>
      </c>
      <c r="R53" s="3">
        <v>1082912</v>
      </c>
      <c r="S53" s="3">
        <v>979166</v>
      </c>
      <c r="T53" s="3">
        <v>5743379</v>
      </c>
      <c r="U53" s="3">
        <v>5330721.5</v>
      </c>
      <c r="V53" s="3">
        <v>1311015.3999999999</v>
      </c>
      <c r="W53" s="3">
        <v>4019706</v>
      </c>
      <c r="X53" s="2">
        <v>0.59316000000000002</v>
      </c>
      <c r="Y53" s="2">
        <v>5.6329700000000003</v>
      </c>
      <c r="Z53" s="2">
        <v>4.6318700000000002</v>
      </c>
      <c r="AA53" s="2">
        <v>6.1789100000000001</v>
      </c>
      <c r="AB53" s="2">
        <v>8.4069199999999995</v>
      </c>
      <c r="AC53" s="2">
        <v>6.6430400000000001</v>
      </c>
      <c r="AD53" s="2">
        <v>9.0732599999999994</v>
      </c>
      <c r="AE53" s="2">
        <v>2.30654</v>
      </c>
      <c r="AF53" s="2">
        <v>1.4984</v>
      </c>
      <c r="AG53" s="2">
        <v>3.0030800000000002</v>
      </c>
      <c r="AH53" s="2">
        <v>0.60438000000000003</v>
      </c>
      <c r="AI53" s="2">
        <v>0.58950000000000002</v>
      </c>
      <c r="AJ53" s="3">
        <v>6826291</v>
      </c>
      <c r="AK53" s="3">
        <v>1873703</v>
      </c>
      <c r="AL53" s="3">
        <v>4952588</v>
      </c>
      <c r="AM53" s="2">
        <v>5.3390500000000003</v>
      </c>
      <c r="AN53" s="2">
        <v>6.3985099999999999</v>
      </c>
      <c r="AO53" s="2">
        <v>4.6025200000000002</v>
      </c>
      <c r="AP53" s="2">
        <v>3.8549600000000002</v>
      </c>
      <c r="AQ53" s="2">
        <v>5.8004300000000004</v>
      </c>
      <c r="AR53" s="2">
        <v>9.0624400000000005</v>
      </c>
      <c r="AS53" s="3">
        <v>2016953</v>
      </c>
      <c r="AT53" s="2">
        <v>8.7165199999999992</v>
      </c>
      <c r="AU53" s="2">
        <v>5.3357200000000002</v>
      </c>
      <c r="AV53" s="22"/>
      <c r="AW53" s="23">
        <v>0.51453210000000005</v>
      </c>
      <c r="AX53" s="23">
        <v>0.48546790000000001</v>
      </c>
      <c r="AY53" s="23">
        <v>0.15863840000000001</v>
      </c>
      <c r="AZ53" s="23">
        <v>0.84136160000000004</v>
      </c>
      <c r="BA53" s="23">
        <v>24.719149999999999</v>
      </c>
      <c r="BB53" s="23">
        <v>0.52512530000000002</v>
      </c>
      <c r="BC53" s="23">
        <v>0.47487469999999998</v>
      </c>
      <c r="BD53" s="23">
        <v>0.64724230000000005</v>
      </c>
      <c r="BE53" s="23">
        <v>0</v>
      </c>
      <c r="BF53" s="23">
        <v>6.0338820000000002</v>
      </c>
      <c r="BG53" s="23">
        <v>6.0338830000000003</v>
      </c>
      <c r="BH53" s="23">
        <v>1</v>
      </c>
      <c r="BI53" s="23">
        <v>0.83056479999999999</v>
      </c>
      <c r="BJ53" s="23">
        <v>0.1984455</v>
      </c>
      <c r="BK53" s="23">
        <v>0.80155449999999995</v>
      </c>
      <c r="BL53" s="23">
        <v>0.29117480000000001</v>
      </c>
      <c r="BM53" s="23">
        <v>3.9300000000000004E-15</v>
      </c>
      <c r="BN53" s="23">
        <v>5.0686020000000003</v>
      </c>
      <c r="BO53" s="23">
        <v>5.0686030000000004</v>
      </c>
      <c r="BP53" s="23">
        <v>1</v>
      </c>
      <c r="BQ53" s="23">
        <v>0.44890160000000001</v>
      </c>
      <c r="BR53" s="23">
        <v>0.16162309999999999</v>
      </c>
      <c r="BS53" s="23">
        <v>0.83837689999999998</v>
      </c>
      <c r="BT53" s="23">
        <v>0.55497370000000001</v>
      </c>
      <c r="BU53" s="23">
        <v>0.69686530000000002</v>
      </c>
      <c r="BV53" s="23">
        <v>0.44306980000000001</v>
      </c>
      <c r="BW53" s="23">
        <v>3.2607910000000002</v>
      </c>
      <c r="BX53" s="23">
        <v>5.9517429999999996</v>
      </c>
      <c r="BY53" s="23">
        <v>1.825245</v>
      </c>
      <c r="BZ53" s="23">
        <v>0</v>
      </c>
      <c r="CA53" s="23">
        <v>0.51783590000000002</v>
      </c>
      <c r="CB53" s="23">
        <v>0.48216409999999998</v>
      </c>
      <c r="CC53" s="23">
        <v>0.16352800000000001</v>
      </c>
      <c r="CD53" s="23">
        <v>0.83647199999999999</v>
      </c>
      <c r="CE53" s="23">
        <v>8.1865780000000008</v>
      </c>
      <c r="CF53" s="23">
        <v>8.2537929999999999</v>
      </c>
      <c r="CG53" s="23">
        <v>3.2976160000000001</v>
      </c>
      <c r="CH53" s="23">
        <v>5.8720439999999998</v>
      </c>
      <c r="CI53" s="23">
        <v>1.65923</v>
      </c>
      <c r="CJ53" s="23">
        <v>1.4216759999999999</v>
      </c>
      <c r="CK53" s="23">
        <v>0.85682899999999995</v>
      </c>
      <c r="CL53" s="23">
        <v>1.199184</v>
      </c>
      <c r="CM53" s="23">
        <v>0.56350199999999995</v>
      </c>
      <c r="CN53" s="23">
        <v>0.60514999999999997</v>
      </c>
      <c r="CO53" s="23">
        <v>0.53786230000000002</v>
      </c>
      <c r="CP53" s="23">
        <v>1.7554999999999999E-3</v>
      </c>
      <c r="CQ53" s="23">
        <v>9.5075999999999997E-3</v>
      </c>
      <c r="CR53" s="23">
        <v>-8.2140000000000002E-4</v>
      </c>
      <c r="CS53" s="23">
        <v>1.388692</v>
      </c>
      <c r="CT53" s="23">
        <v>1.613723</v>
      </c>
      <c r="CU53" s="23">
        <v>1.2698130000000001</v>
      </c>
      <c r="CV53" s="23">
        <v>1.055955</v>
      </c>
      <c r="CW53" s="23">
        <v>1.5554159999999999</v>
      </c>
      <c r="CX53" s="23">
        <v>1.353823</v>
      </c>
      <c r="CY53" s="23">
        <v>1.6736139999999999</v>
      </c>
    </row>
    <row r="54" spans="1:103" x14ac:dyDescent="0.3">
      <c r="A54" s="5">
        <v>1999</v>
      </c>
      <c r="B54" s="3">
        <v>279328</v>
      </c>
      <c r="C54" s="3">
        <v>9631172</v>
      </c>
      <c r="D54" s="2">
        <v>6.1996500000000001</v>
      </c>
      <c r="E54" s="2">
        <v>6.2235699999999996</v>
      </c>
      <c r="F54" s="3">
        <v>6283758</v>
      </c>
      <c r="G54" s="3">
        <v>1887059</v>
      </c>
      <c r="H54" s="3">
        <v>1351427</v>
      </c>
      <c r="I54" s="3">
        <v>368478</v>
      </c>
      <c r="J54" s="3">
        <v>-259550</v>
      </c>
      <c r="K54" s="3">
        <v>9409659</v>
      </c>
      <c r="L54" s="3">
        <v>2253388</v>
      </c>
      <c r="M54" s="3">
        <v>7156270.5</v>
      </c>
      <c r="N54" s="2">
        <v>6.54148</v>
      </c>
      <c r="O54" s="2">
        <v>4.5739900000000002</v>
      </c>
      <c r="P54" s="2">
        <v>7.7574699999999996</v>
      </c>
      <c r="Q54" s="3">
        <v>1119435</v>
      </c>
      <c r="R54" s="3">
        <v>1110086</v>
      </c>
      <c r="S54" s="3">
        <v>1075286</v>
      </c>
      <c r="T54" s="3">
        <v>6104852</v>
      </c>
      <c r="U54" s="3">
        <v>5614821.5</v>
      </c>
      <c r="V54" s="3">
        <v>1375409.3</v>
      </c>
      <c r="W54" s="3">
        <v>4239412</v>
      </c>
      <c r="X54" s="2">
        <v>0.59975000000000001</v>
      </c>
      <c r="Y54" s="2">
        <v>5.8920500000000002</v>
      </c>
      <c r="Z54" s="2">
        <v>4.8693400000000002</v>
      </c>
      <c r="AA54" s="2">
        <v>6.4527900000000002</v>
      </c>
      <c r="AB54" s="2">
        <v>8.9096700000000002</v>
      </c>
      <c r="AC54" s="2">
        <v>6.9041899999999998</v>
      </c>
      <c r="AD54" s="2">
        <v>9.6734100000000005</v>
      </c>
      <c r="AE54" s="2">
        <v>2.3501500000000002</v>
      </c>
      <c r="AF54" s="2">
        <v>1.51017</v>
      </c>
      <c r="AG54" s="2">
        <v>3.0707300000000002</v>
      </c>
      <c r="AH54" s="2">
        <v>0.61114999999999997</v>
      </c>
      <c r="AI54" s="2">
        <v>0.59614999999999996</v>
      </c>
      <c r="AJ54" s="3">
        <v>7214938</v>
      </c>
      <c r="AK54" s="3">
        <v>1948567</v>
      </c>
      <c r="AL54" s="3">
        <v>5266371</v>
      </c>
      <c r="AM54" s="2">
        <v>5.5413800000000002</v>
      </c>
      <c r="AN54" s="2">
        <v>6.5066300000000004</v>
      </c>
      <c r="AO54" s="2">
        <v>4.79122</v>
      </c>
      <c r="AP54" s="2">
        <v>3.8456299999999999</v>
      </c>
      <c r="AQ54" s="2">
        <v>6.0192100000000002</v>
      </c>
      <c r="AR54" s="2">
        <v>9.2731899999999996</v>
      </c>
      <c r="AS54" s="3">
        <v>2194721</v>
      </c>
      <c r="AT54" s="2">
        <v>9.4421700000000008</v>
      </c>
      <c r="AU54" s="2">
        <v>5.3597999999999999</v>
      </c>
      <c r="AV54" s="22"/>
      <c r="AW54" s="23">
        <v>0.51005800000000001</v>
      </c>
      <c r="AX54" s="23">
        <v>0.48994199999999999</v>
      </c>
      <c r="AY54" s="23">
        <v>0.15385940000000001</v>
      </c>
      <c r="AZ54" s="23">
        <v>0.84614060000000002</v>
      </c>
      <c r="BA54" s="23">
        <v>25.829630000000002</v>
      </c>
      <c r="BB54" s="23">
        <v>0.51965720000000004</v>
      </c>
      <c r="BC54" s="23">
        <v>0.48034280000000001</v>
      </c>
      <c r="BD54" s="23">
        <v>0.64724230000000005</v>
      </c>
      <c r="BE54" s="23">
        <v>0</v>
      </c>
      <c r="BF54" s="23">
        <v>6.3079869999999998</v>
      </c>
      <c r="BG54" s="23">
        <v>6.3079869999999998</v>
      </c>
      <c r="BH54" s="23">
        <v>1</v>
      </c>
      <c r="BI54" s="23">
        <v>0.83056479999999999</v>
      </c>
      <c r="BJ54" s="23">
        <v>0.1949824</v>
      </c>
      <c r="BK54" s="23">
        <v>0.80501769999999995</v>
      </c>
      <c r="BL54" s="23">
        <v>0.29117480000000001</v>
      </c>
      <c r="BM54" s="23">
        <v>3.9300000000000004E-15</v>
      </c>
      <c r="BN54" s="23">
        <v>5.2611689999999998</v>
      </c>
      <c r="BO54" s="23">
        <v>5.2611689999999998</v>
      </c>
      <c r="BP54" s="23">
        <v>1</v>
      </c>
      <c r="BQ54" s="23">
        <v>0.44890160000000001</v>
      </c>
      <c r="BR54" s="23">
        <v>0.15728120000000001</v>
      </c>
      <c r="BS54" s="23">
        <v>0.84271879999999999</v>
      </c>
      <c r="BT54" s="23">
        <v>0.55497370000000001</v>
      </c>
      <c r="BU54" s="23">
        <v>0.69686530000000002</v>
      </c>
      <c r="BV54" s="23">
        <v>0.44306980000000001</v>
      </c>
      <c r="BW54" s="23">
        <v>3.352249</v>
      </c>
      <c r="BX54" s="23">
        <v>6.1831440000000004</v>
      </c>
      <c r="BY54" s="23">
        <v>1.844476</v>
      </c>
      <c r="BZ54" s="23">
        <v>0</v>
      </c>
      <c r="CA54" s="23">
        <v>0.51229499999999994</v>
      </c>
      <c r="CB54" s="23">
        <v>0.487705</v>
      </c>
      <c r="CC54" s="23">
        <v>0.1562489</v>
      </c>
      <c r="CD54" s="23">
        <v>0.84375109999999998</v>
      </c>
      <c r="CE54" s="23">
        <v>8.8264320000000005</v>
      </c>
      <c r="CF54" s="23">
        <v>8.8632930000000005</v>
      </c>
      <c r="CG54" s="23">
        <v>3.3787470000000002</v>
      </c>
      <c r="CH54" s="23">
        <v>6.1033869999999997</v>
      </c>
      <c r="CI54" s="23">
        <v>1.6959960000000001</v>
      </c>
      <c r="CJ54" s="23">
        <v>1.447344</v>
      </c>
      <c r="CK54" s="23">
        <v>0.8533887</v>
      </c>
      <c r="CL54" s="23">
        <v>1.21397</v>
      </c>
      <c r="CM54" s="23">
        <v>0.56350199999999995</v>
      </c>
      <c r="CN54" s="23">
        <v>0.60514999999999997</v>
      </c>
      <c r="CO54" s="23">
        <v>0.53786230000000002</v>
      </c>
      <c r="CP54" s="23">
        <v>9.0594999999999998E-3</v>
      </c>
      <c r="CQ54" s="23">
        <v>2.87554E-2</v>
      </c>
      <c r="CR54" s="23">
        <v>2.8609E-3</v>
      </c>
      <c r="CS54" s="23">
        <v>1.40133</v>
      </c>
      <c r="CT54" s="23">
        <v>1.6608000000000001</v>
      </c>
      <c r="CU54" s="23">
        <v>1.2734510000000001</v>
      </c>
      <c r="CV54" s="23">
        <v>1.0630170000000001</v>
      </c>
      <c r="CW54" s="23">
        <v>1.5943830000000001</v>
      </c>
      <c r="CX54" s="23">
        <v>1.366233</v>
      </c>
      <c r="CY54" s="23">
        <v>1.710283</v>
      </c>
    </row>
    <row r="55" spans="1:103" x14ac:dyDescent="0.3">
      <c r="A55" s="5">
        <v>2000</v>
      </c>
      <c r="B55" s="3">
        <v>282398</v>
      </c>
      <c r="C55" s="3">
        <v>10250952</v>
      </c>
      <c r="D55" s="2">
        <v>6.4524600000000003</v>
      </c>
      <c r="E55" s="2">
        <v>6.3645300000000002</v>
      </c>
      <c r="F55" s="3">
        <v>6767179</v>
      </c>
      <c r="G55" s="3">
        <v>2038408</v>
      </c>
      <c r="H55" s="3">
        <v>1437588</v>
      </c>
      <c r="I55" s="3">
        <v>388850</v>
      </c>
      <c r="J55" s="3">
        <v>-381073</v>
      </c>
      <c r="K55" s="3">
        <v>10022643</v>
      </c>
      <c r="L55" s="3">
        <v>2392084</v>
      </c>
      <c r="M55" s="3">
        <v>7630559.5</v>
      </c>
      <c r="N55" s="2">
        <v>6.70052</v>
      </c>
      <c r="O55" s="2">
        <v>4.6246700000000001</v>
      </c>
      <c r="P55" s="2">
        <v>7.9786099999999998</v>
      </c>
      <c r="Q55" s="3">
        <v>1211485</v>
      </c>
      <c r="R55" s="3">
        <v>1154398</v>
      </c>
      <c r="S55" s="3">
        <v>1161229</v>
      </c>
      <c r="T55" s="3">
        <v>6495531</v>
      </c>
      <c r="U55" s="3">
        <v>6093353.5</v>
      </c>
      <c r="V55" s="3">
        <v>1480172.5</v>
      </c>
      <c r="W55" s="3">
        <v>4613181.5</v>
      </c>
      <c r="X55" s="2">
        <v>0.60233000000000003</v>
      </c>
      <c r="Y55" s="2">
        <v>6.1269099999999996</v>
      </c>
      <c r="Z55" s="2">
        <v>5.1124000000000001</v>
      </c>
      <c r="AA55" s="2">
        <v>6.6897500000000001</v>
      </c>
      <c r="AB55" s="2">
        <v>9.4075500000000005</v>
      </c>
      <c r="AC55" s="2">
        <v>7.0885800000000003</v>
      </c>
      <c r="AD55" s="2">
        <v>10.30064</v>
      </c>
      <c r="AE55" s="2">
        <v>2.3958300000000001</v>
      </c>
      <c r="AF55" s="2">
        <v>1.51519</v>
      </c>
      <c r="AG55" s="2">
        <v>3.14656</v>
      </c>
      <c r="AH55" s="2">
        <v>0.61458000000000002</v>
      </c>
      <c r="AI55" s="2">
        <v>0.59848999999999997</v>
      </c>
      <c r="AJ55" s="3">
        <v>7649929</v>
      </c>
      <c r="AK55" s="3">
        <v>1992142</v>
      </c>
      <c r="AL55" s="3">
        <v>5657787</v>
      </c>
      <c r="AM55" s="2">
        <v>5.7295800000000003</v>
      </c>
      <c r="AN55" s="2">
        <v>6.66676</v>
      </c>
      <c r="AO55" s="2">
        <v>4.9117100000000002</v>
      </c>
      <c r="AP55" s="2">
        <v>3.8319999999999999</v>
      </c>
      <c r="AQ55" s="2">
        <v>6.2478600000000002</v>
      </c>
      <c r="AR55" s="2">
        <v>9.5898299999999992</v>
      </c>
      <c r="AS55" s="3">
        <v>2372714</v>
      </c>
      <c r="AT55" s="2">
        <v>10.04618</v>
      </c>
      <c r="AU55" s="2">
        <v>5.4460899999999999</v>
      </c>
      <c r="AV55" s="22"/>
      <c r="AW55" s="23">
        <v>0.5105904</v>
      </c>
      <c r="AX55" s="23">
        <v>0.4894096</v>
      </c>
      <c r="AY55" s="23">
        <v>0.15090310000000001</v>
      </c>
      <c r="AZ55" s="23">
        <v>0.84909690000000004</v>
      </c>
      <c r="BA55" s="23">
        <v>27.089179999999999</v>
      </c>
      <c r="BB55" s="23">
        <v>0.51539000000000001</v>
      </c>
      <c r="BC55" s="23">
        <v>0.48460999999999999</v>
      </c>
      <c r="BD55" s="23">
        <v>0.64724230000000005</v>
      </c>
      <c r="BE55" s="23">
        <v>0</v>
      </c>
      <c r="BF55" s="23">
        <v>6.5606879999999999</v>
      </c>
      <c r="BG55" s="23">
        <v>6.560689</v>
      </c>
      <c r="BH55" s="23">
        <v>1</v>
      </c>
      <c r="BI55" s="23">
        <v>0.83056479999999999</v>
      </c>
      <c r="BJ55" s="23">
        <v>0.19231380000000001</v>
      </c>
      <c r="BK55" s="23">
        <v>0.80768620000000002</v>
      </c>
      <c r="BL55" s="23">
        <v>0.29117480000000001</v>
      </c>
      <c r="BM55" s="23">
        <v>3.9300000000000004E-15</v>
      </c>
      <c r="BN55" s="23">
        <v>5.4417309999999999</v>
      </c>
      <c r="BO55" s="23">
        <v>5.4417309999999999</v>
      </c>
      <c r="BP55" s="23">
        <v>1</v>
      </c>
      <c r="BQ55" s="23">
        <v>0.44890160000000001</v>
      </c>
      <c r="BR55" s="23">
        <v>0.15374599999999999</v>
      </c>
      <c r="BS55" s="23">
        <v>0.84625399999999995</v>
      </c>
      <c r="BT55" s="23">
        <v>0.55497370000000001</v>
      </c>
      <c r="BU55" s="23">
        <v>0.69686530000000002</v>
      </c>
      <c r="BV55" s="23">
        <v>0.44306980000000001</v>
      </c>
      <c r="BW55" s="23">
        <v>3.4363929999999998</v>
      </c>
      <c r="BX55" s="23">
        <v>6.400957</v>
      </c>
      <c r="BY55" s="23">
        <v>1.8626959999999999</v>
      </c>
      <c r="BZ55" s="23">
        <v>0</v>
      </c>
      <c r="CA55" s="23">
        <v>0.51032420000000001</v>
      </c>
      <c r="CB55" s="23">
        <v>0.48967579999999999</v>
      </c>
      <c r="CC55" s="23">
        <v>0.15238119999999999</v>
      </c>
      <c r="CD55" s="23">
        <v>0.84761880000000001</v>
      </c>
      <c r="CE55" s="23">
        <v>9.4475479999999994</v>
      </c>
      <c r="CF55" s="23">
        <v>9.3064</v>
      </c>
      <c r="CG55" s="23">
        <v>3.4751159999999999</v>
      </c>
      <c r="CH55" s="23">
        <v>6.3139789999999998</v>
      </c>
      <c r="CI55" s="23">
        <v>1.7252289999999999</v>
      </c>
      <c r="CJ55" s="23">
        <v>1.465015</v>
      </c>
      <c r="CK55" s="23">
        <v>0.84917100000000001</v>
      </c>
      <c r="CL55" s="23">
        <v>1.2241359999999999</v>
      </c>
      <c r="CM55" s="23">
        <v>0.56350199999999995</v>
      </c>
      <c r="CN55" s="23">
        <v>0.60514999999999997</v>
      </c>
      <c r="CO55" s="23">
        <v>0.53786230000000002</v>
      </c>
      <c r="CP55" s="23">
        <v>4.5055E-3</v>
      </c>
      <c r="CQ55" s="23">
        <v>3.5338799999999997E-2</v>
      </c>
      <c r="CR55" s="23">
        <v>-5.104E-3</v>
      </c>
      <c r="CS55" s="23">
        <v>1.4076580000000001</v>
      </c>
      <c r="CT55" s="23">
        <v>1.72054</v>
      </c>
      <c r="CU55" s="23">
        <v>1.2669680000000001</v>
      </c>
      <c r="CV55" s="23">
        <v>1.0666530000000001</v>
      </c>
      <c r="CW55" s="23">
        <v>1.6294420000000001</v>
      </c>
      <c r="CX55" s="23">
        <v>1.372306</v>
      </c>
      <c r="CY55" s="23">
        <v>1.7318910000000001</v>
      </c>
    </row>
    <row r="56" spans="1:103" x14ac:dyDescent="0.3">
      <c r="A56" s="5">
        <v>2001</v>
      </c>
      <c r="B56" s="3">
        <v>285225</v>
      </c>
      <c r="C56" s="3">
        <v>10581929</v>
      </c>
      <c r="D56" s="2">
        <v>6.5140099999999999</v>
      </c>
      <c r="E56" s="2">
        <v>6.5079500000000001</v>
      </c>
      <c r="F56" s="3">
        <v>7073801</v>
      </c>
      <c r="G56" s="3">
        <v>1934842</v>
      </c>
      <c r="H56" s="3">
        <v>1538151</v>
      </c>
      <c r="I56" s="3">
        <v>411883</v>
      </c>
      <c r="J56" s="3">
        <v>-376747</v>
      </c>
      <c r="K56" s="3">
        <v>10359473</v>
      </c>
      <c r="L56" s="3">
        <v>2363839.7999999998</v>
      </c>
      <c r="M56" s="3">
        <v>7995633</v>
      </c>
      <c r="N56" s="2">
        <v>6.8692599999999997</v>
      </c>
      <c r="O56" s="2">
        <v>4.7482300000000004</v>
      </c>
      <c r="P56" s="2">
        <v>8.1757799999999996</v>
      </c>
      <c r="Q56" s="3">
        <v>1184794</v>
      </c>
      <c r="R56" s="3">
        <v>1148598</v>
      </c>
      <c r="S56" s="3">
        <v>1200215</v>
      </c>
      <c r="T56" s="3">
        <v>6825866</v>
      </c>
      <c r="U56" s="3">
        <v>6282005.5</v>
      </c>
      <c r="V56" s="3">
        <v>1428762.5</v>
      </c>
      <c r="W56" s="3">
        <v>4853243</v>
      </c>
      <c r="X56" s="2">
        <v>0.60718000000000005</v>
      </c>
      <c r="Y56" s="2">
        <v>6.1772600000000004</v>
      </c>
      <c r="Z56" s="2">
        <v>4.9205699999999997</v>
      </c>
      <c r="AA56" s="2">
        <v>6.8407600000000004</v>
      </c>
      <c r="AB56" s="2">
        <v>9.8063400000000005</v>
      </c>
      <c r="AC56" s="2">
        <v>7.2298600000000004</v>
      </c>
      <c r="AD56" s="2">
        <v>10.807650000000001</v>
      </c>
      <c r="AE56" s="2">
        <v>2.3863599999999998</v>
      </c>
      <c r="AF56" s="2">
        <v>1.46811</v>
      </c>
      <c r="AG56" s="2">
        <v>3.1608299999999998</v>
      </c>
      <c r="AH56" s="2">
        <v>0.61160000000000003</v>
      </c>
      <c r="AI56" s="2">
        <v>0.60577999999999999</v>
      </c>
      <c r="AJ56" s="3">
        <v>7974464</v>
      </c>
      <c r="AK56" s="3">
        <v>1995035</v>
      </c>
      <c r="AL56" s="3">
        <v>5979429</v>
      </c>
      <c r="AM56" s="2">
        <v>5.8077800000000002</v>
      </c>
      <c r="AN56" s="2">
        <v>6.8430299999999997</v>
      </c>
      <c r="AO56" s="2">
        <v>5.0672600000000001</v>
      </c>
      <c r="AP56" s="2">
        <v>3.71272</v>
      </c>
      <c r="AQ56" s="2">
        <v>6.3876200000000001</v>
      </c>
      <c r="AR56" s="2">
        <v>9.8945000000000007</v>
      </c>
      <c r="AS56" s="3">
        <v>2385009</v>
      </c>
      <c r="AT56" s="2">
        <v>10.00372</v>
      </c>
      <c r="AU56" s="2">
        <v>5.4975500000000004</v>
      </c>
      <c r="AV56" s="22"/>
      <c r="AW56" s="23">
        <v>0.49676710000000002</v>
      </c>
      <c r="AX56" s="23">
        <v>0.50323289999999998</v>
      </c>
      <c r="AY56" s="23">
        <v>0.14403450000000001</v>
      </c>
      <c r="AZ56" s="23">
        <v>0.85596550000000005</v>
      </c>
      <c r="BA56" s="23">
        <v>27.958500000000001</v>
      </c>
      <c r="BB56" s="23">
        <v>0.51587839999999996</v>
      </c>
      <c r="BC56" s="23">
        <v>0.48412159999999999</v>
      </c>
      <c r="BD56" s="23">
        <v>0.64724230000000005</v>
      </c>
      <c r="BE56" s="23">
        <v>0</v>
      </c>
      <c r="BF56" s="23">
        <v>6.6673530000000003</v>
      </c>
      <c r="BG56" s="23">
        <v>6.6673539999999996</v>
      </c>
      <c r="BH56" s="23">
        <v>1</v>
      </c>
      <c r="BI56" s="23">
        <v>0.83056479999999999</v>
      </c>
      <c r="BJ56" s="23">
        <v>0.19261780000000001</v>
      </c>
      <c r="BK56" s="23">
        <v>0.80738220000000005</v>
      </c>
      <c r="BL56" s="23">
        <v>0.29117480000000001</v>
      </c>
      <c r="BM56" s="23">
        <v>3.9300000000000004E-15</v>
      </c>
      <c r="BN56" s="23">
        <v>5.5336999999999996</v>
      </c>
      <c r="BO56" s="23">
        <v>5.5336999999999996</v>
      </c>
      <c r="BP56" s="23">
        <v>1</v>
      </c>
      <c r="BQ56" s="23">
        <v>0.44890160000000001</v>
      </c>
      <c r="BR56" s="23">
        <v>0.1533438</v>
      </c>
      <c r="BS56" s="23">
        <v>0.84665619999999997</v>
      </c>
      <c r="BT56" s="23">
        <v>0.55497370000000001</v>
      </c>
      <c r="BU56" s="23">
        <v>0.69686530000000002</v>
      </c>
      <c r="BV56" s="23">
        <v>0.44306980000000001</v>
      </c>
      <c r="BW56" s="23">
        <v>3.4798300000000002</v>
      </c>
      <c r="BX56" s="23">
        <v>6.5146819999999996</v>
      </c>
      <c r="BY56" s="23">
        <v>1.8721270000000001</v>
      </c>
      <c r="BZ56" s="23">
        <v>0</v>
      </c>
      <c r="CA56" s="23">
        <v>0.50367870000000003</v>
      </c>
      <c r="CB56" s="23">
        <v>0.49632130000000002</v>
      </c>
      <c r="CC56" s="23">
        <v>0.14746880000000001</v>
      </c>
      <c r="CD56" s="23">
        <v>0.85253120000000004</v>
      </c>
      <c r="CE56" s="23">
        <v>8.9989629999999998</v>
      </c>
      <c r="CF56" s="23">
        <v>9.38687</v>
      </c>
      <c r="CG56" s="23">
        <v>3.3676759999999999</v>
      </c>
      <c r="CH56" s="23">
        <v>6.4750649999999998</v>
      </c>
      <c r="CI56" s="23">
        <v>1.7218580000000001</v>
      </c>
      <c r="CJ56" s="23">
        <v>1.487168</v>
      </c>
      <c r="CK56" s="23">
        <v>0.86369929999999995</v>
      </c>
      <c r="CL56" s="23">
        <v>1.2447410000000001</v>
      </c>
      <c r="CM56" s="23">
        <v>0.56350199999999995</v>
      </c>
      <c r="CN56" s="23">
        <v>0.60514999999999997</v>
      </c>
      <c r="CO56" s="23">
        <v>0.53786230000000002</v>
      </c>
      <c r="CP56" s="23">
        <v>-7.7069E-3</v>
      </c>
      <c r="CQ56" s="23">
        <v>-2.9075500000000001E-2</v>
      </c>
      <c r="CR56" s="23">
        <v>-1.2026000000000001E-3</v>
      </c>
      <c r="CS56" s="23">
        <v>1.3968510000000001</v>
      </c>
      <c r="CT56" s="23">
        <v>1.671235</v>
      </c>
      <c r="CU56" s="23">
        <v>1.2654449999999999</v>
      </c>
      <c r="CV56" s="23">
        <v>1.0838490000000001</v>
      </c>
      <c r="CW56" s="23">
        <v>1.6272899999999999</v>
      </c>
      <c r="CX56" s="23">
        <v>1.361718</v>
      </c>
      <c r="CY56" s="23">
        <v>1.7453829999999999</v>
      </c>
    </row>
    <row r="57" spans="1:103" x14ac:dyDescent="0.3">
      <c r="A57" s="5">
        <v>2002</v>
      </c>
      <c r="B57" s="3">
        <v>287955</v>
      </c>
      <c r="C57" s="3">
        <v>10929108</v>
      </c>
      <c r="D57" s="2">
        <v>6.6244899999999998</v>
      </c>
      <c r="E57" s="2">
        <v>6.6093700000000002</v>
      </c>
      <c r="F57" s="3">
        <v>7348941</v>
      </c>
      <c r="G57" s="3">
        <v>1930417</v>
      </c>
      <c r="H57" s="3">
        <v>1645819</v>
      </c>
      <c r="I57" s="3">
        <v>443676</v>
      </c>
      <c r="J57" s="3">
        <v>-439745</v>
      </c>
      <c r="K57" s="3">
        <v>10700323</v>
      </c>
      <c r="L57" s="3">
        <v>2335523.5</v>
      </c>
      <c r="M57" s="3">
        <v>8364799</v>
      </c>
      <c r="N57" s="2">
        <v>6.9550900000000002</v>
      </c>
      <c r="O57" s="2">
        <v>4.6597400000000002</v>
      </c>
      <c r="P57" s="2">
        <v>8.3525500000000008</v>
      </c>
      <c r="Q57" s="3">
        <v>1151724</v>
      </c>
      <c r="R57" s="3">
        <v>1163082</v>
      </c>
      <c r="S57" s="3">
        <v>1202395</v>
      </c>
      <c r="T57" s="3">
        <v>7183122</v>
      </c>
      <c r="U57" s="3">
        <v>6338332</v>
      </c>
      <c r="V57" s="3">
        <v>1394944.1</v>
      </c>
      <c r="W57" s="3">
        <v>4943388</v>
      </c>
      <c r="X57" s="2">
        <v>0.59938000000000002</v>
      </c>
      <c r="Y57" s="2">
        <v>6.3017700000000003</v>
      </c>
      <c r="Z57" s="2">
        <v>4.9539499999999999</v>
      </c>
      <c r="AA57" s="2">
        <v>7.0051399999999999</v>
      </c>
      <c r="AB57" s="2">
        <v>10.08292</v>
      </c>
      <c r="AC57" s="2">
        <v>7.3315799999999998</v>
      </c>
      <c r="AD57" s="2">
        <v>11.15659</v>
      </c>
      <c r="AE57" s="2">
        <v>2.3727399999999998</v>
      </c>
      <c r="AF57" s="2">
        <v>1.40394</v>
      </c>
      <c r="AG57" s="2">
        <v>3.1783000000000001</v>
      </c>
      <c r="AH57" s="2">
        <v>0.60085</v>
      </c>
      <c r="AI57" s="2">
        <v>0.59897999999999996</v>
      </c>
      <c r="AJ57" s="3">
        <v>8346204</v>
      </c>
      <c r="AK57" s="3">
        <v>2069774</v>
      </c>
      <c r="AL57" s="3">
        <v>6276430</v>
      </c>
      <c r="AM57" s="2">
        <v>5.9631800000000004</v>
      </c>
      <c r="AN57" s="2">
        <v>6.9721000000000002</v>
      </c>
      <c r="AO57" s="2">
        <v>5.1376400000000002</v>
      </c>
      <c r="AP57" s="2">
        <v>3.79725</v>
      </c>
      <c r="AQ57" s="2">
        <v>6.5320400000000003</v>
      </c>
      <c r="AR57" s="2">
        <v>10.15155</v>
      </c>
      <c r="AS57" s="3">
        <v>2354119</v>
      </c>
      <c r="AT57" s="2">
        <v>9.8340999999999994</v>
      </c>
      <c r="AU57" s="2">
        <v>5.5199400000000001</v>
      </c>
      <c r="AV57" s="22"/>
      <c r="AW57" s="23">
        <v>0.4892378</v>
      </c>
      <c r="AX57" s="23">
        <v>0.51076220000000006</v>
      </c>
      <c r="AY57" s="23">
        <v>0.1393546</v>
      </c>
      <c r="AZ57" s="23">
        <v>0.8606454</v>
      </c>
      <c r="BA57" s="23">
        <v>28.984400000000001</v>
      </c>
      <c r="BB57" s="23">
        <v>0.50583270000000002</v>
      </c>
      <c r="BC57" s="23">
        <v>0.49416729999999998</v>
      </c>
      <c r="BD57" s="23">
        <v>0.64724230000000005</v>
      </c>
      <c r="BE57" s="23">
        <v>0</v>
      </c>
      <c r="BF57" s="23">
        <v>6.9722119999999999</v>
      </c>
      <c r="BG57" s="23">
        <v>6.972213</v>
      </c>
      <c r="BH57" s="23">
        <v>1</v>
      </c>
      <c r="BI57" s="23">
        <v>0.83056479999999999</v>
      </c>
      <c r="BJ57" s="23">
        <v>0.18644269999999999</v>
      </c>
      <c r="BK57" s="23">
        <v>0.81355730000000004</v>
      </c>
      <c r="BL57" s="23">
        <v>0.29117480000000001</v>
      </c>
      <c r="BM57" s="23">
        <v>3.9300000000000004E-15</v>
      </c>
      <c r="BN57" s="23">
        <v>5.7124459999999999</v>
      </c>
      <c r="BO57" s="23">
        <v>5.7124470000000001</v>
      </c>
      <c r="BP57" s="23">
        <v>1</v>
      </c>
      <c r="BQ57" s="23">
        <v>0.44890160000000001</v>
      </c>
      <c r="BR57" s="23">
        <v>0.14790030000000001</v>
      </c>
      <c r="BS57" s="23">
        <v>0.85209970000000002</v>
      </c>
      <c r="BT57" s="23">
        <v>0.55497370000000001</v>
      </c>
      <c r="BU57" s="23">
        <v>0.69686530000000002</v>
      </c>
      <c r="BV57" s="23">
        <v>0.44306980000000001</v>
      </c>
      <c r="BW57" s="23">
        <v>3.5794670000000002</v>
      </c>
      <c r="BX57" s="23">
        <v>6.7169809999999996</v>
      </c>
      <c r="BY57" s="23">
        <v>1.8765309999999999</v>
      </c>
      <c r="BZ57" s="23">
        <v>0</v>
      </c>
      <c r="CA57" s="23">
        <v>0.49300240000000001</v>
      </c>
      <c r="CB57" s="23">
        <v>0.50699749999999999</v>
      </c>
      <c r="CC57" s="23">
        <v>0.1416946</v>
      </c>
      <c r="CD57" s="23">
        <v>0.85830550000000005</v>
      </c>
      <c r="CE57" s="23">
        <v>8.913907</v>
      </c>
      <c r="CF57" s="23">
        <v>9.2048989999999993</v>
      </c>
      <c r="CG57" s="23">
        <v>3.4749029999999999</v>
      </c>
      <c r="CH57" s="23">
        <v>6.669753</v>
      </c>
      <c r="CI57" s="23">
        <v>1.7924929999999999</v>
      </c>
      <c r="CJ57" s="23">
        <v>1.5131600000000001</v>
      </c>
      <c r="CK57" s="23">
        <v>0.84416539999999995</v>
      </c>
      <c r="CL57" s="23">
        <v>1.2630760000000001</v>
      </c>
      <c r="CM57" s="23">
        <v>0.56350199999999995</v>
      </c>
      <c r="CN57" s="23">
        <v>0.60514999999999997</v>
      </c>
      <c r="CO57" s="23">
        <v>0.53786230000000002</v>
      </c>
      <c r="CP57" s="23">
        <v>1.10385E-2</v>
      </c>
      <c r="CQ57" s="23">
        <v>2.5848699999999999E-2</v>
      </c>
      <c r="CR57" s="23">
        <v>6.7702999999999999E-3</v>
      </c>
      <c r="CS57" s="23">
        <v>1.4123559999999999</v>
      </c>
      <c r="CT57" s="23">
        <v>1.7149970000000001</v>
      </c>
      <c r="CU57" s="23">
        <v>1.2740419999999999</v>
      </c>
      <c r="CV57" s="23">
        <v>1.0811500000000001</v>
      </c>
      <c r="CW57" s="23">
        <v>1.6524220000000001</v>
      </c>
      <c r="CX57" s="23">
        <v>1.377143</v>
      </c>
      <c r="CY57" s="23">
        <v>1.77956</v>
      </c>
    </row>
    <row r="58" spans="1:103" x14ac:dyDescent="0.3">
      <c r="A58" s="5">
        <v>2003</v>
      </c>
      <c r="B58" s="3">
        <v>290626</v>
      </c>
      <c r="C58" s="3">
        <v>11456450</v>
      </c>
      <c r="D58" s="2">
        <v>6.8096899999999998</v>
      </c>
      <c r="E58" s="2">
        <v>6.7398499999999997</v>
      </c>
      <c r="F58" s="3">
        <v>7740749</v>
      </c>
      <c r="G58" s="3">
        <v>2027056</v>
      </c>
      <c r="H58" s="3">
        <v>1746378</v>
      </c>
      <c r="I58" s="3">
        <v>464221</v>
      </c>
      <c r="J58" s="3">
        <v>-521955</v>
      </c>
      <c r="K58" s="3">
        <v>11220648</v>
      </c>
      <c r="L58" s="3">
        <v>2480240</v>
      </c>
      <c r="M58" s="3">
        <v>8740408</v>
      </c>
      <c r="N58" s="2">
        <v>7.0987200000000001</v>
      </c>
      <c r="O58" s="2">
        <v>4.8006799999999998</v>
      </c>
      <c r="P58" s="2">
        <v>8.5026100000000007</v>
      </c>
      <c r="Q58" s="3">
        <v>1216581</v>
      </c>
      <c r="R58" s="3">
        <v>1236249</v>
      </c>
      <c r="S58" s="3">
        <v>1260602</v>
      </c>
      <c r="T58" s="3">
        <v>7507216</v>
      </c>
      <c r="U58" s="3">
        <v>6580236.5</v>
      </c>
      <c r="V58" s="3">
        <v>1440760.3</v>
      </c>
      <c r="W58" s="3">
        <v>5139476</v>
      </c>
      <c r="X58" s="2">
        <v>0.58938999999999997</v>
      </c>
      <c r="Y58" s="2">
        <v>6.4744999999999999</v>
      </c>
      <c r="Z58" s="2">
        <v>5.1064600000000002</v>
      </c>
      <c r="AA58" s="2">
        <v>7.1905200000000002</v>
      </c>
      <c r="AB58" s="2">
        <v>10.36509</v>
      </c>
      <c r="AC58" s="2">
        <v>7.38232</v>
      </c>
      <c r="AD58" s="2">
        <v>11.53589</v>
      </c>
      <c r="AE58" s="2">
        <v>2.36835</v>
      </c>
      <c r="AF58" s="2">
        <v>1.35686</v>
      </c>
      <c r="AG58" s="2">
        <v>3.20133</v>
      </c>
      <c r="AH58" s="2">
        <v>0.58908000000000005</v>
      </c>
      <c r="AI58" s="2">
        <v>0.58948999999999996</v>
      </c>
      <c r="AJ58" s="3">
        <v>8743465</v>
      </c>
      <c r="AK58" s="3">
        <v>2114504</v>
      </c>
      <c r="AL58" s="3">
        <v>6628961</v>
      </c>
      <c r="AM58" s="2">
        <v>6.1064600000000002</v>
      </c>
      <c r="AN58" s="2">
        <v>7.1295099999999998</v>
      </c>
      <c r="AO58" s="2">
        <v>5.3185799999999999</v>
      </c>
      <c r="AP58" s="2">
        <v>3.7457199999999999</v>
      </c>
      <c r="AQ58" s="2">
        <v>6.66784</v>
      </c>
      <c r="AR58" s="2">
        <v>10.49883</v>
      </c>
      <c r="AS58" s="3">
        <v>2477183</v>
      </c>
      <c r="AT58" s="2">
        <v>10.2507</v>
      </c>
      <c r="AU58" s="2">
        <v>5.5724299999999998</v>
      </c>
      <c r="AV58" s="22"/>
      <c r="AW58" s="23">
        <v>0.49111470000000002</v>
      </c>
      <c r="AX58" s="23">
        <v>0.50888529999999998</v>
      </c>
      <c r="AY58" s="23">
        <v>0.14139119999999999</v>
      </c>
      <c r="AZ58" s="23">
        <v>0.85860879999999995</v>
      </c>
      <c r="BA58" s="23">
        <v>30.08494</v>
      </c>
      <c r="BB58" s="23">
        <v>0.50883</v>
      </c>
      <c r="BC58" s="23">
        <v>0.49117</v>
      </c>
      <c r="BD58" s="23">
        <v>0.64724230000000005</v>
      </c>
      <c r="BE58" s="23">
        <v>0</v>
      </c>
      <c r="BF58" s="23">
        <v>7.1316470000000001</v>
      </c>
      <c r="BG58" s="23">
        <v>7.1316470000000001</v>
      </c>
      <c r="BH58" s="23">
        <v>1</v>
      </c>
      <c r="BI58" s="23">
        <v>0.83056479999999999</v>
      </c>
      <c r="BJ58" s="23">
        <v>0.18826850000000001</v>
      </c>
      <c r="BK58" s="23">
        <v>0.81173150000000005</v>
      </c>
      <c r="BL58" s="23">
        <v>0.29117480000000001</v>
      </c>
      <c r="BM58" s="23">
        <v>3.9300000000000004E-15</v>
      </c>
      <c r="BN58" s="23">
        <v>5.8655369999999998</v>
      </c>
      <c r="BO58" s="23">
        <v>5.8655369999999998</v>
      </c>
      <c r="BP58" s="23">
        <v>1</v>
      </c>
      <c r="BQ58" s="23">
        <v>0.44890160000000001</v>
      </c>
      <c r="BR58" s="23">
        <v>0.14753939999999999</v>
      </c>
      <c r="BS58" s="23">
        <v>0.85246060000000001</v>
      </c>
      <c r="BT58" s="23">
        <v>0.55497370000000001</v>
      </c>
      <c r="BU58" s="23">
        <v>0.69686530000000002</v>
      </c>
      <c r="BV58" s="23">
        <v>0.44306980000000001</v>
      </c>
      <c r="BW58" s="23">
        <v>3.6308699999999998</v>
      </c>
      <c r="BX58" s="23">
        <v>6.9154340000000003</v>
      </c>
      <c r="BY58" s="23">
        <v>1.904622</v>
      </c>
      <c r="BZ58" s="23">
        <v>0</v>
      </c>
      <c r="CA58" s="23">
        <v>0.49017630000000001</v>
      </c>
      <c r="CB58" s="23">
        <v>0.50982369999999999</v>
      </c>
      <c r="CC58" s="23">
        <v>0.14037289999999999</v>
      </c>
      <c r="CD58" s="23">
        <v>0.85962709999999998</v>
      </c>
      <c r="CE58" s="23">
        <v>9.1394400000000005</v>
      </c>
      <c r="CF58" s="23">
        <v>9.4801819999999992</v>
      </c>
      <c r="CG58" s="23">
        <v>3.5850659999999999</v>
      </c>
      <c r="CH58" s="23">
        <v>6.8476600000000003</v>
      </c>
      <c r="CI58" s="23">
        <v>1.771126</v>
      </c>
      <c r="CJ58" s="23">
        <v>1.5258339999999999</v>
      </c>
      <c r="CK58" s="23">
        <v>0.86150519999999997</v>
      </c>
      <c r="CL58" s="23">
        <v>1.2794239999999999</v>
      </c>
      <c r="CM58" s="23">
        <v>0.56350199999999995</v>
      </c>
      <c r="CN58" s="23">
        <v>0.60514999999999997</v>
      </c>
      <c r="CO58" s="23">
        <v>0.53786230000000002</v>
      </c>
      <c r="CP58" s="23">
        <v>1.6038799999999999E-2</v>
      </c>
      <c r="CQ58" s="23">
        <v>4.6529599999999997E-2</v>
      </c>
      <c r="CR58" s="23">
        <v>7.4577000000000003E-3</v>
      </c>
      <c r="CS58" s="23">
        <v>1.4351910000000001</v>
      </c>
      <c r="CT58" s="23">
        <v>1.796681</v>
      </c>
      <c r="CU58" s="23">
        <v>1.283579</v>
      </c>
      <c r="CV58" s="23">
        <v>1.096633</v>
      </c>
      <c r="CW58" s="23">
        <v>1.726799</v>
      </c>
      <c r="CX58" s="23">
        <v>1.3999950000000001</v>
      </c>
      <c r="CY58" s="23">
        <v>1.8282879999999999</v>
      </c>
    </row>
    <row r="59" spans="1:103" x14ac:dyDescent="0.3">
      <c r="A59" s="5">
        <v>2004</v>
      </c>
      <c r="B59" s="3">
        <v>293262</v>
      </c>
      <c r="C59" s="3">
        <v>12217196</v>
      </c>
      <c r="D59" s="2">
        <v>7.0720799999999997</v>
      </c>
      <c r="E59" s="2">
        <v>6.9207299999999998</v>
      </c>
      <c r="F59" s="3">
        <v>8231960</v>
      </c>
      <c r="G59" s="3">
        <v>2281253</v>
      </c>
      <c r="H59" s="3">
        <v>1851920</v>
      </c>
      <c r="I59" s="3">
        <v>486204</v>
      </c>
      <c r="J59" s="3">
        <v>-634141</v>
      </c>
      <c r="K59" s="3">
        <v>11964224</v>
      </c>
      <c r="L59" s="3">
        <v>2695358.3</v>
      </c>
      <c r="M59" s="3">
        <v>9268865</v>
      </c>
      <c r="N59" s="2">
        <v>7.3051199999999996</v>
      </c>
      <c r="O59" s="2">
        <v>4.9487399999999999</v>
      </c>
      <c r="P59" s="2">
        <v>8.7455200000000008</v>
      </c>
      <c r="Q59" s="3">
        <v>1344314</v>
      </c>
      <c r="R59" s="3">
        <v>1321505</v>
      </c>
      <c r="S59" s="3">
        <v>1359075</v>
      </c>
      <c r="T59" s="3">
        <v>7939330</v>
      </c>
      <c r="U59" s="3">
        <v>6947251</v>
      </c>
      <c r="V59" s="3">
        <v>1512635.5</v>
      </c>
      <c r="W59" s="3">
        <v>5434615</v>
      </c>
      <c r="X59" s="2">
        <v>0.58355000000000001</v>
      </c>
      <c r="Y59" s="2">
        <v>6.7084999999999999</v>
      </c>
      <c r="Z59" s="2">
        <v>5.3833299999999999</v>
      </c>
      <c r="AA59" s="2">
        <v>7.4134700000000002</v>
      </c>
      <c r="AB59" s="2">
        <v>10.68078</v>
      </c>
      <c r="AC59" s="2">
        <v>7.45322</v>
      </c>
      <c r="AD59" s="2">
        <v>11.96001</v>
      </c>
      <c r="AE59" s="2">
        <v>2.3992300000000002</v>
      </c>
      <c r="AF59" s="2">
        <v>1.37876</v>
      </c>
      <c r="AG59" s="2">
        <v>3.24031</v>
      </c>
      <c r="AH59" s="2">
        <v>0.57104999999999995</v>
      </c>
      <c r="AI59" s="2">
        <v>0.58716999999999997</v>
      </c>
      <c r="AJ59" s="3">
        <v>9260835</v>
      </c>
      <c r="AK59" s="3">
        <v>2219807</v>
      </c>
      <c r="AL59" s="3">
        <v>7041028</v>
      </c>
      <c r="AM59" s="2">
        <v>6.3056400000000004</v>
      </c>
      <c r="AN59" s="2">
        <v>7.3153199999999998</v>
      </c>
      <c r="AO59" s="2">
        <v>5.4618500000000001</v>
      </c>
      <c r="AP59" s="2">
        <v>3.8304100000000001</v>
      </c>
      <c r="AQ59" s="2">
        <v>6.8520300000000001</v>
      </c>
      <c r="AR59" s="2">
        <v>10.855370000000001</v>
      </c>
      <c r="AS59" s="3">
        <v>2703389</v>
      </c>
      <c r="AT59" s="2">
        <v>10.865080000000001</v>
      </c>
      <c r="AU59" s="2">
        <v>5.7374200000000002</v>
      </c>
      <c r="AV59" s="22"/>
      <c r="AW59" s="23">
        <v>0.49726989999999999</v>
      </c>
      <c r="AX59" s="23">
        <v>0.50273009999999996</v>
      </c>
      <c r="AY59" s="23">
        <v>0.1426983</v>
      </c>
      <c r="AZ59" s="23">
        <v>0.8573018</v>
      </c>
      <c r="BA59" s="23">
        <v>31.578710000000001</v>
      </c>
      <c r="BB59" s="23">
        <v>0.50938170000000005</v>
      </c>
      <c r="BC59" s="23">
        <v>0.49061830000000001</v>
      </c>
      <c r="BD59" s="23">
        <v>0.64724230000000005</v>
      </c>
      <c r="BE59" s="23">
        <v>0</v>
      </c>
      <c r="BF59" s="23">
        <v>7.3355889999999997</v>
      </c>
      <c r="BG59" s="23">
        <v>7.3355899999999998</v>
      </c>
      <c r="BH59" s="23">
        <v>1</v>
      </c>
      <c r="BI59" s="23">
        <v>0.83056479999999999</v>
      </c>
      <c r="BJ59" s="23">
        <v>0.1886061</v>
      </c>
      <c r="BK59" s="23">
        <v>0.8113939</v>
      </c>
      <c r="BL59" s="23">
        <v>0.29117480000000001</v>
      </c>
      <c r="BM59" s="23">
        <v>3.9300000000000004E-15</v>
      </c>
      <c r="BN59" s="23">
        <v>6.0375449999999997</v>
      </c>
      <c r="BO59" s="23">
        <v>6.0375449999999997</v>
      </c>
      <c r="BP59" s="23">
        <v>1</v>
      </c>
      <c r="BQ59" s="23">
        <v>0.44890160000000001</v>
      </c>
      <c r="BR59" s="23">
        <v>0.14611189999999999</v>
      </c>
      <c r="BS59" s="23">
        <v>0.85388810000000004</v>
      </c>
      <c r="BT59" s="23">
        <v>0.55497370000000001</v>
      </c>
      <c r="BU59" s="23">
        <v>0.69686530000000002</v>
      </c>
      <c r="BV59" s="23">
        <v>0.44306980000000001</v>
      </c>
      <c r="BW59" s="23">
        <v>3.6945619999999999</v>
      </c>
      <c r="BX59" s="23">
        <v>7.1331170000000004</v>
      </c>
      <c r="BY59" s="23">
        <v>1.930707</v>
      </c>
      <c r="BZ59" s="23">
        <v>0</v>
      </c>
      <c r="CA59" s="23">
        <v>0.49419229999999997</v>
      </c>
      <c r="CB59" s="23">
        <v>0.50580769999999997</v>
      </c>
      <c r="CC59" s="23">
        <v>0.1420447</v>
      </c>
      <c r="CD59" s="23">
        <v>0.85795529999999998</v>
      </c>
      <c r="CE59" s="23">
        <v>9.7968679999999999</v>
      </c>
      <c r="CF59" s="23">
        <v>9.9368510000000008</v>
      </c>
      <c r="CG59" s="23">
        <v>3.7176459999999998</v>
      </c>
      <c r="CH59" s="23">
        <v>7.0406680000000001</v>
      </c>
      <c r="CI59" s="23">
        <v>1.7672209999999999</v>
      </c>
      <c r="CJ59" s="23">
        <v>1.5242960000000001</v>
      </c>
      <c r="CK59" s="23">
        <v>0.86253849999999999</v>
      </c>
      <c r="CL59" s="23">
        <v>1.27502</v>
      </c>
      <c r="CM59" s="23">
        <v>0.56350199999999995</v>
      </c>
      <c r="CN59" s="23">
        <v>0.60514999999999997</v>
      </c>
      <c r="CO59" s="23">
        <v>0.53786230000000002</v>
      </c>
      <c r="CP59" s="23">
        <v>1.51074E-2</v>
      </c>
      <c r="CQ59" s="23">
        <v>3.9605899999999999E-2</v>
      </c>
      <c r="CR59" s="23">
        <v>7.9559000000000001E-3</v>
      </c>
      <c r="CS59" s="23">
        <v>1.4570369999999999</v>
      </c>
      <c r="CT59" s="23">
        <v>1.8692679999999999</v>
      </c>
      <c r="CU59" s="23">
        <v>1.293831</v>
      </c>
      <c r="CV59" s="23">
        <v>1.0967229999999999</v>
      </c>
      <c r="CW59" s="23">
        <v>1.772051</v>
      </c>
      <c r="CX59" s="23">
        <v>1.4212229999999999</v>
      </c>
      <c r="CY59" s="23">
        <v>1.8551599999999999</v>
      </c>
    </row>
    <row r="60" spans="1:103" x14ac:dyDescent="0.3">
      <c r="A60" s="5">
        <v>2005</v>
      </c>
      <c r="B60" s="3">
        <v>295993</v>
      </c>
      <c r="C60" s="3">
        <v>13039197</v>
      </c>
      <c r="D60" s="2">
        <v>7.3184300000000002</v>
      </c>
      <c r="E60" s="2">
        <v>7.1377300000000004</v>
      </c>
      <c r="F60" s="3">
        <v>8769066</v>
      </c>
      <c r="G60" s="3">
        <v>2534720</v>
      </c>
      <c r="H60" s="3">
        <v>1962027</v>
      </c>
      <c r="I60" s="3">
        <v>513286</v>
      </c>
      <c r="J60" s="3">
        <v>-739903</v>
      </c>
      <c r="K60" s="3">
        <v>12763681</v>
      </c>
      <c r="L60" s="3">
        <v>2893720.3</v>
      </c>
      <c r="M60" s="3">
        <v>9869961</v>
      </c>
      <c r="N60" s="2">
        <v>7.5520899999999997</v>
      </c>
      <c r="O60" s="2">
        <v>5.2669800000000002</v>
      </c>
      <c r="P60" s="2">
        <v>8.9647600000000001</v>
      </c>
      <c r="Q60" s="3">
        <v>1499638</v>
      </c>
      <c r="R60" s="3">
        <v>1359805</v>
      </c>
      <c r="S60" s="3">
        <v>1490855</v>
      </c>
      <c r="T60" s="3">
        <v>8413383</v>
      </c>
      <c r="U60" s="3">
        <v>7261420</v>
      </c>
      <c r="V60" s="3">
        <v>1548997.4</v>
      </c>
      <c r="W60" s="3">
        <v>5712423</v>
      </c>
      <c r="X60" s="2">
        <v>0.57479000000000002</v>
      </c>
      <c r="Y60" s="2">
        <v>6.92272</v>
      </c>
      <c r="Z60" s="2">
        <v>5.4302999999999999</v>
      </c>
      <c r="AA60" s="2">
        <v>7.7011799999999999</v>
      </c>
      <c r="AB60" s="2">
        <v>11.027340000000001</v>
      </c>
      <c r="AC60" s="2">
        <v>7.5717299999999996</v>
      </c>
      <c r="AD60" s="2">
        <v>12.41126</v>
      </c>
      <c r="AE60" s="2">
        <v>2.4361999999999999</v>
      </c>
      <c r="AF60" s="2">
        <v>1.4021999999999999</v>
      </c>
      <c r="AG60" s="2">
        <v>3.2888099999999998</v>
      </c>
      <c r="AH60" s="2">
        <v>0.54825000000000002</v>
      </c>
      <c r="AI60" s="2">
        <v>0.58255000000000001</v>
      </c>
      <c r="AJ60" s="3">
        <v>9773188</v>
      </c>
      <c r="AK60" s="3">
        <v>2272952</v>
      </c>
      <c r="AL60" s="3">
        <v>7500236</v>
      </c>
      <c r="AM60" s="2">
        <v>6.4788100000000002</v>
      </c>
      <c r="AN60" s="2">
        <v>7.5200899999999997</v>
      </c>
      <c r="AO60" s="2">
        <v>5.6491300000000004</v>
      </c>
      <c r="AP60" s="2">
        <v>3.7953199999999998</v>
      </c>
      <c r="AQ60" s="2">
        <v>7.0359699999999998</v>
      </c>
      <c r="AR60" s="2">
        <v>11.270630000000001</v>
      </c>
      <c r="AS60" s="3">
        <v>2990493</v>
      </c>
      <c r="AT60" s="2">
        <v>11.52337</v>
      </c>
      <c r="AU60" s="2">
        <v>5.9841699999999998</v>
      </c>
      <c r="AV60" s="22"/>
      <c r="AW60" s="23">
        <v>0.50146849999999998</v>
      </c>
      <c r="AX60" s="23">
        <v>0.49853150000000002</v>
      </c>
      <c r="AY60" s="23">
        <v>0.13913629999999999</v>
      </c>
      <c r="AZ60" s="23">
        <v>0.86086370000000001</v>
      </c>
      <c r="BA60" s="23">
        <v>33.01831</v>
      </c>
      <c r="BB60" s="23">
        <v>0.51876489999999997</v>
      </c>
      <c r="BC60" s="23">
        <v>0.48123510000000003</v>
      </c>
      <c r="BD60" s="23">
        <v>0.64724230000000005</v>
      </c>
      <c r="BE60" s="23">
        <v>0</v>
      </c>
      <c r="BF60" s="23">
        <v>7.4076690000000003</v>
      </c>
      <c r="BG60" s="23">
        <v>7.4076700000000004</v>
      </c>
      <c r="BH60" s="23">
        <v>1</v>
      </c>
      <c r="BI60" s="23">
        <v>0.83056479999999999</v>
      </c>
      <c r="BJ60" s="23">
        <v>0.19442190000000001</v>
      </c>
      <c r="BK60" s="23">
        <v>0.80557809999999996</v>
      </c>
      <c r="BL60" s="23">
        <v>0.29117480000000001</v>
      </c>
      <c r="BM60" s="23">
        <v>3.9300000000000004E-15</v>
      </c>
      <c r="BN60" s="23">
        <v>6.1711960000000001</v>
      </c>
      <c r="BO60" s="23">
        <v>6.1711960000000001</v>
      </c>
      <c r="BP60" s="23">
        <v>1</v>
      </c>
      <c r="BQ60" s="23">
        <v>0.44890160000000001</v>
      </c>
      <c r="BR60" s="23">
        <v>0.14834649999999999</v>
      </c>
      <c r="BS60" s="23">
        <v>0.85165349999999995</v>
      </c>
      <c r="BT60" s="23">
        <v>0.55497370000000001</v>
      </c>
      <c r="BU60" s="23">
        <v>0.69686530000000002</v>
      </c>
      <c r="BV60" s="23">
        <v>0.44306980000000001</v>
      </c>
      <c r="BW60" s="23">
        <v>3.719408</v>
      </c>
      <c r="BX60" s="23">
        <v>7.3244389999999999</v>
      </c>
      <c r="BY60" s="23">
        <v>1.9692480000000001</v>
      </c>
      <c r="BZ60" s="23">
        <v>0</v>
      </c>
      <c r="CA60" s="23">
        <v>0.49936920000000001</v>
      </c>
      <c r="CB60" s="23">
        <v>0.50063080000000004</v>
      </c>
      <c r="CC60" s="23">
        <v>0.1409173</v>
      </c>
      <c r="CD60" s="23">
        <v>0.85908280000000004</v>
      </c>
      <c r="CE60" s="23">
        <v>10.26848</v>
      </c>
      <c r="CF60" s="23">
        <v>10.63378</v>
      </c>
      <c r="CG60" s="23">
        <v>3.5942569999999998</v>
      </c>
      <c r="CH60" s="23">
        <v>7.2785950000000001</v>
      </c>
      <c r="CI60" s="23">
        <v>1.7020690000000001</v>
      </c>
      <c r="CJ60" s="23">
        <v>1.4980789999999999</v>
      </c>
      <c r="CK60" s="23">
        <v>0.88015209999999999</v>
      </c>
      <c r="CL60" s="23">
        <v>1.256664</v>
      </c>
      <c r="CM60" s="23">
        <v>0.56350199999999995</v>
      </c>
      <c r="CN60" s="23">
        <v>0.60514999999999997</v>
      </c>
      <c r="CO60" s="23">
        <v>0.53786230000000002</v>
      </c>
      <c r="CP60" s="23">
        <v>8.8804999999999995E-3</v>
      </c>
      <c r="CQ60" s="23">
        <v>-7.6940000000000003E-3</v>
      </c>
      <c r="CR60" s="23">
        <v>1.3536100000000001E-2</v>
      </c>
      <c r="CS60" s="23">
        <v>1.4700340000000001</v>
      </c>
      <c r="CT60" s="23">
        <v>1.854941</v>
      </c>
      <c r="CU60" s="23">
        <v>1.311464</v>
      </c>
      <c r="CV60" s="23">
        <v>1.0982700000000001</v>
      </c>
      <c r="CW60" s="23">
        <v>1.777398</v>
      </c>
      <c r="CX60" s="23">
        <v>1.433781</v>
      </c>
      <c r="CY60" s="23">
        <v>1.855199</v>
      </c>
    </row>
    <row r="61" spans="1:103" x14ac:dyDescent="0.3">
      <c r="A61" s="5">
        <v>2006</v>
      </c>
      <c r="B61" s="3">
        <v>298818</v>
      </c>
      <c r="C61" s="3">
        <v>13815583</v>
      </c>
      <c r="D61" s="2">
        <v>7.5220700000000003</v>
      </c>
      <c r="E61" s="2">
        <v>7.35799</v>
      </c>
      <c r="F61" s="3">
        <v>9277236</v>
      </c>
      <c r="G61" s="3">
        <v>2700954</v>
      </c>
      <c r="H61" s="3">
        <v>2072953</v>
      </c>
      <c r="I61" s="3">
        <v>550893</v>
      </c>
      <c r="J61" s="3">
        <v>-786453</v>
      </c>
      <c r="K61" s="3">
        <v>13497656</v>
      </c>
      <c r="L61" s="3">
        <v>3103672.5</v>
      </c>
      <c r="M61" s="3">
        <v>10393984</v>
      </c>
      <c r="N61" s="2">
        <v>7.7677699999999996</v>
      </c>
      <c r="O61" s="2">
        <v>5.4382900000000003</v>
      </c>
      <c r="P61" s="2">
        <v>9.2102900000000005</v>
      </c>
      <c r="Q61" s="3">
        <v>1621707</v>
      </c>
      <c r="R61" s="3">
        <v>1449961</v>
      </c>
      <c r="S61" s="3">
        <v>1561151</v>
      </c>
      <c r="T61" s="3">
        <v>8864837</v>
      </c>
      <c r="U61" s="3">
        <v>7746959.5</v>
      </c>
      <c r="V61" s="3">
        <v>1637687.8</v>
      </c>
      <c r="W61" s="3">
        <v>6109271.5</v>
      </c>
      <c r="X61" s="2">
        <v>0.57142999999999999</v>
      </c>
      <c r="Y61" s="2">
        <v>7.1175499999999996</v>
      </c>
      <c r="Z61" s="2">
        <v>5.6408199999999997</v>
      </c>
      <c r="AA61" s="2">
        <v>7.8938600000000001</v>
      </c>
      <c r="AB61" s="2">
        <v>11.39472</v>
      </c>
      <c r="AC61" s="2">
        <v>7.7608899999999998</v>
      </c>
      <c r="AD61" s="2">
        <v>12.85934</v>
      </c>
      <c r="AE61" s="2">
        <v>2.5070000000000001</v>
      </c>
      <c r="AF61" s="2">
        <v>1.4398299999999999</v>
      </c>
      <c r="AG61" s="2">
        <v>3.3863599999999998</v>
      </c>
      <c r="AH61" s="2">
        <v>0.53147999999999995</v>
      </c>
      <c r="AI61" s="2">
        <v>0.58326999999999996</v>
      </c>
      <c r="AJ61" s="3">
        <v>10314798</v>
      </c>
      <c r="AK61" s="3">
        <v>2377799</v>
      </c>
      <c r="AL61" s="3">
        <v>7936999</v>
      </c>
      <c r="AM61" s="2">
        <v>6.6611799999999999</v>
      </c>
      <c r="AN61" s="2">
        <v>7.7392899999999996</v>
      </c>
      <c r="AO61" s="2">
        <v>5.9010300000000004</v>
      </c>
      <c r="AP61" s="2">
        <v>3.8106300000000002</v>
      </c>
      <c r="AQ61" s="2">
        <v>7.1899199999999999</v>
      </c>
      <c r="AR61" s="2">
        <v>11.701449999999999</v>
      </c>
      <c r="AS61" s="3">
        <v>3182858</v>
      </c>
      <c r="AT61" s="2">
        <v>11.83151</v>
      </c>
      <c r="AU61" s="2">
        <v>6.2032299999999996</v>
      </c>
      <c r="AV61" s="22"/>
      <c r="AW61" s="23">
        <v>0.50951279999999999</v>
      </c>
      <c r="AX61" s="23">
        <v>0.49048720000000001</v>
      </c>
      <c r="AY61" s="23">
        <v>0.140571</v>
      </c>
      <c r="AZ61" s="23">
        <v>0.85942909999999995</v>
      </c>
      <c r="BA61" s="23">
        <v>34.51867</v>
      </c>
      <c r="BB61" s="23">
        <v>0.52001010000000003</v>
      </c>
      <c r="BC61" s="23">
        <v>0.47998990000000002</v>
      </c>
      <c r="BD61" s="23">
        <v>0.64724230000000005</v>
      </c>
      <c r="BE61" s="23">
        <v>0</v>
      </c>
      <c r="BF61" s="23">
        <v>7.5900790000000002</v>
      </c>
      <c r="BG61" s="23">
        <v>7.5900800000000004</v>
      </c>
      <c r="BH61" s="23">
        <v>1</v>
      </c>
      <c r="BI61" s="23">
        <v>0.83056479999999999</v>
      </c>
      <c r="BJ61" s="23">
        <v>0.1952044</v>
      </c>
      <c r="BK61" s="23">
        <v>0.80479560000000006</v>
      </c>
      <c r="BL61" s="23">
        <v>0.29117480000000001</v>
      </c>
      <c r="BM61" s="23">
        <v>3.9300000000000004E-15</v>
      </c>
      <c r="BN61" s="23">
        <v>6.3334039999999998</v>
      </c>
      <c r="BO61" s="23">
        <v>6.3334039999999998</v>
      </c>
      <c r="BP61" s="23">
        <v>1</v>
      </c>
      <c r="BQ61" s="23">
        <v>0.44890160000000001</v>
      </c>
      <c r="BR61" s="23">
        <v>0.14743100000000001</v>
      </c>
      <c r="BS61" s="23">
        <v>0.85256900000000002</v>
      </c>
      <c r="BT61" s="23">
        <v>0.55497370000000001</v>
      </c>
      <c r="BU61" s="23">
        <v>0.69686530000000002</v>
      </c>
      <c r="BV61" s="23">
        <v>0.44306980000000001</v>
      </c>
      <c r="BW61" s="23">
        <v>3.7784080000000002</v>
      </c>
      <c r="BX61" s="23">
        <v>7.5323560000000001</v>
      </c>
      <c r="BY61" s="23">
        <v>1.9935259999999999</v>
      </c>
      <c r="BZ61" s="23">
        <v>0</v>
      </c>
      <c r="CA61" s="23">
        <v>0.50549069999999996</v>
      </c>
      <c r="CB61" s="23">
        <v>0.49450929999999998</v>
      </c>
      <c r="CC61" s="23">
        <v>0.13985359999999999</v>
      </c>
      <c r="CD61" s="23">
        <v>0.86014639999999998</v>
      </c>
      <c r="CE61" s="23">
        <v>10.754519999999999</v>
      </c>
      <c r="CF61" s="23">
        <v>10.838340000000001</v>
      </c>
      <c r="CG61" s="23">
        <v>3.7118280000000001</v>
      </c>
      <c r="CH61" s="23">
        <v>7.4647129999999997</v>
      </c>
      <c r="CI61" s="23">
        <v>1.6935990000000001</v>
      </c>
      <c r="CJ61" s="23">
        <v>1.484758</v>
      </c>
      <c r="CK61" s="23">
        <v>0.87668809999999997</v>
      </c>
      <c r="CL61" s="23">
        <v>1.2476240000000001</v>
      </c>
      <c r="CM61" s="23">
        <v>0.56350199999999995</v>
      </c>
      <c r="CN61" s="23">
        <v>0.60514999999999997</v>
      </c>
      <c r="CO61" s="23">
        <v>0.53786230000000002</v>
      </c>
      <c r="CP61" s="23">
        <v>-2.6946000000000001E-3</v>
      </c>
      <c r="CQ61" s="23">
        <v>1.2337600000000001E-2</v>
      </c>
      <c r="CR61" s="23">
        <v>-7.2407000000000001E-3</v>
      </c>
      <c r="CS61" s="23">
        <v>1.4660789999999999</v>
      </c>
      <c r="CT61" s="23">
        <v>1.8779680000000001</v>
      </c>
      <c r="CU61" s="23">
        <v>1.3020020000000001</v>
      </c>
      <c r="CV61" s="23">
        <v>1.0912520000000001</v>
      </c>
      <c r="CW61" s="23">
        <v>1.772707</v>
      </c>
      <c r="CX61" s="23">
        <v>1.4296759999999999</v>
      </c>
      <c r="CY61" s="23">
        <v>1.8358449999999999</v>
      </c>
    </row>
    <row r="62" spans="1:103" x14ac:dyDescent="0.3">
      <c r="A62" s="5">
        <v>2007</v>
      </c>
      <c r="B62" s="3">
        <v>301696</v>
      </c>
      <c r="C62" s="3">
        <v>14474228</v>
      </c>
      <c r="D62" s="2">
        <v>7.6732699999999996</v>
      </c>
      <c r="E62" s="2">
        <v>7.5568799999999996</v>
      </c>
      <c r="F62" s="3">
        <v>9746594</v>
      </c>
      <c r="G62" s="3">
        <v>2673011</v>
      </c>
      <c r="H62" s="3">
        <v>2198532</v>
      </c>
      <c r="I62" s="3">
        <v>592024</v>
      </c>
      <c r="J62" s="3">
        <v>-735933</v>
      </c>
      <c r="K62" s="3">
        <v>14117333</v>
      </c>
      <c r="L62" s="3">
        <v>3226661.8</v>
      </c>
      <c r="M62" s="3">
        <v>10890671</v>
      </c>
      <c r="N62" s="2">
        <v>8.0017700000000005</v>
      </c>
      <c r="O62" s="2">
        <v>5.5929700000000002</v>
      </c>
      <c r="P62" s="2">
        <v>9.4923699999999993</v>
      </c>
      <c r="Q62" s="3">
        <v>1648355</v>
      </c>
      <c r="R62" s="3">
        <v>1553906</v>
      </c>
      <c r="S62" s="3">
        <v>1582729</v>
      </c>
      <c r="T62" s="3">
        <v>9332343</v>
      </c>
      <c r="U62" s="3">
        <v>8060485.5</v>
      </c>
      <c r="V62" s="3">
        <v>1713762.1</v>
      </c>
      <c r="W62" s="3">
        <v>6346723.5</v>
      </c>
      <c r="X62" s="2">
        <v>0.57245999999999997</v>
      </c>
      <c r="Y62" s="2">
        <v>7.22661</v>
      </c>
      <c r="Z62" s="2">
        <v>5.7021699999999997</v>
      </c>
      <c r="AA62" s="2">
        <v>8.02529</v>
      </c>
      <c r="AB62" s="2">
        <v>11.674239999999999</v>
      </c>
      <c r="AC62" s="2">
        <v>7.9950999999999999</v>
      </c>
      <c r="AD62" s="2">
        <v>13.150359999999999</v>
      </c>
      <c r="AE62" s="2">
        <v>2.5516999999999999</v>
      </c>
      <c r="AF62" s="2">
        <v>1.4242900000000001</v>
      </c>
      <c r="AG62" s="2">
        <v>3.4733100000000001</v>
      </c>
      <c r="AH62" s="2">
        <v>0.52939000000000003</v>
      </c>
      <c r="AI62" s="2">
        <v>0.58526999999999996</v>
      </c>
      <c r="AJ62" s="3">
        <v>10886249</v>
      </c>
      <c r="AK62" s="3">
        <v>2476796</v>
      </c>
      <c r="AL62" s="3">
        <v>8409453</v>
      </c>
      <c r="AM62" s="2">
        <v>6.8464999999999998</v>
      </c>
      <c r="AN62" s="2">
        <v>7.9621000000000004</v>
      </c>
      <c r="AO62" s="2">
        <v>6.2171700000000003</v>
      </c>
      <c r="AP62" s="2">
        <v>3.77461</v>
      </c>
      <c r="AQ62" s="2">
        <v>7.3684000000000003</v>
      </c>
      <c r="AR62" s="2">
        <v>12.120699999999999</v>
      </c>
      <c r="AS62" s="3">
        <v>3231084</v>
      </c>
      <c r="AT62" s="2">
        <v>11.76304</v>
      </c>
      <c r="AU62" s="2">
        <v>6.3338700000000001</v>
      </c>
      <c r="AV62" s="22"/>
      <c r="AW62" s="23">
        <v>0.51015540000000004</v>
      </c>
      <c r="AX62" s="23">
        <v>0.48984460000000002</v>
      </c>
      <c r="AY62" s="23">
        <v>0.14274029999999999</v>
      </c>
      <c r="AZ62" s="23">
        <v>0.85725980000000002</v>
      </c>
      <c r="BA62" s="23">
        <v>36.083500000000001</v>
      </c>
      <c r="BB62" s="23">
        <v>0.51948070000000002</v>
      </c>
      <c r="BC62" s="23">
        <v>0.48051929999999998</v>
      </c>
      <c r="BD62" s="23">
        <v>0.64724230000000005</v>
      </c>
      <c r="BE62" s="23">
        <v>0</v>
      </c>
      <c r="BF62" s="23">
        <v>7.7811079999999997</v>
      </c>
      <c r="BG62" s="23">
        <v>7.7811079999999997</v>
      </c>
      <c r="BH62" s="23">
        <v>1</v>
      </c>
      <c r="BI62" s="23">
        <v>0.83056479999999999</v>
      </c>
      <c r="BJ62" s="23">
        <v>0.1948714</v>
      </c>
      <c r="BK62" s="23">
        <v>0.80512859999999997</v>
      </c>
      <c r="BL62" s="23">
        <v>0.29117480000000001</v>
      </c>
      <c r="BM62" s="23">
        <v>3.9300000000000004E-15</v>
      </c>
      <c r="BN62" s="23">
        <v>6.488334</v>
      </c>
      <c r="BO62" s="23">
        <v>6.488334</v>
      </c>
      <c r="BP62" s="23">
        <v>1</v>
      </c>
      <c r="BQ62" s="23">
        <v>0.44890160000000001</v>
      </c>
      <c r="BR62" s="23">
        <v>0.1460602</v>
      </c>
      <c r="BS62" s="23">
        <v>0.85393980000000003</v>
      </c>
      <c r="BT62" s="23">
        <v>0.55497370000000001</v>
      </c>
      <c r="BU62" s="23">
        <v>0.69686530000000002</v>
      </c>
      <c r="BV62" s="23">
        <v>0.44306980000000001</v>
      </c>
      <c r="BW62" s="23">
        <v>3.841399</v>
      </c>
      <c r="BX62" s="23">
        <v>7.7258269999999998</v>
      </c>
      <c r="BY62" s="23">
        <v>2.0112009999999998</v>
      </c>
      <c r="BZ62" s="23">
        <v>0</v>
      </c>
      <c r="CA62" s="23">
        <v>0.50983409999999996</v>
      </c>
      <c r="CB62" s="23">
        <v>0.49016589999999999</v>
      </c>
      <c r="CC62" s="23">
        <v>0.14165559999999999</v>
      </c>
      <c r="CD62" s="23">
        <v>0.85834440000000001</v>
      </c>
      <c r="CE62" s="23">
        <v>10.62893</v>
      </c>
      <c r="CF62" s="23">
        <v>10.661619999999999</v>
      </c>
      <c r="CG62" s="23">
        <v>3.867909</v>
      </c>
      <c r="CH62" s="23">
        <v>7.62486</v>
      </c>
      <c r="CI62" s="23">
        <v>1.697195</v>
      </c>
      <c r="CJ62" s="23">
        <v>1.498667</v>
      </c>
      <c r="CK62" s="23">
        <v>0.88302550000000002</v>
      </c>
      <c r="CL62" s="23">
        <v>1.257066</v>
      </c>
      <c r="CM62" s="23">
        <v>0.56350199999999995</v>
      </c>
      <c r="CN62" s="23">
        <v>0.60514999999999997</v>
      </c>
      <c r="CO62" s="23">
        <v>0.53786230000000002</v>
      </c>
      <c r="CP62" s="23">
        <v>-5.3314E-3</v>
      </c>
      <c r="CQ62" s="23">
        <v>3.9553000000000001E-3</v>
      </c>
      <c r="CR62" s="23">
        <v>-7.5408000000000003E-3</v>
      </c>
      <c r="CS62" s="23">
        <v>1.458283</v>
      </c>
      <c r="CT62" s="23">
        <v>1.8854109999999999</v>
      </c>
      <c r="CU62" s="23">
        <v>1.2922210000000001</v>
      </c>
      <c r="CV62" s="23">
        <v>1.100284</v>
      </c>
      <c r="CW62" s="23">
        <v>1.785377</v>
      </c>
      <c r="CX62" s="23">
        <v>1.4225399999999999</v>
      </c>
      <c r="CY62" s="23">
        <v>1.842293</v>
      </c>
    </row>
    <row r="63" spans="1:103" x14ac:dyDescent="0.3">
      <c r="A63" s="5">
        <v>2008</v>
      </c>
      <c r="B63" s="3">
        <v>304543</v>
      </c>
      <c r="C63" s="3">
        <v>14769862</v>
      </c>
      <c r="D63" s="2">
        <v>7.6826800000000004</v>
      </c>
      <c r="E63" s="2">
        <v>7.7017800000000003</v>
      </c>
      <c r="F63" s="3">
        <v>10050083</v>
      </c>
      <c r="G63" s="3">
        <v>2477613</v>
      </c>
      <c r="H63" s="3">
        <v>2353440</v>
      </c>
      <c r="I63" s="3">
        <v>629595</v>
      </c>
      <c r="J63" s="3">
        <v>-740870</v>
      </c>
      <c r="K63" s="3">
        <v>14363465</v>
      </c>
      <c r="L63" s="3">
        <v>3223177.8</v>
      </c>
      <c r="M63" s="3">
        <v>11140288</v>
      </c>
      <c r="N63" s="2">
        <v>8.1826399999999992</v>
      </c>
      <c r="O63" s="2">
        <v>5.7639199999999997</v>
      </c>
      <c r="P63" s="2">
        <v>9.6849000000000007</v>
      </c>
      <c r="Q63" s="3">
        <v>1590288</v>
      </c>
      <c r="R63" s="3">
        <v>1591032</v>
      </c>
      <c r="S63" s="3">
        <v>1546162</v>
      </c>
      <c r="T63" s="3">
        <v>9635983</v>
      </c>
      <c r="U63" s="3">
        <v>8103027</v>
      </c>
      <c r="V63" s="3">
        <v>1707546.4</v>
      </c>
      <c r="W63" s="3">
        <v>6395480.5</v>
      </c>
      <c r="X63" s="2">
        <v>0.56755</v>
      </c>
      <c r="Y63" s="2">
        <v>7.1900899999999996</v>
      </c>
      <c r="Z63" s="2">
        <v>5.5270700000000001</v>
      </c>
      <c r="AA63" s="2">
        <v>8.0460399999999996</v>
      </c>
      <c r="AB63" s="2">
        <v>11.99663</v>
      </c>
      <c r="AC63" s="2">
        <v>8.2383100000000002</v>
      </c>
      <c r="AD63" s="2">
        <v>13.501519999999999</v>
      </c>
      <c r="AE63" s="2">
        <v>2.54284</v>
      </c>
      <c r="AF63" s="2">
        <v>1.39537</v>
      </c>
      <c r="AG63" s="2">
        <v>3.4771200000000002</v>
      </c>
      <c r="AH63" s="2">
        <v>0.53044999999999998</v>
      </c>
      <c r="AI63" s="2">
        <v>0.57843</v>
      </c>
      <c r="AJ63" s="3">
        <v>11227015</v>
      </c>
      <c r="AK63" s="3">
        <v>2389820</v>
      </c>
      <c r="AL63" s="3">
        <v>8837195</v>
      </c>
      <c r="AM63" s="2">
        <v>6.9397399999999996</v>
      </c>
      <c r="AN63" s="2">
        <v>8.1277799999999996</v>
      </c>
      <c r="AO63" s="2">
        <v>6.3066300000000002</v>
      </c>
      <c r="AP63" s="2">
        <v>3.6022699999999999</v>
      </c>
      <c r="AQ63" s="2">
        <v>7.5238800000000001</v>
      </c>
      <c r="AR63" s="2">
        <v>12.51524</v>
      </c>
      <c r="AS63" s="3">
        <v>3136450</v>
      </c>
      <c r="AT63" s="2">
        <v>11.26839</v>
      </c>
      <c r="AU63" s="2">
        <v>6.4182600000000001</v>
      </c>
      <c r="AV63" s="22"/>
      <c r="AW63" s="23">
        <v>0.5070344</v>
      </c>
      <c r="AX63" s="23">
        <v>0.4929656</v>
      </c>
      <c r="AY63" s="23">
        <v>0.1417146</v>
      </c>
      <c r="AZ63" s="23">
        <v>0.85828539999999998</v>
      </c>
      <c r="BA63" s="23">
        <v>36.865119999999997</v>
      </c>
      <c r="BB63" s="23">
        <v>0.52198330000000004</v>
      </c>
      <c r="BC63" s="23">
        <v>0.47801670000000002</v>
      </c>
      <c r="BD63" s="23">
        <v>0.64724230000000005</v>
      </c>
      <c r="BE63" s="23">
        <v>0</v>
      </c>
      <c r="BF63" s="23">
        <v>7.8241829999999997</v>
      </c>
      <c r="BG63" s="23">
        <v>7.8241839999999998</v>
      </c>
      <c r="BH63" s="23">
        <v>1</v>
      </c>
      <c r="BI63" s="23">
        <v>0.83056479999999999</v>
      </c>
      <c r="BJ63" s="23">
        <v>0.1964495</v>
      </c>
      <c r="BK63" s="23">
        <v>0.80355049999999995</v>
      </c>
      <c r="BL63" s="23">
        <v>0.29117480000000001</v>
      </c>
      <c r="BM63" s="23">
        <v>3.9300000000000004E-15</v>
      </c>
      <c r="BN63" s="23">
        <v>6.5455550000000002</v>
      </c>
      <c r="BO63" s="23">
        <v>6.5455550000000002</v>
      </c>
      <c r="BP63" s="23">
        <v>1</v>
      </c>
      <c r="BQ63" s="23">
        <v>0.44890160000000001</v>
      </c>
      <c r="BR63" s="23">
        <v>0.1469742</v>
      </c>
      <c r="BS63" s="23">
        <v>0.85302579999999995</v>
      </c>
      <c r="BT63" s="23">
        <v>0.55497370000000001</v>
      </c>
      <c r="BU63" s="23">
        <v>0.69686530000000002</v>
      </c>
      <c r="BV63" s="23">
        <v>0.44306980000000001</v>
      </c>
      <c r="BW63" s="23">
        <v>3.8682029999999998</v>
      </c>
      <c r="BX63" s="23">
        <v>7.8009089999999999</v>
      </c>
      <c r="BY63" s="23">
        <v>2.0166750000000002</v>
      </c>
      <c r="BZ63" s="23">
        <v>0</v>
      </c>
      <c r="CA63" s="23">
        <v>0.50859489999999996</v>
      </c>
      <c r="CB63" s="23">
        <v>0.49140509999999998</v>
      </c>
      <c r="CC63" s="23">
        <v>0.1422274</v>
      </c>
      <c r="CD63" s="23">
        <v>0.8577726</v>
      </c>
      <c r="CE63" s="23">
        <v>9.9503629999999994</v>
      </c>
      <c r="CF63" s="23">
        <v>10.20824</v>
      </c>
      <c r="CG63" s="23">
        <v>3.8428620000000002</v>
      </c>
      <c r="CH63" s="23">
        <v>7.7164320000000002</v>
      </c>
      <c r="CI63" s="23">
        <v>1.680261</v>
      </c>
      <c r="CJ63" s="23">
        <v>1.508961</v>
      </c>
      <c r="CK63" s="23">
        <v>0.89805109999999999</v>
      </c>
      <c r="CL63" s="23">
        <v>1.2663530000000001</v>
      </c>
      <c r="CM63" s="23">
        <v>0.56350199999999995</v>
      </c>
      <c r="CN63" s="23">
        <v>0.60514999999999997</v>
      </c>
      <c r="CO63" s="23">
        <v>0.53786230000000002</v>
      </c>
      <c r="CP63" s="23">
        <v>-1.49979E-2</v>
      </c>
      <c r="CQ63" s="23">
        <v>-3.2708000000000001E-2</v>
      </c>
      <c r="CR63" s="23">
        <v>-9.5396999999999999E-3</v>
      </c>
      <c r="CS63" s="23">
        <v>1.4365749999999999</v>
      </c>
      <c r="CT63" s="23">
        <v>1.8247409999999999</v>
      </c>
      <c r="CU63" s="23">
        <v>1.279952</v>
      </c>
      <c r="CV63" s="23">
        <v>1.1135060000000001</v>
      </c>
      <c r="CW63" s="23">
        <v>1.7666120000000001</v>
      </c>
      <c r="CX63" s="23">
        <v>1.401815</v>
      </c>
      <c r="CY63" s="23">
        <v>1.8314889999999999</v>
      </c>
    </row>
    <row r="64" spans="1:103" x14ac:dyDescent="0.3">
      <c r="A64" s="5">
        <v>2009</v>
      </c>
      <c r="B64" s="3">
        <v>307240</v>
      </c>
      <c r="C64" s="3">
        <v>14478067</v>
      </c>
      <c r="D64" s="2">
        <v>7.4829600000000003</v>
      </c>
      <c r="E64" s="2">
        <v>7.7511299999999999</v>
      </c>
      <c r="F64" s="3">
        <v>9891218</v>
      </c>
      <c r="G64" s="3">
        <v>1929664</v>
      </c>
      <c r="H64" s="3">
        <v>2433429</v>
      </c>
      <c r="I64" s="3">
        <v>642909</v>
      </c>
      <c r="J64" s="3">
        <v>-419153</v>
      </c>
      <c r="K64" s="3">
        <v>14068688</v>
      </c>
      <c r="L64" s="3">
        <v>2943969.8</v>
      </c>
      <c r="M64" s="3">
        <v>11124718</v>
      </c>
      <c r="N64" s="2">
        <v>8.2320700000000002</v>
      </c>
      <c r="O64" s="2">
        <v>5.5774499999999998</v>
      </c>
      <c r="P64" s="2">
        <v>9.8488600000000002</v>
      </c>
      <c r="Q64" s="3">
        <v>1314715</v>
      </c>
      <c r="R64" s="3">
        <v>1564676</v>
      </c>
      <c r="S64" s="3">
        <v>1408629</v>
      </c>
      <c r="T64" s="3">
        <v>9780668</v>
      </c>
      <c r="U64" s="3">
        <v>7824084.5</v>
      </c>
      <c r="V64" s="3">
        <v>1506983.4</v>
      </c>
      <c r="W64" s="3">
        <v>6317101.5</v>
      </c>
      <c r="X64" s="2">
        <v>0.56013999999999997</v>
      </c>
      <c r="Y64" s="2">
        <v>7.0002399999999998</v>
      </c>
      <c r="Z64" s="2">
        <v>5.2170699999999997</v>
      </c>
      <c r="AA64" s="2">
        <v>7.9010300000000004</v>
      </c>
      <c r="AB64" s="2">
        <v>12.125389999999999</v>
      </c>
      <c r="AC64" s="2">
        <v>8.3436000000000003</v>
      </c>
      <c r="AD64" s="2">
        <v>13.637879999999999</v>
      </c>
      <c r="AE64" s="2">
        <v>2.4314399999999998</v>
      </c>
      <c r="AF64" s="2">
        <v>1.2373700000000001</v>
      </c>
      <c r="AG64" s="2">
        <v>3.3887</v>
      </c>
      <c r="AH64" s="2">
        <v>0.52083000000000002</v>
      </c>
      <c r="AI64" s="2">
        <v>0.57096000000000002</v>
      </c>
      <c r="AJ64" s="3">
        <v>11345344</v>
      </c>
      <c r="AK64" s="3">
        <v>2411510</v>
      </c>
      <c r="AL64" s="3">
        <v>8933834</v>
      </c>
      <c r="AM64" s="2">
        <v>6.9433699999999998</v>
      </c>
      <c r="AN64" s="2">
        <v>8.20824</v>
      </c>
      <c r="AO64" s="2">
        <v>6.4555699999999998</v>
      </c>
      <c r="AP64" s="2">
        <v>3.55071</v>
      </c>
      <c r="AQ64" s="2">
        <v>7.5796000000000001</v>
      </c>
      <c r="AR64" s="2">
        <v>12.557689999999999</v>
      </c>
      <c r="AS64" s="3">
        <v>2723344</v>
      </c>
      <c r="AT64" s="2">
        <v>9.8573000000000004</v>
      </c>
      <c r="AU64" s="2">
        <v>6.3706699999999996</v>
      </c>
      <c r="AV64" s="22"/>
      <c r="AW64" s="23">
        <v>0.48275760000000001</v>
      </c>
      <c r="AX64" s="23">
        <v>0.51724239999999999</v>
      </c>
      <c r="AY64" s="23">
        <v>0.13791349999999999</v>
      </c>
      <c r="AZ64" s="23">
        <v>0.86208649999999998</v>
      </c>
      <c r="BA64" s="23">
        <v>36.926650000000002</v>
      </c>
      <c r="BB64" s="23">
        <v>0.50957770000000002</v>
      </c>
      <c r="BC64" s="23">
        <v>0.49042229999999998</v>
      </c>
      <c r="BD64" s="23">
        <v>0.64724230000000005</v>
      </c>
      <c r="BE64" s="23">
        <v>0</v>
      </c>
      <c r="BF64" s="23">
        <v>7.976801</v>
      </c>
      <c r="BG64" s="23">
        <v>7.976801</v>
      </c>
      <c r="BH64" s="23">
        <v>1</v>
      </c>
      <c r="BI64" s="23">
        <v>0.83056479999999999</v>
      </c>
      <c r="BJ64" s="23">
        <v>0.18872610000000001</v>
      </c>
      <c r="BK64" s="23">
        <v>0.81127389999999999</v>
      </c>
      <c r="BL64" s="23">
        <v>0.29117480000000001</v>
      </c>
      <c r="BM64" s="23">
        <v>3.9300000000000004E-15</v>
      </c>
      <c r="BN64" s="23">
        <v>6.5669459999999997</v>
      </c>
      <c r="BO64" s="23">
        <v>6.5669459999999997</v>
      </c>
      <c r="BP64" s="23">
        <v>0.99999990000000005</v>
      </c>
      <c r="BQ64" s="23">
        <v>0.44890160000000001</v>
      </c>
      <c r="BR64" s="23">
        <v>0.14316989999999999</v>
      </c>
      <c r="BS64" s="23">
        <v>0.85683010000000004</v>
      </c>
      <c r="BT64" s="23">
        <v>0.55497370000000001</v>
      </c>
      <c r="BU64" s="23">
        <v>0.69686530000000002</v>
      </c>
      <c r="BV64" s="23">
        <v>0.44306980000000001</v>
      </c>
      <c r="BW64" s="23">
        <v>3.9350999999999998</v>
      </c>
      <c r="BX64" s="23">
        <v>7.7864659999999999</v>
      </c>
      <c r="BY64" s="23">
        <v>1.978721</v>
      </c>
      <c r="BZ64" s="23">
        <v>0</v>
      </c>
      <c r="CA64" s="23">
        <v>0.494896</v>
      </c>
      <c r="CB64" s="23">
        <v>0.505104</v>
      </c>
      <c r="CC64" s="23">
        <v>0.13981399999999999</v>
      </c>
      <c r="CD64" s="23">
        <v>0.86018600000000001</v>
      </c>
      <c r="CE64" s="23">
        <v>8.5011430000000008</v>
      </c>
      <c r="CF64" s="23">
        <v>9.1453790000000001</v>
      </c>
      <c r="CG64" s="23">
        <v>3.9055559999999998</v>
      </c>
      <c r="CH64" s="23">
        <v>7.7019070000000003</v>
      </c>
      <c r="CI64" s="23">
        <v>1.765835</v>
      </c>
      <c r="CJ64" s="23">
        <v>1.5459700000000001</v>
      </c>
      <c r="CK64" s="23">
        <v>0.87548919999999997</v>
      </c>
      <c r="CL64" s="23">
        <v>1.288443</v>
      </c>
      <c r="CM64" s="23">
        <v>0.56350199999999995</v>
      </c>
      <c r="CN64" s="23">
        <v>0.60514999999999997</v>
      </c>
      <c r="CO64" s="23">
        <v>0.53786230000000002</v>
      </c>
      <c r="CP64" s="23">
        <v>-6.1739999999999998E-3</v>
      </c>
      <c r="CQ64" s="23">
        <v>4.4508999999999998E-3</v>
      </c>
      <c r="CR64" s="23">
        <v>-8.0573999999999993E-3</v>
      </c>
      <c r="CS64" s="23">
        <v>1.4277329999999999</v>
      </c>
      <c r="CT64" s="23">
        <v>1.8328800000000001</v>
      </c>
      <c r="CU64" s="23">
        <v>1.2696810000000001</v>
      </c>
      <c r="CV64" s="23">
        <v>1.1131120000000001</v>
      </c>
      <c r="CW64" s="23">
        <v>1.7641560000000001</v>
      </c>
      <c r="CX64" s="23">
        <v>1.3944430000000001</v>
      </c>
      <c r="CY64" s="23">
        <v>1.8448910000000001</v>
      </c>
    </row>
    <row r="65" spans="1:103" x14ac:dyDescent="0.3">
      <c r="A65" s="5">
        <v>2010</v>
      </c>
      <c r="B65" s="3">
        <v>309839</v>
      </c>
      <c r="C65" s="3">
        <v>15048970</v>
      </c>
      <c r="D65" s="2">
        <v>7.6856400000000002</v>
      </c>
      <c r="E65" s="2">
        <v>7.8442999999999996</v>
      </c>
      <c r="F65" s="3">
        <v>10260256</v>
      </c>
      <c r="G65" s="3">
        <v>2165473</v>
      </c>
      <c r="H65" s="3">
        <v>2511046</v>
      </c>
      <c r="I65" s="3">
        <v>644504</v>
      </c>
      <c r="J65" s="3">
        <v>-532309</v>
      </c>
      <c r="K65" s="3">
        <v>14610398</v>
      </c>
      <c r="L65" s="3">
        <v>3091774</v>
      </c>
      <c r="M65" s="3">
        <v>11518625</v>
      </c>
      <c r="N65" s="2">
        <v>8.3588299999999993</v>
      </c>
      <c r="O65" s="2">
        <v>5.71394</v>
      </c>
      <c r="P65" s="2">
        <v>9.9768399999999993</v>
      </c>
      <c r="Q65" s="3">
        <v>1318422</v>
      </c>
      <c r="R65" s="3">
        <v>1680574</v>
      </c>
      <c r="S65" s="3">
        <v>1437637</v>
      </c>
      <c r="T65" s="3">
        <v>10173765</v>
      </c>
      <c r="U65" s="3">
        <v>7872716</v>
      </c>
      <c r="V65" s="3">
        <v>1529352.5</v>
      </c>
      <c r="W65" s="3">
        <v>6343363.5</v>
      </c>
      <c r="X65" s="2">
        <v>0.54749000000000003</v>
      </c>
      <c r="Y65" s="2">
        <v>7.1595300000000002</v>
      </c>
      <c r="Z65" s="2">
        <v>5.3481199999999998</v>
      </c>
      <c r="AA65" s="2">
        <v>8.0758500000000009</v>
      </c>
      <c r="AB65" s="2">
        <v>12.15888</v>
      </c>
      <c r="AC65" s="2">
        <v>8.3235899999999994</v>
      </c>
      <c r="AD65" s="2">
        <v>13.696770000000001</v>
      </c>
      <c r="AE65" s="2">
        <v>2.43174</v>
      </c>
      <c r="AF65" s="2">
        <v>1.22373</v>
      </c>
      <c r="AG65" s="2">
        <v>3.3982299999999999</v>
      </c>
      <c r="AH65" s="2">
        <v>0.50327</v>
      </c>
      <c r="AI65" s="2">
        <v>0.55927000000000004</v>
      </c>
      <c r="AJ65" s="3">
        <v>11854339</v>
      </c>
      <c r="AK65" s="3">
        <v>2601376</v>
      </c>
      <c r="AL65" s="3">
        <v>9252963</v>
      </c>
      <c r="AM65" s="2">
        <v>7.1389899999999997</v>
      </c>
      <c r="AN65" s="2">
        <v>8.3488399999999992</v>
      </c>
      <c r="AO65" s="2">
        <v>6.4620199999999999</v>
      </c>
      <c r="AP65" s="2">
        <v>3.8298199999999998</v>
      </c>
      <c r="AQ65" s="2">
        <v>7.68065</v>
      </c>
      <c r="AR65" s="2">
        <v>12.84648</v>
      </c>
      <c r="AS65" s="3">
        <v>2756059</v>
      </c>
      <c r="AT65" s="2">
        <v>10.07737</v>
      </c>
      <c r="AU65" s="2">
        <v>6.3064</v>
      </c>
      <c r="AV65" s="22"/>
      <c r="AW65" s="23">
        <v>0.47837220000000003</v>
      </c>
      <c r="AX65" s="23">
        <v>0.52162779999999997</v>
      </c>
      <c r="AY65" s="23">
        <v>0.1417687</v>
      </c>
      <c r="AZ65" s="23">
        <v>0.85823130000000003</v>
      </c>
      <c r="BA65" s="23">
        <v>38.25967</v>
      </c>
      <c r="BB65" s="23">
        <v>0.51239279999999998</v>
      </c>
      <c r="BC65" s="23">
        <v>0.48760720000000002</v>
      </c>
      <c r="BD65" s="23">
        <v>0.64724230000000005</v>
      </c>
      <c r="BE65" s="23">
        <v>0</v>
      </c>
      <c r="BF65" s="23">
        <v>8.1805269999999997</v>
      </c>
      <c r="BG65" s="23">
        <v>8.1805269999999997</v>
      </c>
      <c r="BH65" s="23">
        <v>1</v>
      </c>
      <c r="BI65" s="23">
        <v>0.83056479999999999</v>
      </c>
      <c r="BJ65" s="23">
        <v>0.19045709999999999</v>
      </c>
      <c r="BK65" s="23">
        <v>0.80954289999999995</v>
      </c>
      <c r="BL65" s="23">
        <v>0.29117480000000001</v>
      </c>
      <c r="BM65" s="23">
        <v>3.9300000000000004E-15</v>
      </c>
      <c r="BN65" s="23">
        <v>6.759093</v>
      </c>
      <c r="BO65" s="23">
        <v>6.759093</v>
      </c>
      <c r="BP65" s="23">
        <v>0.99999990000000005</v>
      </c>
      <c r="BQ65" s="23">
        <v>0.44890160000000001</v>
      </c>
      <c r="BR65" s="23">
        <v>0.14250360000000001</v>
      </c>
      <c r="BS65" s="23">
        <v>0.85749640000000005</v>
      </c>
      <c r="BT65" s="23">
        <v>0.55497370000000001</v>
      </c>
      <c r="BU65" s="23">
        <v>0.69686530000000002</v>
      </c>
      <c r="BV65" s="23">
        <v>0.44306980000000001</v>
      </c>
      <c r="BW65" s="23">
        <v>3.9947499999999998</v>
      </c>
      <c r="BX65" s="23">
        <v>8.0376779999999997</v>
      </c>
      <c r="BY65" s="23">
        <v>2.01206</v>
      </c>
      <c r="BZ65" s="23">
        <v>0</v>
      </c>
      <c r="CA65" s="23">
        <v>0.48056490000000002</v>
      </c>
      <c r="CB65" s="23">
        <v>0.51943510000000004</v>
      </c>
      <c r="CC65" s="23">
        <v>0.1398411</v>
      </c>
      <c r="CD65" s="23">
        <v>0.86015889999999995</v>
      </c>
      <c r="CE65" s="23">
        <v>8.3214760000000005</v>
      </c>
      <c r="CF65" s="23">
        <v>9.2139810000000004</v>
      </c>
      <c r="CG65" s="23">
        <v>4.0946449999999999</v>
      </c>
      <c r="CH65" s="23">
        <v>7.9086869999999996</v>
      </c>
      <c r="CI65" s="23">
        <v>1.7460530000000001</v>
      </c>
      <c r="CJ65" s="23">
        <v>1.582017</v>
      </c>
      <c r="CK65" s="23">
        <v>0.90605340000000001</v>
      </c>
      <c r="CL65" s="23">
        <v>1.323866</v>
      </c>
      <c r="CM65" s="23">
        <v>0.56350199999999995</v>
      </c>
      <c r="CN65" s="23">
        <v>0.60514999999999997</v>
      </c>
      <c r="CO65" s="23">
        <v>0.53786230000000002</v>
      </c>
      <c r="CP65" s="23">
        <v>2.1228E-2</v>
      </c>
      <c r="CQ65" s="23">
        <v>3.2105799999999997E-2</v>
      </c>
      <c r="CR65" s="23">
        <v>1.8421099999999999E-2</v>
      </c>
      <c r="CS65" s="23">
        <v>1.4583649999999999</v>
      </c>
      <c r="CT65" s="23">
        <v>1.8926810000000001</v>
      </c>
      <c r="CU65" s="23">
        <v>1.2932859999999999</v>
      </c>
      <c r="CV65" s="23">
        <v>1.145251</v>
      </c>
      <c r="CW65" s="23">
        <v>1.8630089999999999</v>
      </c>
      <c r="CX65" s="23">
        <v>1.424658</v>
      </c>
      <c r="CY65" s="23">
        <v>1.9329909999999999</v>
      </c>
    </row>
    <row r="66" spans="1:103" x14ac:dyDescent="0.3">
      <c r="A66" s="5">
        <v>2011</v>
      </c>
      <c r="B66" s="3">
        <v>312295</v>
      </c>
      <c r="C66" s="3">
        <v>15599731</v>
      </c>
      <c r="D66" s="2">
        <v>7.8047399999999998</v>
      </c>
      <c r="E66" s="2">
        <v>8.0073000000000008</v>
      </c>
      <c r="F66" s="3">
        <v>10698857</v>
      </c>
      <c r="G66" s="3">
        <v>2332562</v>
      </c>
      <c r="H66" s="3">
        <v>2511311</v>
      </c>
      <c r="I66" s="3">
        <v>636618</v>
      </c>
      <c r="J66" s="3">
        <v>-579617</v>
      </c>
      <c r="K66" s="3">
        <v>15148135</v>
      </c>
      <c r="L66" s="3">
        <v>3275636.5</v>
      </c>
      <c r="M66" s="3">
        <v>11872498</v>
      </c>
      <c r="N66" s="2">
        <v>8.5303900000000006</v>
      </c>
      <c r="O66" s="2">
        <v>6.0097899999999997</v>
      </c>
      <c r="P66" s="2">
        <v>10.098369999999999</v>
      </c>
      <c r="Q66" s="3">
        <v>1393221</v>
      </c>
      <c r="R66" s="3">
        <v>1766460</v>
      </c>
      <c r="S66" s="3">
        <v>1529698</v>
      </c>
      <c r="T66" s="3">
        <v>10458756</v>
      </c>
      <c r="U66" s="3">
        <v>8269258</v>
      </c>
      <c r="V66" s="3">
        <v>1583466.9</v>
      </c>
      <c r="W66" s="3">
        <v>6685791</v>
      </c>
      <c r="X66" s="2">
        <v>0.54237000000000002</v>
      </c>
      <c r="Y66" s="2">
        <v>7.2737499999999997</v>
      </c>
      <c r="Z66" s="2">
        <v>5.3872299999999997</v>
      </c>
      <c r="AA66" s="2">
        <v>8.2237799999999996</v>
      </c>
      <c r="AB66" s="2">
        <v>12.27711</v>
      </c>
      <c r="AC66" s="2">
        <v>8.4123099999999997</v>
      </c>
      <c r="AD66" s="2">
        <v>13.825939999999999</v>
      </c>
      <c r="AE66" s="2">
        <v>2.4856699999999998</v>
      </c>
      <c r="AF66" s="2">
        <v>1.2480500000000001</v>
      </c>
      <c r="AG66" s="2">
        <v>3.4754700000000001</v>
      </c>
      <c r="AH66" s="2">
        <v>0.48903000000000002</v>
      </c>
      <c r="AI66" s="2">
        <v>0.55691999999999997</v>
      </c>
      <c r="AJ66" s="3">
        <v>12225216</v>
      </c>
      <c r="AK66" s="3">
        <v>2701900</v>
      </c>
      <c r="AL66" s="3">
        <v>9523316</v>
      </c>
      <c r="AM66" s="2">
        <v>7.2013699999999998</v>
      </c>
      <c r="AN66" s="2">
        <v>8.5349900000000005</v>
      </c>
      <c r="AO66" s="2">
        <v>6.6076199999999998</v>
      </c>
      <c r="AP66" s="2">
        <v>3.8899400000000002</v>
      </c>
      <c r="AQ66" s="2">
        <v>7.7251099999999999</v>
      </c>
      <c r="AR66" s="2">
        <v>13.145</v>
      </c>
      <c r="AS66" s="3">
        <v>2922919</v>
      </c>
      <c r="AT66" s="2">
        <v>10.53857</v>
      </c>
      <c r="AU66" s="2">
        <v>6.3955200000000003</v>
      </c>
      <c r="AV66" s="22"/>
      <c r="AW66" s="23">
        <v>0.47665400000000002</v>
      </c>
      <c r="AX66" s="23">
        <v>0.52334599999999998</v>
      </c>
      <c r="AY66" s="23">
        <v>0.14449310000000001</v>
      </c>
      <c r="AZ66" s="23">
        <v>0.85550680000000001</v>
      </c>
      <c r="BA66" s="23">
        <v>39.146369999999997</v>
      </c>
      <c r="BB66" s="23">
        <v>0.52197479999999996</v>
      </c>
      <c r="BC66" s="23">
        <v>0.47802519999999998</v>
      </c>
      <c r="BD66" s="23">
        <v>0.64724230000000005</v>
      </c>
      <c r="BE66" s="23">
        <v>0</v>
      </c>
      <c r="BF66" s="23">
        <v>8.1711449999999992</v>
      </c>
      <c r="BG66" s="23">
        <v>8.1711460000000002</v>
      </c>
      <c r="BH66" s="23">
        <v>1</v>
      </c>
      <c r="BI66" s="23">
        <v>0.83056479999999999</v>
      </c>
      <c r="BJ66" s="23">
        <v>0.19644420000000001</v>
      </c>
      <c r="BK66" s="23">
        <v>0.80355580000000004</v>
      </c>
      <c r="BL66" s="23">
        <v>0.29117480000000001</v>
      </c>
      <c r="BM66" s="23">
        <v>3.9300000000000004E-15</v>
      </c>
      <c r="BN66" s="23">
        <v>6.8357409999999996</v>
      </c>
      <c r="BO66" s="23">
        <v>6.8357409999999996</v>
      </c>
      <c r="BP66" s="23">
        <v>1</v>
      </c>
      <c r="BQ66" s="23">
        <v>0.44890160000000001</v>
      </c>
      <c r="BR66" s="23">
        <v>0.1454908</v>
      </c>
      <c r="BS66" s="23">
        <v>0.85450919999999997</v>
      </c>
      <c r="BT66" s="23">
        <v>0.55497370000000001</v>
      </c>
      <c r="BU66" s="23">
        <v>0.69686530000000002</v>
      </c>
      <c r="BV66" s="23">
        <v>0.44306980000000001</v>
      </c>
      <c r="BW66" s="23">
        <v>3.9990299999999999</v>
      </c>
      <c r="BX66" s="23">
        <v>8.1608610000000006</v>
      </c>
      <c r="BY66" s="23">
        <v>2.0407099999999998</v>
      </c>
      <c r="BZ66" s="23">
        <v>0</v>
      </c>
      <c r="CA66" s="23">
        <v>0.47751310000000002</v>
      </c>
      <c r="CB66" s="23">
        <v>0.52248689999999998</v>
      </c>
      <c r="CC66" s="23">
        <v>0.14313090000000001</v>
      </c>
      <c r="CD66" s="23">
        <v>0.85686910000000005</v>
      </c>
      <c r="CE66" s="23">
        <v>8.3606859999999994</v>
      </c>
      <c r="CF66" s="23">
        <v>9.6860239999999997</v>
      </c>
      <c r="CG66" s="23">
        <v>4.0920259999999997</v>
      </c>
      <c r="CH66" s="23">
        <v>8.0323849999999997</v>
      </c>
      <c r="CI66" s="23">
        <v>1.6803189999999999</v>
      </c>
      <c r="CJ66" s="23">
        <v>1.5789759999999999</v>
      </c>
      <c r="CK66" s="23">
        <v>0.93968859999999999</v>
      </c>
      <c r="CL66" s="23">
        <v>1.334527</v>
      </c>
      <c r="CM66" s="23">
        <v>0.56350199999999995</v>
      </c>
      <c r="CN66" s="23">
        <v>0.60514999999999997</v>
      </c>
      <c r="CO66" s="23">
        <v>0.53786230000000002</v>
      </c>
      <c r="CP66" s="23">
        <v>-7.5719999999999997E-4</v>
      </c>
      <c r="CQ66" s="23">
        <v>-8.4332000000000001E-3</v>
      </c>
      <c r="CR66" s="23">
        <v>1.3909E-3</v>
      </c>
      <c r="CS66" s="23">
        <v>1.4572609999999999</v>
      </c>
      <c r="CT66" s="23">
        <v>1.876787</v>
      </c>
      <c r="CU66" s="23">
        <v>1.2950870000000001</v>
      </c>
      <c r="CV66" s="23">
        <v>1.164188</v>
      </c>
      <c r="CW66" s="23">
        <v>1.8860920000000001</v>
      </c>
      <c r="CX66" s="23">
        <v>1.4235599999999999</v>
      </c>
      <c r="CY66" s="23">
        <v>1.9437059999999999</v>
      </c>
    </row>
    <row r="67" spans="1:103" x14ac:dyDescent="0.3">
      <c r="A67" s="5">
        <v>2012</v>
      </c>
      <c r="B67" s="3">
        <v>314725</v>
      </c>
      <c r="C67" s="3">
        <v>16253970</v>
      </c>
      <c r="D67" s="2">
        <v>7.9827599999999999</v>
      </c>
      <c r="E67" s="2">
        <v>8.1570699999999992</v>
      </c>
      <c r="F67" s="3">
        <v>11047363</v>
      </c>
      <c r="G67" s="3">
        <v>2621754</v>
      </c>
      <c r="H67" s="3">
        <v>2515439</v>
      </c>
      <c r="I67" s="3">
        <v>621031</v>
      </c>
      <c r="J67" s="3">
        <v>-551617</v>
      </c>
      <c r="K67" s="3">
        <v>15765227</v>
      </c>
      <c r="L67" s="3">
        <v>3377712.3</v>
      </c>
      <c r="M67" s="3">
        <v>12387515</v>
      </c>
      <c r="N67" s="2">
        <v>8.7006399999999999</v>
      </c>
      <c r="O67" s="2">
        <v>6.1097400000000004</v>
      </c>
      <c r="P67" s="2">
        <v>10.309139999999999</v>
      </c>
      <c r="Q67" s="3">
        <v>1497761</v>
      </c>
      <c r="R67" s="3">
        <v>1741039</v>
      </c>
      <c r="S67" s="3">
        <v>1673812</v>
      </c>
      <c r="T67" s="3">
        <v>10852615</v>
      </c>
      <c r="U67" s="3">
        <v>8658893</v>
      </c>
      <c r="V67" s="3">
        <v>1640924.1</v>
      </c>
      <c r="W67" s="3">
        <v>7017969</v>
      </c>
      <c r="X67" s="2">
        <v>0.54757</v>
      </c>
      <c r="Y67" s="2">
        <v>7.4219400000000002</v>
      </c>
      <c r="Z67" s="2">
        <v>5.4642299999999997</v>
      </c>
      <c r="AA67" s="2">
        <v>8.4050899999999995</v>
      </c>
      <c r="AB67" s="2">
        <v>12.420249999999999</v>
      </c>
      <c r="AC67" s="2">
        <v>8.5398499999999995</v>
      </c>
      <c r="AD67" s="2">
        <v>13.971439999999999</v>
      </c>
      <c r="AE67" s="2">
        <v>2.5379399999999999</v>
      </c>
      <c r="AF67" s="2">
        <v>1.28234</v>
      </c>
      <c r="AG67" s="2">
        <v>3.54331</v>
      </c>
      <c r="AH67" s="2">
        <v>0.48460999999999999</v>
      </c>
      <c r="AI67" s="2">
        <v>0.56483000000000005</v>
      </c>
      <c r="AJ67" s="3">
        <v>12593654</v>
      </c>
      <c r="AK67" s="3">
        <v>2835251</v>
      </c>
      <c r="AL67" s="3">
        <v>9758403</v>
      </c>
      <c r="AM67" s="2">
        <v>7.2895899999999996</v>
      </c>
      <c r="AN67" s="2">
        <v>8.7014700000000005</v>
      </c>
      <c r="AO67" s="2">
        <v>6.7844300000000004</v>
      </c>
      <c r="AP67" s="2">
        <v>3.98272</v>
      </c>
      <c r="AQ67" s="2">
        <v>7.7681899999999997</v>
      </c>
      <c r="AR67" s="2">
        <v>13.418950000000001</v>
      </c>
      <c r="AS67" s="3">
        <v>3171573</v>
      </c>
      <c r="AT67" s="2">
        <v>11.26253</v>
      </c>
      <c r="AU67" s="2">
        <v>6.4935099999999997</v>
      </c>
      <c r="AV67" s="22"/>
      <c r="AW67" s="23">
        <v>0.47224549999999998</v>
      </c>
      <c r="AX67" s="23">
        <v>0.52775450000000002</v>
      </c>
      <c r="AY67" s="23">
        <v>0.13824729999999999</v>
      </c>
      <c r="AZ67" s="23">
        <v>0.86175270000000004</v>
      </c>
      <c r="BA67" s="23">
        <v>40.014789999999998</v>
      </c>
      <c r="BB67" s="23">
        <v>0.52093560000000005</v>
      </c>
      <c r="BC67" s="23">
        <v>0.4790644</v>
      </c>
      <c r="BD67" s="23">
        <v>0.64724230000000005</v>
      </c>
      <c r="BE67" s="23">
        <v>0</v>
      </c>
      <c r="BF67" s="23">
        <v>8.2632290000000008</v>
      </c>
      <c r="BG67" s="23">
        <v>8.2632300000000001</v>
      </c>
      <c r="BH67" s="23">
        <v>1</v>
      </c>
      <c r="BI67" s="23">
        <v>0.83056479999999999</v>
      </c>
      <c r="BJ67" s="23">
        <v>0.19578760000000001</v>
      </c>
      <c r="BK67" s="23">
        <v>0.80421240000000005</v>
      </c>
      <c r="BL67" s="23">
        <v>0.29117480000000001</v>
      </c>
      <c r="BM67" s="23">
        <v>3.9300000000000004E-15</v>
      </c>
      <c r="BN67" s="23">
        <v>6.903416</v>
      </c>
      <c r="BO67" s="23">
        <v>6.9034170000000001</v>
      </c>
      <c r="BP67" s="23">
        <v>1</v>
      </c>
      <c r="BQ67" s="23">
        <v>0.44890160000000001</v>
      </c>
      <c r="BR67" s="23">
        <v>0.14496590000000001</v>
      </c>
      <c r="BS67" s="23">
        <v>0.85503410000000002</v>
      </c>
      <c r="BT67" s="23">
        <v>0.55497370000000001</v>
      </c>
      <c r="BU67" s="23">
        <v>0.69686530000000002</v>
      </c>
      <c r="BV67" s="23">
        <v>0.44306980000000001</v>
      </c>
      <c r="BW67" s="23">
        <v>4.0375439999999996</v>
      </c>
      <c r="BX67" s="23">
        <v>8.239986</v>
      </c>
      <c r="BY67" s="23">
        <v>2.0408409999999999</v>
      </c>
      <c r="BZ67" s="23">
        <v>0</v>
      </c>
      <c r="CA67" s="23">
        <v>0.47444969999999997</v>
      </c>
      <c r="CB67" s="23">
        <v>0.52555019999999997</v>
      </c>
      <c r="CC67" s="23">
        <v>0.1413702</v>
      </c>
      <c r="CD67" s="23">
        <v>0.8586298</v>
      </c>
      <c r="CE67" s="23">
        <v>8.8410030000000006</v>
      </c>
      <c r="CF67" s="23">
        <v>10.38186</v>
      </c>
      <c r="CG67" s="23">
        <v>3.9671650000000001</v>
      </c>
      <c r="CH67" s="23">
        <v>8.1644590000000008</v>
      </c>
      <c r="CI67" s="23">
        <v>1.6873309999999999</v>
      </c>
      <c r="CJ67" s="23">
        <v>1.5876079999999999</v>
      </c>
      <c r="CK67" s="23">
        <v>0.94089909999999999</v>
      </c>
      <c r="CL67" s="23">
        <v>1.3400259999999999</v>
      </c>
      <c r="CM67" s="23">
        <v>0.56350199999999995</v>
      </c>
      <c r="CN67" s="23">
        <v>0.60514999999999997</v>
      </c>
      <c r="CO67" s="23">
        <v>0.53786230000000002</v>
      </c>
      <c r="CP67" s="23">
        <v>3.3800000000000002E-3</v>
      </c>
      <c r="CQ67" s="23">
        <v>-7.6471999999999998E-3</v>
      </c>
      <c r="CR67" s="23">
        <v>6.3429000000000003E-3</v>
      </c>
      <c r="CS67" s="23">
        <v>1.4621949999999999</v>
      </c>
      <c r="CT67" s="23">
        <v>1.86249</v>
      </c>
      <c r="CU67" s="23">
        <v>1.3033269999999999</v>
      </c>
      <c r="CV67" s="23">
        <v>1.168242</v>
      </c>
      <c r="CW67" s="23">
        <v>1.8898269999999999</v>
      </c>
      <c r="CX67" s="23">
        <v>1.4281740000000001</v>
      </c>
      <c r="CY67" s="23">
        <v>1.9591909999999999</v>
      </c>
    </row>
    <row r="68" spans="1:103" x14ac:dyDescent="0.3">
      <c r="A68" s="5">
        <v>2013</v>
      </c>
      <c r="B68" s="3">
        <v>317099</v>
      </c>
      <c r="C68" s="3">
        <v>16843196</v>
      </c>
      <c r="D68" s="2">
        <v>8.1297999999999995</v>
      </c>
      <c r="E68" s="2">
        <v>8.2998899999999995</v>
      </c>
      <c r="F68" s="3">
        <v>11363528</v>
      </c>
      <c r="G68" s="3">
        <v>2826013</v>
      </c>
      <c r="H68" s="3">
        <v>2532646</v>
      </c>
      <c r="I68" s="3">
        <v>600403</v>
      </c>
      <c r="J68" s="3">
        <v>-479394</v>
      </c>
      <c r="K68" s="3">
        <v>16280440</v>
      </c>
      <c r="L68" s="3">
        <v>3547686</v>
      </c>
      <c r="M68" s="3">
        <v>12732754</v>
      </c>
      <c r="N68" s="2">
        <v>8.8285599999999995</v>
      </c>
      <c r="O68" s="2">
        <v>6.2108400000000001</v>
      </c>
      <c r="P68" s="2">
        <v>10.455489999999999</v>
      </c>
      <c r="Q68" s="3">
        <v>1568309</v>
      </c>
      <c r="R68" s="3">
        <v>1828433</v>
      </c>
      <c r="S68" s="3">
        <v>1753577</v>
      </c>
      <c r="T68" s="3">
        <v>11130121</v>
      </c>
      <c r="U68" s="3">
        <v>8849509</v>
      </c>
      <c r="V68" s="3">
        <v>1676683.9</v>
      </c>
      <c r="W68" s="3">
        <v>7172825</v>
      </c>
      <c r="X68" s="2">
        <v>0.5464</v>
      </c>
      <c r="Y68" s="2">
        <v>7.5534299999999996</v>
      </c>
      <c r="Z68" s="2">
        <v>5.6457699999999997</v>
      </c>
      <c r="AA68" s="2">
        <v>8.5184200000000008</v>
      </c>
      <c r="AB68" s="2">
        <v>12.610139999999999</v>
      </c>
      <c r="AC68" s="2">
        <v>8.7107700000000001</v>
      </c>
      <c r="AD68" s="2">
        <v>14.16333</v>
      </c>
      <c r="AE68" s="2">
        <v>2.59077</v>
      </c>
      <c r="AF68" s="2">
        <v>1.3157300000000001</v>
      </c>
      <c r="AG68" s="2">
        <v>3.6127400000000001</v>
      </c>
      <c r="AH68" s="2">
        <v>0.47921000000000002</v>
      </c>
      <c r="AI68" s="2">
        <v>0.56494</v>
      </c>
      <c r="AJ68" s="3">
        <v>12958554</v>
      </c>
      <c r="AK68" s="3">
        <v>2975271</v>
      </c>
      <c r="AL68" s="3">
        <v>9983283</v>
      </c>
      <c r="AM68" s="2">
        <v>7.3934699999999998</v>
      </c>
      <c r="AN68" s="2">
        <v>8.8670399999999994</v>
      </c>
      <c r="AO68" s="2">
        <v>7.0514799999999997</v>
      </c>
      <c r="AP68" s="2">
        <v>4.0389999999999997</v>
      </c>
      <c r="AQ68" s="2">
        <v>7.7958299999999996</v>
      </c>
      <c r="AR68" s="2">
        <v>13.74033</v>
      </c>
      <c r="AS68" s="3">
        <v>3321886</v>
      </c>
      <c r="AT68" s="2">
        <v>11.66438</v>
      </c>
      <c r="AU68" s="2">
        <v>6.5669500000000003</v>
      </c>
      <c r="AV68" s="22"/>
      <c r="AW68" s="23">
        <v>0.47211399999999998</v>
      </c>
      <c r="AX68" s="23">
        <v>0.52788599999999997</v>
      </c>
      <c r="AY68" s="23">
        <v>0.14109849999999999</v>
      </c>
      <c r="AZ68" s="23">
        <v>0.85890140000000004</v>
      </c>
      <c r="BA68" s="23">
        <v>40.865960000000001</v>
      </c>
      <c r="BB68" s="23">
        <v>0.52151400000000003</v>
      </c>
      <c r="BC68" s="23">
        <v>0.47848600000000002</v>
      </c>
      <c r="BD68" s="23">
        <v>0.64724230000000005</v>
      </c>
      <c r="BE68" s="23">
        <v>0</v>
      </c>
      <c r="BF68" s="23">
        <v>8.3735239999999997</v>
      </c>
      <c r="BG68" s="23">
        <v>8.373526</v>
      </c>
      <c r="BH68" s="23">
        <v>1</v>
      </c>
      <c r="BI68" s="23">
        <v>0.83056479999999999</v>
      </c>
      <c r="BJ68" s="23">
        <v>0.19615279999999999</v>
      </c>
      <c r="BK68" s="23">
        <v>0.80384719999999998</v>
      </c>
      <c r="BL68" s="23">
        <v>0.29117480000000001</v>
      </c>
      <c r="BM68" s="23">
        <v>3.9300000000000004E-15</v>
      </c>
      <c r="BN68" s="23">
        <v>7.0008369999999998</v>
      </c>
      <c r="BO68" s="23">
        <v>7.0008369999999998</v>
      </c>
      <c r="BP68" s="23">
        <v>1</v>
      </c>
      <c r="BQ68" s="23">
        <v>0.44890160000000001</v>
      </c>
      <c r="BR68" s="23">
        <v>0.14464109999999999</v>
      </c>
      <c r="BS68" s="23">
        <v>0.85535899999999998</v>
      </c>
      <c r="BT68" s="23">
        <v>0.55497370000000001</v>
      </c>
      <c r="BU68" s="23">
        <v>0.69686530000000002</v>
      </c>
      <c r="BV68" s="23">
        <v>0.44306980000000001</v>
      </c>
      <c r="BW68" s="23">
        <v>4.0777400000000004</v>
      </c>
      <c r="BX68" s="23">
        <v>8.3632410000000004</v>
      </c>
      <c r="BY68" s="23">
        <v>2.0509499999999998</v>
      </c>
      <c r="BZ68" s="23">
        <v>0</v>
      </c>
      <c r="CA68" s="23">
        <v>0.47217969999999998</v>
      </c>
      <c r="CB68" s="23">
        <v>0.52782019999999996</v>
      </c>
      <c r="CC68" s="23">
        <v>0.13967289999999999</v>
      </c>
      <c r="CD68" s="23">
        <v>0.86032710000000001</v>
      </c>
      <c r="CE68" s="23">
        <v>9.1067300000000007</v>
      </c>
      <c r="CF68" s="23">
        <v>10.72437</v>
      </c>
      <c r="CG68" s="23">
        <v>4.0984769999999999</v>
      </c>
      <c r="CH68" s="23">
        <v>8.2560310000000001</v>
      </c>
      <c r="CI68" s="23">
        <v>1.683424</v>
      </c>
      <c r="CJ68" s="23">
        <v>1.5921369999999999</v>
      </c>
      <c r="CK68" s="23">
        <v>0.94577290000000003</v>
      </c>
      <c r="CL68" s="23">
        <v>1.350252</v>
      </c>
      <c r="CM68" s="23">
        <v>0.56350199999999995</v>
      </c>
      <c r="CN68" s="23">
        <v>0.60514999999999997</v>
      </c>
      <c r="CO68" s="23">
        <v>0.53786230000000002</v>
      </c>
      <c r="CP68" s="23">
        <v>-6.6929999999999995E-4</v>
      </c>
      <c r="CQ68" s="23">
        <v>9.5449000000000003E-3</v>
      </c>
      <c r="CR68" s="23">
        <v>-3.4952999999999998E-3</v>
      </c>
      <c r="CS68" s="23">
        <v>1.4612160000000001</v>
      </c>
      <c r="CT68" s="23">
        <v>1.880352</v>
      </c>
      <c r="CU68" s="23">
        <v>1.29878</v>
      </c>
      <c r="CV68" s="23">
        <v>1.172857</v>
      </c>
      <c r="CW68" s="23">
        <v>1.904544</v>
      </c>
      <c r="CX68" s="23">
        <v>1.4273199999999999</v>
      </c>
      <c r="CY68" s="23">
        <v>1.96445</v>
      </c>
    </row>
    <row r="69" spans="1:103" x14ac:dyDescent="0.3">
      <c r="A69" s="5">
        <v>2014</v>
      </c>
      <c r="B69" s="3">
        <v>319601</v>
      </c>
      <c r="C69" s="3">
        <v>17550688</v>
      </c>
      <c r="D69" s="2">
        <v>8.3157999999999994</v>
      </c>
      <c r="E69" s="2">
        <v>8.4550800000000006</v>
      </c>
      <c r="F69" s="3">
        <v>11847725</v>
      </c>
      <c r="G69" s="3">
        <v>3044178</v>
      </c>
      <c r="H69" s="3">
        <v>2566254</v>
      </c>
      <c r="I69" s="3">
        <v>602567</v>
      </c>
      <c r="J69" s="3">
        <v>-510037</v>
      </c>
      <c r="K69" s="3">
        <v>16964216</v>
      </c>
      <c r="L69" s="3">
        <v>3691204.5</v>
      </c>
      <c r="M69" s="3">
        <v>13273012</v>
      </c>
      <c r="N69" s="2">
        <v>9.0037800000000008</v>
      </c>
      <c r="O69" s="2">
        <v>6.3480100000000004</v>
      </c>
      <c r="P69" s="2">
        <v>10.65648</v>
      </c>
      <c r="Q69" s="3">
        <v>1695022</v>
      </c>
      <c r="R69" s="3">
        <v>1830646</v>
      </c>
      <c r="S69" s="3">
        <v>1867758</v>
      </c>
      <c r="T69" s="3">
        <v>11570790</v>
      </c>
      <c r="U69" s="3">
        <v>9245439</v>
      </c>
      <c r="V69" s="3">
        <v>1778240.8</v>
      </c>
      <c r="W69" s="3">
        <v>7467198.5</v>
      </c>
      <c r="X69" s="2">
        <v>0.54427999999999999</v>
      </c>
      <c r="Y69" s="2">
        <v>7.7175099999999999</v>
      </c>
      <c r="Z69" s="2">
        <v>5.7472399999999997</v>
      </c>
      <c r="AA69" s="2">
        <v>8.7123699999999999</v>
      </c>
      <c r="AB69" s="2">
        <v>12.81054</v>
      </c>
      <c r="AC69" s="2">
        <v>8.9021600000000003</v>
      </c>
      <c r="AD69" s="2">
        <v>14.35984</v>
      </c>
      <c r="AE69" s="2">
        <v>2.6348699999999998</v>
      </c>
      <c r="AF69" s="2">
        <v>1.34518</v>
      </c>
      <c r="AG69" s="2">
        <v>3.6696900000000001</v>
      </c>
      <c r="AH69" s="2">
        <v>0.47717999999999999</v>
      </c>
      <c r="AI69" s="2">
        <v>0.56296000000000002</v>
      </c>
      <c r="AJ69" s="3">
        <v>13401436</v>
      </c>
      <c r="AK69" s="3">
        <v>3041463</v>
      </c>
      <c r="AL69" s="3">
        <v>10359973</v>
      </c>
      <c r="AM69" s="2">
        <v>7.5108800000000002</v>
      </c>
      <c r="AN69" s="2">
        <v>9.0296299999999992</v>
      </c>
      <c r="AO69" s="2">
        <v>7.2728299999999999</v>
      </c>
      <c r="AP69" s="2">
        <v>4.00448</v>
      </c>
      <c r="AQ69" s="2">
        <v>7.9014100000000003</v>
      </c>
      <c r="AR69" s="2">
        <v>14.072749999999999</v>
      </c>
      <c r="AS69" s="3">
        <v>3562780</v>
      </c>
      <c r="AT69" s="2">
        <v>12.263210000000001</v>
      </c>
      <c r="AU69" s="2">
        <v>6.6992399999999996</v>
      </c>
      <c r="AV69" s="22"/>
      <c r="AW69" s="23">
        <v>0.47575830000000002</v>
      </c>
      <c r="AX69" s="23">
        <v>0.52424170000000003</v>
      </c>
      <c r="AY69" s="23">
        <v>0.13660069999999999</v>
      </c>
      <c r="AZ69" s="23">
        <v>0.86339929999999998</v>
      </c>
      <c r="BA69" s="23">
        <v>41.93177</v>
      </c>
      <c r="BB69" s="23">
        <v>0.5222135</v>
      </c>
      <c r="BC69" s="23">
        <v>0.4777865</v>
      </c>
      <c r="BD69" s="23">
        <v>0.64724230000000005</v>
      </c>
      <c r="BE69" s="23">
        <v>0</v>
      </c>
      <c r="BF69" s="23">
        <v>8.4839509999999994</v>
      </c>
      <c r="BG69" s="23">
        <v>8.4839529999999996</v>
      </c>
      <c r="BH69" s="23">
        <v>1</v>
      </c>
      <c r="BI69" s="23">
        <v>0.83056479999999999</v>
      </c>
      <c r="BJ69" s="23">
        <v>0.1965953</v>
      </c>
      <c r="BK69" s="23">
        <v>0.80340469999999997</v>
      </c>
      <c r="BL69" s="23">
        <v>0.29117480000000001</v>
      </c>
      <c r="BM69" s="23">
        <v>3.9300000000000004E-15</v>
      </c>
      <c r="BN69" s="23">
        <v>7.0996370000000004</v>
      </c>
      <c r="BO69" s="23">
        <v>7.0996370000000004</v>
      </c>
      <c r="BP69" s="23">
        <v>1</v>
      </c>
      <c r="BQ69" s="23">
        <v>0.44890160000000001</v>
      </c>
      <c r="BR69" s="23">
        <v>0.1443856</v>
      </c>
      <c r="BS69" s="23">
        <v>0.8556144</v>
      </c>
      <c r="BT69" s="23">
        <v>0.55497370000000001</v>
      </c>
      <c r="BU69" s="23">
        <v>0.69686530000000002</v>
      </c>
      <c r="BV69" s="23">
        <v>0.44306980000000001</v>
      </c>
      <c r="BW69" s="23">
        <v>4.1186949999999998</v>
      </c>
      <c r="BX69" s="23">
        <v>8.4884730000000008</v>
      </c>
      <c r="BY69" s="23">
        <v>2.060962</v>
      </c>
      <c r="BZ69" s="23">
        <v>0</v>
      </c>
      <c r="CA69" s="23">
        <v>0.47393610000000003</v>
      </c>
      <c r="CB69" s="23">
        <v>0.52606390000000003</v>
      </c>
      <c r="CC69" s="23">
        <v>0.13884959999999999</v>
      </c>
      <c r="CD69" s="23">
        <v>0.86115039999999998</v>
      </c>
      <c r="CE69" s="23">
        <v>9.6298410000000008</v>
      </c>
      <c r="CF69" s="23">
        <v>11.20722</v>
      </c>
      <c r="CG69" s="23">
        <v>4.0147709999999996</v>
      </c>
      <c r="CH69" s="23">
        <v>8.4210229999999999</v>
      </c>
      <c r="CI69" s="23">
        <v>1.678712</v>
      </c>
      <c r="CJ69" s="23">
        <v>1.5907</v>
      </c>
      <c r="CK69" s="23">
        <v>0.94757179999999996</v>
      </c>
      <c r="CL69" s="23">
        <v>1.347858</v>
      </c>
      <c r="CM69" s="23">
        <v>0.56350199999999995</v>
      </c>
      <c r="CN69" s="23">
        <v>0.60514999999999997</v>
      </c>
      <c r="CO69" s="23">
        <v>0.53786230000000002</v>
      </c>
      <c r="CP69" s="23">
        <v>5.0965000000000003E-3</v>
      </c>
      <c r="CQ69" s="23">
        <v>-4.1466999999999997E-3</v>
      </c>
      <c r="CR69" s="23">
        <v>7.6861999999999998E-3</v>
      </c>
      <c r="CS69" s="23">
        <v>1.468683</v>
      </c>
      <c r="CT69" s="23">
        <v>1.872571</v>
      </c>
      <c r="CU69" s="23">
        <v>1.3088010000000001</v>
      </c>
      <c r="CV69" s="23">
        <v>1.1733560000000001</v>
      </c>
      <c r="CW69" s="23">
        <v>1.9073659999999999</v>
      </c>
      <c r="CX69" s="23">
        <v>1.4345589999999999</v>
      </c>
      <c r="CY69" s="23">
        <v>1.9739089999999999</v>
      </c>
    </row>
    <row r="70" spans="1:103" x14ac:dyDescent="0.3">
      <c r="A70" s="5">
        <v>2015</v>
      </c>
      <c r="B70" s="3">
        <v>322113</v>
      </c>
      <c r="C70" s="3">
        <v>18206024</v>
      </c>
      <c r="D70" s="2">
        <v>8.5408299999999997</v>
      </c>
      <c r="E70" s="2">
        <v>8.5396999999999998</v>
      </c>
      <c r="F70" s="3">
        <v>12263476</v>
      </c>
      <c r="G70" s="3">
        <v>3237161</v>
      </c>
      <c r="H70" s="3">
        <v>2608983</v>
      </c>
      <c r="I70" s="3">
        <v>622602</v>
      </c>
      <c r="J70" s="3">
        <v>-526199</v>
      </c>
      <c r="K70" s="3">
        <v>17565464</v>
      </c>
      <c r="L70" s="3">
        <v>3633273.5</v>
      </c>
      <c r="M70" s="3">
        <v>13932191</v>
      </c>
      <c r="N70" s="2">
        <v>9.0815699999999993</v>
      </c>
      <c r="O70" s="2">
        <v>6.0942100000000003</v>
      </c>
      <c r="P70" s="2">
        <v>10.892530000000001</v>
      </c>
      <c r="Q70" s="3">
        <v>1747533</v>
      </c>
      <c r="R70" s="3">
        <v>1735359</v>
      </c>
      <c r="S70" s="3">
        <v>1975446</v>
      </c>
      <c r="T70" s="3">
        <v>12107126</v>
      </c>
      <c r="U70" s="3">
        <v>9481602</v>
      </c>
      <c r="V70" s="3">
        <v>1913431.6</v>
      </c>
      <c r="W70" s="3">
        <v>7568170.5</v>
      </c>
      <c r="X70" s="2">
        <v>0.54239000000000004</v>
      </c>
      <c r="Y70" s="2">
        <v>7.92258</v>
      </c>
      <c r="Z70" s="2">
        <v>5.8926299999999996</v>
      </c>
      <c r="AA70" s="2">
        <v>8.9468800000000002</v>
      </c>
      <c r="AB70" s="2">
        <v>13.25835</v>
      </c>
      <c r="AC70" s="2">
        <v>8.9749400000000001</v>
      </c>
      <c r="AD70" s="2">
        <v>14.97885</v>
      </c>
      <c r="AE70" s="2">
        <v>2.69713</v>
      </c>
      <c r="AF70" s="2">
        <v>1.3633299999999999</v>
      </c>
      <c r="AG70" s="2">
        <v>3.76559</v>
      </c>
      <c r="AH70" s="2">
        <v>0.50419999999999998</v>
      </c>
      <c r="AI70" s="2">
        <v>0.55289999999999995</v>
      </c>
      <c r="AJ70" s="3">
        <v>13842485</v>
      </c>
      <c r="AK70" s="3">
        <v>3122385</v>
      </c>
      <c r="AL70" s="3">
        <v>10720100</v>
      </c>
      <c r="AM70" s="2">
        <v>7.6960699999999997</v>
      </c>
      <c r="AN70" s="2">
        <v>9.1242900000000002</v>
      </c>
      <c r="AO70" s="2">
        <v>7.3758400000000002</v>
      </c>
      <c r="AP70" s="2">
        <v>4.0633699999999999</v>
      </c>
      <c r="AQ70" s="2">
        <v>8.0815999999999999</v>
      </c>
      <c r="AR70" s="2">
        <v>14.27155</v>
      </c>
      <c r="AS70" s="3">
        <v>3722979</v>
      </c>
      <c r="AT70" s="2">
        <v>12.711</v>
      </c>
      <c r="AU70" s="2">
        <v>6.7538499999999999</v>
      </c>
      <c r="AV70" s="22"/>
      <c r="AW70" s="23">
        <v>0.469391</v>
      </c>
      <c r="AX70" s="23">
        <v>0.530609</v>
      </c>
      <c r="AY70" s="23">
        <v>0.1253647</v>
      </c>
      <c r="AZ70" s="23">
        <v>0.8746353</v>
      </c>
      <c r="BA70" s="23">
        <v>42.973999999999997</v>
      </c>
      <c r="BB70" s="23">
        <v>0.5065501</v>
      </c>
      <c r="BC70" s="23">
        <v>0.4934499</v>
      </c>
      <c r="BD70" s="23">
        <v>0.64724230000000005</v>
      </c>
      <c r="BE70" s="23">
        <v>0</v>
      </c>
      <c r="BF70" s="23">
        <v>8.8543210000000006</v>
      </c>
      <c r="BG70" s="23">
        <v>8.8543210000000006</v>
      </c>
      <c r="BH70" s="23">
        <v>1</v>
      </c>
      <c r="BI70" s="23">
        <v>0.83056479999999999</v>
      </c>
      <c r="BJ70" s="23">
        <v>0.1868784</v>
      </c>
      <c r="BK70" s="23">
        <v>0.8131216</v>
      </c>
      <c r="BL70" s="23">
        <v>0.29117480000000001</v>
      </c>
      <c r="BM70" s="23">
        <v>3.9300000000000004E-15</v>
      </c>
      <c r="BN70" s="23">
        <v>7.261145</v>
      </c>
      <c r="BO70" s="23">
        <v>7.261145</v>
      </c>
      <c r="BP70" s="23">
        <v>1</v>
      </c>
      <c r="BQ70" s="23">
        <v>0.44890160000000001</v>
      </c>
      <c r="BR70" s="23">
        <v>0.1380092</v>
      </c>
      <c r="BS70" s="23">
        <v>0.86199079999999995</v>
      </c>
      <c r="BT70" s="23">
        <v>0.55497370000000001</v>
      </c>
      <c r="BU70" s="23">
        <v>0.69686530000000002</v>
      </c>
      <c r="BV70" s="23">
        <v>0.44306980000000001</v>
      </c>
      <c r="BW70" s="23">
        <v>4.2357120000000004</v>
      </c>
      <c r="BX70" s="23">
        <v>8.6417549999999999</v>
      </c>
      <c r="BY70" s="23">
        <v>2.0402130000000001</v>
      </c>
      <c r="BZ70" s="23">
        <v>0</v>
      </c>
      <c r="CA70" s="23">
        <v>0.47257470000000001</v>
      </c>
      <c r="CB70" s="23">
        <v>0.52742529999999999</v>
      </c>
      <c r="CC70" s="23">
        <v>0.13098270000000001</v>
      </c>
      <c r="CD70" s="23">
        <v>0.86901729999999999</v>
      </c>
      <c r="CE70" s="23">
        <v>10.34163</v>
      </c>
      <c r="CF70" s="23">
        <v>11.59652</v>
      </c>
      <c r="CG70" s="23">
        <v>3.9642940000000002</v>
      </c>
      <c r="CH70" s="23">
        <v>8.6204129999999992</v>
      </c>
      <c r="CI70" s="23">
        <v>1.7873559999999999</v>
      </c>
      <c r="CJ70" s="23">
        <v>1.6127880000000001</v>
      </c>
      <c r="CK70" s="23">
        <v>0.90233189999999996</v>
      </c>
      <c r="CL70" s="23">
        <v>1.350976</v>
      </c>
      <c r="CM70" s="23">
        <v>0.56350199999999995</v>
      </c>
      <c r="CN70" s="23">
        <v>0.60514999999999997</v>
      </c>
      <c r="CO70" s="23">
        <v>0.53786230000000002</v>
      </c>
      <c r="CP70" s="23">
        <v>-1.9337E-3</v>
      </c>
      <c r="CQ70" s="23">
        <v>1.3876299999999999E-2</v>
      </c>
      <c r="CR70" s="23">
        <v>-6.3994999999999998E-3</v>
      </c>
      <c r="CS70" s="23">
        <v>1.4658450000000001</v>
      </c>
      <c r="CT70" s="23">
        <v>1.898736</v>
      </c>
      <c r="CU70" s="23">
        <v>1.3004519999999999</v>
      </c>
      <c r="CV70" s="23">
        <v>1.154911</v>
      </c>
      <c r="CW70" s="23">
        <v>1.8866830000000001</v>
      </c>
      <c r="CX70" s="23">
        <v>1.431818</v>
      </c>
      <c r="CY70" s="23">
        <v>1.97105</v>
      </c>
    </row>
    <row r="71" spans="1:103" x14ac:dyDescent="0.3">
      <c r="A71" s="5">
        <v>2016</v>
      </c>
      <c r="B71" s="3">
        <v>324609</v>
      </c>
      <c r="C71" s="3">
        <v>18695106</v>
      </c>
      <c r="D71" s="2">
        <v>8.6832399999999996</v>
      </c>
      <c r="E71" s="2">
        <v>8.6252899999999997</v>
      </c>
      <c r="F71" s="3">
        <v>12693266</v>
      </c>
      <c r="G71" s="3">
        <v>3205037</v>
      </c>
      <c r="H71" s="3">
        <v>2663108</v>
      </c>
      <c r="I71" s="3">
        <v>639945</v>
      </c>
      <c r="J71" s="3">
        <v>-506250</v>
      </c>
      <c r="K71" s="3">
        <v>18026634</v>
      </c>
      <c r="L71" s="3">
        <v>3590453.5</v>
      </c>
      <c r="M71" s="3">
        <v>14436181</v>
      </c>
      <c r="N71" s="2">
        <v>9.19299</v>
      </c>
      <c r="O71" s="2">
        <v>6.0043699999999998</v>
      </c>
      <c r="P71" s="2">
        <v>11.10238</v>
      </c>
      <c r="Q71" s="3">
        <v>1768812</v>
      </c>
      <c r="R71" s="3">
        <v>1686078</v>
      </c>
      <c r="S71" s="3">
        <v>2039911</v>
      </c>
      <c r="T71" s="3">
        <v>12531833</v>
      </c>
      <c r="U71" s="3">
        <v>9777438</v>
      </c>
      <c r="V71" s="3">
        <v>1943353.5</v>
      </c>
      <c r="W71" s="3">
        <v>7834084.5</v>
      </c>
      <c r="X71" s="2">
        <v>0.54108999999999996</v>
      </c>
      <c r="Y71" s="2">
        <v>8.0320400000000003</v>
      </c>
      <c r="Z71" s="2">
        <v>5.9103199999999996</v>
      </c>
      <c r="AA71" s="2">
        <v>9.0952999999999999</v>
      </c>
      <c r="AB71" s="2">
        <v>13.81265</v>
      </c>
      <c r="AC71" s="2">
        <v>9.0388800000000007</v>
      </c>
      <c r="AD71" s="2">
        <v>15.74295</v>
      </c>
      <c r="AE71" s="2">
        <v>2.7511000000000001</v>
      </c>
      <c r="AF71" s="2">
        <v>1.3773299999999999</v>
      </c>
      <c r="AG71" s="2">
        <v>3.85019</v>
      </c>
      <c r="AH71" s="2">
        <v>0.53395000000000004</v>
      </c>
      <c r="AI71" s="2">
        <v>0.54293999999999998</v>
      </c>
      <c r="AJ71" s="3">
        <v>14217911</v>
      </c>
      <c r="AK71" s="3">
        <v>3110745</v>
      </c>
      <c r="AL71" s="3">
        <v>11107166</v>
      </c>
      <c r="AM71" s="2">
        <v>7.8153300000000003</v>
      </c>
      <c r="AN71" s="2">
        <v>9.2352799999999995</v>
      </c>
      <c r="AO71" s="2">
        <v>7.6559299999999997</v>
      </c>
      <c r="AP71" s="2">
        <v>3.9028800000000001</v>
      </c>
      <c r="AQ71" s="2">
        <v>8.2278800000000007</v>
      </c>
      <c r="AR71" s="2">
        <v>14.53424</v>
      </c>
      <c r="AS71" s="3">
        <v>3808723</v>
      </c>
      <c r="AT71" s="2">
        <v>12.981529999999999</v>
      </c>
      <c r="AU71" s="2">
        <v>6.7654100000000001</v>
      </c>
      <c r="AV71" s="22"/>
      <c r="AW71" s="23">
        <v>0.46441080000000001</v>
      </c>
      <c r="AX71" s="23">
        <v>0.53558919999999999</v>
      </c>
      <c r="AY71" s="23">
        <v>0.11858829999999999</v>
      </c>
      <c r="AZ71" s="23">
        <v>0.88141170000000002</v>
      </c>
      <c r="BA71" s="23">
        <v>43.800109999999997</v>
      </c>
      <c r="BB71" s="23">
        <v>0.49806669999999997</v>
      </c>
      <c r="BC71" s="23">
        <v>0.50193330000000003</v>
      </c>
      <c r="BD71" s="23">
        <v>0.64724230000000005</v>
      </c>
      <c r="BE71" s="23">
        <v>0</v>
      </c>
      <c r="BF71" s="23">
        <v>9.0759570000000007</v>
      </c>
      <c r="BG71" s="23">
        <v>9.075958</v>
      </c>
      <c r="BH71" s="23">
        <v>1</v>
      </c>
      <c r="BI71" s="23">
        <v>0.83056479999999999</v>
      </c>
      <c r="BJ71" s="23">
        <v>0.18177650000000001</v>
      </c>
      <c r="BK71" s="23">
        <v>0.81822349999999999</v>
      </c>
      <c r="BL71" s="23">
        <v>0.29117480000000001</v>
      </c>
      <c r="BM71" s="23">
        <v>3.9300000000000004E-15</v>
      </c>
      <c r="BN71" s="23">
        <v>7.363016</v>
      </c>
      <c r="BO71" s="23">
        <v>7.363016</v>
      </c>
      <c r="BP71" s="23">
        <v>1</v>
      </c>
      <c r="BQ71" s="23">
        <v>0.44890160000000001</v>
      </c>
      <c r="BR71" s="23">
        <v>0.13478689999999999</v>
      </c>
      <c r="BS71" s="23">
        <v>0.86521309999999996</v>
      </c>
      <c r="BT71" s="23">
        <v>0.55497370000000001</v>
      </c>
      <c r="BU71" s="23">
        <v>0.69686530000000002</v>
      </c>
      <c r="BV71" s="23">
        <v>0.44306980000000001</v>
      </c>
      <c r="BW71" s="23">
        <v>4.3125900000000001</v>
      </c>
      <c r="BX71" s="23">
        <v>8.7409099999999995</v>
      </c>
      <c r="BY71" s="23">
        <v>2.0268350000000002</v>
      </c>
      <c r="BZ71" s="23">
        <v>0</v>
      </c>
      <c r="CA71" s="23">
        <v>0.46690090000000001</v>
      </c>
      <c r="CB71" s="23">
        <v>0.53309910000000005</v>
      </c>
      <c r="CC71" s="23">
        <v>0.1219765</v>
      </c>
      <c r="CD71" s="23">
        <v>0.87802349999999996</v>
      </c>
      <c r="CE71" s="23">
        <v>10.62419</v>
      </c>
      <c r="CF71" s="23">
        <v>11.7486</v>
      </c>
      <c r="CG71" s="23">
        <v>3.9093499999999999</v>
      </c>
      <c r="CH71" s="23">
        <v>8.7541519999999995</v>
      </c>
      <c r="CI71" s="23">
        <v>1.849051</v>
      </c>
      <c r="CJ71" s="23">
        <v>1.641051</v>
      </c>
      <c r="CK71" s="23">
        <v>0.88750969999999996</v>
      </c>
      <c r="CL71" s="23">
        <v>1.365073</v>
      </c>
      <c r="CM71" s="23">
        <v>0.56350199999999995</v>
      </c>
      <c r="CN71" s="23">
        <v>0.60514999999999997</v>
      </c>
      <c r="CO71" s="23">
        <v>0.53786230000000002</v>
      </c>
      <c r="CP71" s="23">
        <v>-1.53209E-2</v>
      </c>
      <c r="CQ71" s="23">
        <v>-5.8561999999999998E-3</v>
      </c>
      <c r="CR71" s="23">
        <v>-1.7783500000000001E-2</v>
      </c>
      <c r="CS71" s="23">
        <v>1.4435579999999999</v>
      </c>
      <c r="CT71" s="23">
        <v>1.8876489999999999</v>
      </c>
      <c r="CU71" s="23">
        <v>1.2775300000000001</v>
      </c>
      <c r="CV71" s="23">
        <v>1.156677</v>
      </c>
      <c r="CW71" s="23">
        <v>1.8685989999999999</v>
      </c>
      <c r="CX71" s="23">
        <v>1.4102520000000001</v>
      </c>
      <c r="CY71" s="23">
        <v>1.9615389999999999</v>
      </c>
    </row>
    <row r="72" spans="1:103" x14ac:dyDescent="0.3">
      <c r="A72" s="5">
        <v>2017</v>
      </c>
      <c r="B72" s="3">
        <v>326860</v>
      </c>
      <c r="C72" s="3">
        <v>19477336</v>
      </c>
      <c r="D72" s="2">
        <v>8.8779400000000006</v>
      </c>
      <c r="E72" s="2">
        <v>8.7891100000000009</v>
      </c>
      <c r="F72" s="3">
        <v>13233609</v>
      </c>
      <c r="G72" s="3">
        <v>3385624</v>
      </c>
      <c r="H72" s="3">
        <v>2726560</v>
      </c>
      <c r="I72" s="3">
        <v>668277</v>
      </c>
      <c r="J72" s="3">
        <v>-536734</v>
      </c>
      <c r="K72" s="3">
        <v>18810856</v>
      </c>
      <c r="L72" s="3">
        <v>3794884</v>
      </c>
      <c r="M72" s="3">
        <v>15015973</v>
      </c>
      <c r="N72" s="2">
        <v>9.4144000000000005</v>
      </c>
      <c r="O72" s="2">
        <v>6.2614200000000002</v>
      </c>
      <c r="P72" s="2">
        <v>11.31823</v>
      </c>
      <c r="Q72" s="3">
        <v>1876510</v>
      </c>
      <c r="R72" s="3">
        <v>1798890</v>
      </c>
      <c r="S72" s="3">
        <v>2145202</v>
      </c>
      <c r="T72" s="3">
        <v>12990254</v>
      </c>
      <c r="U72" s="3">
        <v>10225408</v>
      </c>
      <c r="V72" s="3">
        <v>2023748.8</v>
      </c>
      <c r="W72" s="3">
        <v>8201659.5</v>
      </c>
      <c r="X72" s="2">
        <v>0.54298999999999997</v>
      </c>
      <c r="Y72" s="2">
        <v>8.1843500000000002</v>
      </c>
      <c r="Z72" s="2">
        <v>5.99038</v>
      </c>
      <c r="AA72" s="2">
        <v>9.2801600000000004</v>
      </c>
      <c r="AB72" s="2">
        <v>14.540050000000001</v>
      </c>
      <c r="AC72" s="2">
        <v>9.0580599999999993</v>
      </c>
      <c r="AD72" s="2">
        <v>16.78096</v>
      </c>
      <c r="AE72" s="2">
        <v>2.7782399999999998</v>
      </c>
      <c r="AF72" s="2">
        <v>1.3913</v>
      </c>
      <c r="AG72" s="2">
        <v>3.8878900000000001</v>
      </c>
      <c r="AH72" s="2">
        <v>0.53727000000000003</v>
      </c>
      <c r="AI72" s="2">
        <v>0.54442999999999997</v>
      </c>
      <c r="AJ72" s="3">
        <v>14789144</v>
      </c>
      <c r="AK72" s="3">
        <v>3223072</v>
      </c>
      <c r="AL72" s="3">
        <v>11566072</v>
      </c>
      <c r="AM72" s="2">
        <v>7.9586399999999999</v>
      </c>
      <c r="AN72" s="2">
        <v>9.4157600000000006</v>
      </c>
      <c r="AO72" s="2">
        <v>7.9297199999999997</v>
      </c>
      <c r="AP72" s="2">
        <v>3.8969200000000002</v>
      </c>
      <c r="AQ72" s="2">
        <v>8.3392199999999992</v>
      </c>
      <c r="AR72" s="2">
        <v>14.904859999999999</v>
      </c>
      <c r="AS72" s="3">
        <v>4021712</v>
      </c>
      <c r="AT72" s="2">
        <v>13.480119999999999</v>
      </c>
      <c r="AU72" s="2">
        <v>6.8795099999999998</v>
      </c>
      <c r="AV72" s="22"/>
      <c r="AW72" s="23">
        <v>0.46659479999999998</v>
      </c>
      <c r="AX72" s="23">
        <v>0.53340520000000002</v>
      </c>
      <c r="AY72" s="23">
        <v>0.1216358</v>
      </c>
      <c r="AZ72" s="23">
        <v>0.87836409999999998</v>
      </c>
      <c r="BA72" s="23">
        <v>45.246110000000002</v>
      </c>
      <c r="BB72" s="23">
        <v>0.50373290000000004</v>
      </c>
      <c r="BC72" s="23">
        <v>0.49626710000000002</v>
      </c>
      <c r="BD72" s="23">
        <v>0.64724230000000005</v>
      </c>
      <c r="BE72" s="23">
        <v>0</v>
      </c>
      <c r="BF72" s="23">
        <v>9.1560170000000003</v>
      </c>
      <c r="BG72" s="23">
        <v>9.1560190000000006</v>
      </c>
      <c r="BH72" s="23">
        <v>1</v>
      </c>
      <c r="BI72" s="23">
        <v>0.83056479999999999</v>
      </c>
      <c r="BJ72" s="23">
        <v>0.1851719</v>
      </c>
      <c r="BK72" s="23">
        <v>0.81482810000000006</v>
      </c>
      <c r="BL72" s="23">
        <v>0.29117480000000001</v>
      </c>
      <c r="BM72" s="23">
        <v>3.9300000000000004E-15</v>
      </c>
      <c r="BN72" s="23">
        <v>7.4816010000000004</v>
      </c>
      <c r="BO72" s="23">
        <v>7.4816010000000004</v>
      </c>
      <c r="BP72" s="23">
        <v>1</v>
      </c>
      <c r="BQ72" s="23">
        <v>0.44890160000000001</v>
      </c>
      <c r="BR72" s="23">
        <v>0.1359313</v>
      </c>
      <c r="BS72" s="23">
        <v>0.86406859999999996</v>
      </c>
      <c r="BT72" s="23">
        <v>0.55497370000000001</v>
      </c>
      <c r="BU72" s="23">
        <v>0.69686530000000002</v>
      </c>
      <c r="BV72" s="23">
        <v>0.44306980000000001</v>
      </c>
      <c r="BW72" s="23">
        <v>4.3382199999999997</v>
      </c>
      <c r="BX72" s="23">
        <v>8.906898</v>
      </c>
      <c r="BY72" s="23">
        <v>2.0531229999999998</v>
      </c>
      <c r="BZ72" s="23">
        <v>0.98539940000000004</v>
      </c>
      <c r="CA72" s="23">
        <v>0.46550279999999999</v>
      </c>
      <c r="CB72" s="23">
        <v>0.53449720000000001</v>
      </c>
      <c r="CC72" s="23">
        <v>0.1201121</v>
      </c>
      <c r="CD72" s="23">
        <v>0.87988789999999995</v>
      </c>
      <c r="CE72" s="23">
        <v>10.808350000000001</v>
      </c>
      <c r="CF72" s="23">
        <v>12.11938</v>
      </c>
      <c r="CG72" s="23">
        <v>3.9996830000000001</v>
      </c>
      <c r="CH72" s="23">
        <v>8.9013240000000007</v>
      </c>
      <c r="CI72" s="23">
        <v>1.8076129999999999</v>
      </c>
      <c r="CJ72" s="23">
        <v>1.645208</v>
      </c>
      <c r="CK72" s="23">
        <v>0.91015509999999999</v>
      </c>
      <c r="CL72" s="23">
        <v>1.3686670000000001</v>
      </c>
      <c r="CM72" s="23">
        <v>0.56350199999999995</v>
      </c>
      <c r="CN72" s="23">
        <v>0.60514999999999997</v>
      </c>
      <c r="CO72" s="23">
        <v>0.53786230000000002</v>
      </c>
      <c r="CP72" s="23">
        <v>-9.1473000000000006E-3</v>
      </c>
      <c r="CQ72" s="23">
        <v>6.8405999999999996E-3</v>
      </c>
      <c r="CR72" s="23">
        <v>-1.3241299999999999E-2</v>
      </c>
      <c r="CS72" s="23">
        <v>1.4304140000000001</v>
      </c>
      <c r="CT72" s="23">
        <v>1.900606</v>
      </c>
      <c r="CU72" s="23">
        <v>1.2607250000000001</v>
      </c>
      <c r="CV72" s="23">
        <v>1.171907</v>
      </c>
      <c r="CW72" s="23">
        <v>1.8891039999999999</v>
      </c>
      <c r="CX72" s="23">
        <v>1.3977470000000001</v>
      </c>
      <c r="CY72" s="23">
        <v>1.957476</v>
      </c>
    </row>
    <row r="73" spans="1:103" x14ac:dyDescent="0.3">
      <c r="AV73" s="22" t="s">
        <v>159</v>
      </c>
    </row>
    <row r="74" spans="1:103" x14ac:dyDescent="0.3">
      <c r="A74" s="4" t="s">
        <v>105</v>
      </c>
      <c r="X74" s="13">
        <f>AVERAGE(X2:X72)</f>
        <v>0.5635024285714284</v>
      </c>
      <c r="AH74" s="13">
        <f>AVERAGE(AH2:AH72)</f>
        <v>0.60514985714285707</v>
      </c>
      <c r="AI74" s="13">
        <f>AVERAGE(AI2:AI72)</f>
        <v>0.53786242857142852</v>
      </c>
    </row>
    <row r="75" spans="1:103" x14ac:dyDescent="0.3">
      <c r="A75" s="4" t="s">
        <v>106</v>
      </c>
      <c r="X75" s="13">
        <f>AVERAGE(X35:X72)</f>
        <v>0.57655736842105265</v>
      </c>
      <c r="AH75" s="13">
        <f>AVERAGE(AH35:AH72)</f>
        <v>0.58312184210526308</v>
      </c>
      <c r="AI75" s="13">
        <f>AVERAGE(AI35:AI72)</f>
        <v>0.57206763157894747</v>
      </c>
    </row>
  </sheetData>
  <pageMargins left="0.7" right="0.7" top="0.75" bottom="0.75" header="0.3" footer="0.3"/>
  <ignoredErrors>
    <ignoredError sqref="X75 AH7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1C50-D814-417F-98FA-DA3D64C25C03}">
  <sheetPr>
    <tabColor rgb="FFFFC000"/>
  </sheetPr>
  <dimension ref="A1:N76"/>
  <sheetViews>
    <sheetView workbookViewId="0">
      <pane xSplit="8" ySplit="14" topLeftCell="I65" activePane="bottomRight" state="frozen"/>
      <selection pane="topRight" activeCell="K1" sqref="K1"/>
      <selection pane="bottomLeft" activeCell="A15" sqref="A15"/>
      <selection pane="bottomRight" activeCell="F1" sqref="F1"/>
    </sheetView>
  </sheetViews>
  <sheetFormatPr defaultColWidth="8.77734375" defaultRowHeight="14.4" x14ac:dyDescent="0.3"/>
  <cols>
    <col min="1" max="1" width="8.77734375" style="8"/>
    <col min="2" max="2" width="12.109375" style="6" customWidth="1"/>
    <col min="3" max="4" width="13.33203125" style="6" bestFit="1" customWidth="1"/>
    <col min="5" max="5" width="2.77734375" style="6" customWidth="1"/>
    <col min="6" max="6" width="13.77734375" style="8" bestFit="1" customWidth="1"/>
    <col min="7" max="7" width="2.77734375" style="6" customWidth="1"/>
    <col min="8" max="11" width="11.33203125" style="8" customWidth="1"/>
    <col min="12" max="12" width="8.77734375" style="6"/>
    <col min="13" max="13" width="13.6640625" style="6" bestFit="1" customWidth="1"/>
    <col min="14" max="14" width="10.44140625" style="6" bestFit="1" customWidth="1"/>
    <col min="15" max="16384" width="8.77734375" style="6"/>
  </cols>
  <sheetData>
    <row r="1" spans="1:14" x14ac:dyDescent="0.3">
      <c r="A1" s="8" t="s">
        <v>0</v>
      </c>
      <c r="B1" s="1" t="s">
        <v>24</v>
      </c>
      <c r="C1" s="8" t="s">
        <v>27</v>
      </c>
      <c r="D1" s="8" t="s">
        <v>30</v>
      </c>
      <c r="E1" s="7"/>
      <c r="F1" s="8" t="s">
        <v>100</v>
      </c>
      <c r="G1" s="7"/>
      <c r="H1" s="8" t="s">
        <v>93</v>
      </c>
      <c r="I1" s="8" t="s">
        <v>94</v>
      </c>
      <c r="J1" s="8" t="s">
        <v>101</v>
      </c>
      <c r="K1" s="8" t="s">
        <v>95</v>
      </c>
      <c r="M1" s="8" t="s">
        <v>96</v>
      </c>
      <c r="N1" s="8" t="s">
        <v>97</v>
      </c>
    </row>
    <row r="2" spans="1:14" x14ac:dyDescent="0.3">
      <c r="A2" s="8">
        <v>1947</v>
      </c>
      <c r="B2" s="10">
        <f>data!Y2</f>
        <v>1</v>
      </c>
      <c r="C2" s="10">
        <f>data!AB2</f>
        <v>1</v>
      </c>
      <c r="D2" s="10">
        <f>data!AE2</f>
        <v>1</v>
      </c>
      <c r="E2" s="19"/>
      <c r="F2" s="10">
        <f>data!X74</f>
        <v>0.5635024285714284</v>
      </c>
      <c r="G2" s="19"/>
      <c r="H2" s="10"/>
      <c r="I2" s="10"/>
      <c r="J2" s="10"/>
      <c r="K2" s="10"/>
      <c r="L2" s="20"/>
      <c r="M2" s="10">
        <v>0</v>
      </c>
      <c r="N2" s="10">
        <f>EXP(M2)</f>
        <v>1</v>
      </c>
    </row>
    <row r="3" spans="1:14" x14ac:dyDescent="0.3">
      <c r="A3" s="8">
        <v>1948</v>
      </c>
      <c r="B3" s="10">
        <f>data!Y3</f>
        <v>1.0406</v>
      </c>
      <c r="C3" s="10">
        <f>data!AB3</f>
        <v>1.03556</v>
      </c>
      <c r="D3" s="10">
        <f>data!AE3</f>
        <v>1.0244200000000001</v>
      </c>
      <c r="E3" s="19"/>
      <c r="F3" s="10">
        <f>F2</f>
        <v>0.5635024285714284</v>
      </c>
      <c r="G3" s="19"/>
      <c r="H3" s="10">
        <f>LN(B3/B2)</f>
        <v>3.9797469874066058E-2</v>
      </c>
      <c r="I3" s="10">
        <f>LN(C3/C2)</f>
        <v>3.4942343197564091E-2</v>
      </c>
      <c r="J3" s="10">
        <f>LN(D3/D2)</f>
        <v>2.4126598776234309E-2</v>
      </c>
      <c r="K3" s="10">
        <f>H3-(1-F3)*I3-F3*J3</f>
        <v>1.0949824924729176E-2</v>
      </c>
      <c r="L3" s="20"/>
      <c r="M3" s="10">
        <f t="shared" ref="M3:M8" si="0">M2+K3</f>
        <v>1.0949824924729176E-2</v>
      </c>
      <c r="N3" s="10">
        <f t="shared" ref="N3:N66" si="1">EXP(M3)</f>
        <v>1.0110099936695383</v>
      </c>
    </row>
    <row r="4" spans="1:14" x14ac:dyDescent="0.3">
      <c r="A4" s="8">
        <v>1949</v>
      </c>
      <c r="B4" s="10">
        <f>data!Y4</f>
        <v>1.0339700000000001</v>
      </c>
      <c r="C4" s="10">
        <f>data!AB4</f>
        <v>1.0618300000000001</v>
      </c>
      <c r="D4" s="10">
        <f>data!AE4</f>
        <v>0.98833000000000004</v>
      </c>
      <c r="E4" s="19"/>
      <c r="F4" s="10">
        <f t="shared" ref="F4:F67" si="2">F3</f>
        <v>0.5635024285714284</v>
      </c>
      <c r="G4" s="19"/>
      <c r="H4" s="10">
        <f>LN(B4/B3)</f>
        <v>-6.3917077483813403E-3</v>
      </c>
      <c r="I4" s="10">
        <f>LN(C4/C3)</f>
        <v>2.5051491479193298E-2</v>
      </c>
      <c r="J4" s="10">
        <f t="shared" ref="J4:J67" si="3">LN(D4/D3)</f>
        <v>-3.5865227681624264E-2</v>
      </c>
      <c r="K4" s="10">
        <f t="shared" ref="K4:K67" si="4">H4-(1-F4)*I4-F4*J4</f>
        <v>2.8835199601497247E-3</v>
      </c>
      <c r="L4" s="20"/>
      <c r="M4" s="10">
        <f t="shared" si="0"/>
        <v>1.38333448848789E-2</v>
      </c>
      <c r="N4" s="10">
        <f t="shared" si="1"/>
        <v>1.0139294683250399</v>
      </c>
    </row>
    <row r="5" spans="1:14" x14ac:dyDescent="0.3">
      <c r="A5" s="8">
        <v>1950</v>
      </c>
      <c r="B5" s="10">
        <f>data!Y5</f>
        <v>1.1168</v>
      </c>
      <c r="C5" s="10">
        <f>data!AB5</f>
        <v>1.09954</v>
      </c>
      <c r="D5" s="10">
        <f>data!AE5</f>
        <v>1.0290299999999999</v>
      </c>
      <c r="E5" s="19"/>
      <c r="F5" s="10">
        <f t="shared" si="2"/>
        <v>0.5635024285714284</v>
      </c>
      <c r="G5" s="19"/>
      <c r="H5" s="10">
        <f>LN(B5/B4)</f>
        <v>7.7061690900286237E-2</v>
      </c>
      <c r="I5" s="10">
        <f>LN(C5/C4)</f>
        <v>3.4898075846984851E-2</v>
      </c>
      <c r="J5" s="10">
        <f t="shared" si="3"/>
        <v>4.0355239851268231E-2</v>
      </c>
      <c r="K5" s="10">
        <f t="shared" si="4"/>
        <v>3.9088489883775113E-2</v>
      </c>
      <c r="L5" s="20"/>
      <c r="M5" s="10">
        <f t="shared" si="0"/>
        <v>5.2921834768654016E-2</v>
      </c>
      <c r="N5" s="10">
        <f t="shared" si="1"/>
        <v>1.054347228603302</v>
      </c>
    </row>
    <row r="6" spans="1:14" x14ac:dyDescent="0.3">
      <c r="A6" s="8">
        <v>1951</v>
      </c>
      <c r="B6" s="10">
        <f>data!Y6</f>
        <v>1.1909400000000001</v>
      </c>
      <c r="C6" s="10">
        <f>data!AB6</f>
        <v>1.1515599999999999</v>
      </c>
      <c r="D6" s="10">
        <f>data!AE6</f>
        <v>1.09934</v>
      </c>
      <c r="E6" s="19"/>
      <c r="F6" s="10">
        <f t="shared" si="2"/>
        <v>0.5635024285714284</v>
      </c>
      <c r="G6" s="19"/>
      <c r="H6" s="10">
        <f t="shared" ref="H6:I37" si="5">LN(B6/B5)</f>
        <v>6.4275458244433217E-2</v>
      </c>
      <c r="I6" s="10">
        <f t="shared" si="5"/>
        <v>4.6225634346155231E-2</v>
      </c>
      <c r="J6" s="10">
        <f t="shared" si="3"/>
        <v>6.6093388786414242E-2</v>
      </c>
      <c r="K6" s="10">
        <f t="shared" si="4"/>
        <v>6.8542960209312526E-3</v>
      </c>
      <c r="L6" s="20"/>
      <c r="M6" s="10">
        <f t="shared" si="0"/>
        <v>5.9776130789585269E-2</v>
      </c>
      <c r="N6" s="10">
        <f t="shared" si="1"/>
        <v>1.0615988606423654</v>
      </c>
    </row>
    <row r="7" spans="1:14" x14ac:dyDescent="0.3">
      <c r="A7" s="8">
        <v>1952</v>
      </c>
      <c r="B7" s="10">
        <f>data!Y7</f>
        <v>1.2360500000000001</v>
      </c>
      <c r="C7" s="10">
        <f>data!AB7</f>
        <v>1.1994800000000001</v>
      </c>
      <c r="D7" s="10">
        <f>data!AE7</f>
        <v>1.1224000000000001</v>
      </c>
      <c r="E7" s="19"/>
      <c r="F7" s="10">
        <f t="shared" si="2"/>
        <v>0.5635024285714284</v>
      </c>
      <c r="G7" s="19"/>
      <c r="H7" s="10">
        <f t="shared" si="5"/>
        <v>3.717790002132499E-2</v>
      </c>
      <c r="I7" s="10">
        <f t="shared" si="5"/>
        <v>4.0770584674702737E-2</v>
      </c>
      <c r="J7" s="10">
        <f t="shared" si="3"/>
        <v>2.0759250073821723E-2</v>
      </c>
      <c r="K7" s="10">
        <f t="shared" si="4"/>
        <v>7.6837509931741606E-3</v>
      </c>
      <c r="L7" s="20"/>
      <c r="M7" s="10">
        <f t="shared" si="0"/>
        <v>6.7459881782759426E-2</v>
      </c>
      <c r="N7" s="10">
        <f t="shared" si="1"/>
        <v>1.0697873407760561</v>
      </c>
    </row>
    <row r="8" spans="1:14" x14ac:dyDescent="0.3">
      <c r="A8" s="8">
        <v>1953</v>
      </c>
      <c r="B8" s="10">
        <f>data!Y8</f>
        <v>1.29813</v>
      </c>
      <c r="C8" s="10">
        <f>data!AB8</f>
        <v>1.25268</v>
      </c>
      <c r="D8" s="10">
        <f>data!AE8</f>
        <v>1.1475500000000001</v>
      </c>
      <c r="E8" s="19"/>
      <c r="F8" s="10">
        <f t="shared" si="2"/>
        <v>0.5635024285714284</v>
      </c>
      <c r="G8" s="19"/>
      <c r="H8" s="10">
        <f t="shared" si="5"/>
        <v>4.9003956058288708E-2</v>
      </c>
      <c r="I8" s="10">
        <f t="shared" si="5"/>
        <v>4.3397126681470027E-2</v>
      </c>
      <c r="J8" s="10">
        <f t="shared" si="3"/>
        <v>2.2159985181923535E-2</v>
      </c>
      <c r="K8" s="10">
        <f t="shared" si="4"/>
        <v>1.7574010187728195E-2</v>
      </c>
      <c r="L8" s="20"/>
      <c r="M8" s="10">
        <f t="shared" si="0"/>
        <v>8.5033891970487621E-2</v>
      </c>
      <c r="N8" s="10">
        <f t="shared" si="1"/>
        <v>1.0887539660903855</v>
      </c>
    </row>
    <row r="9" spans="1:14" x14ac:dyDescent="0.3">
      <c r="A9" s="8">
        <v>1954</v>
      </c>
      <c r="B9" s="10">
        <f>data!Y9</f>
        <v>1.29535</v>
      </c>
      <c r="C9" s="10">
        <f>data!AB9</f>
        <v>1.3127</v>
      </c>
      <c r="D9" s="10">
        <f>data!AE9</f>
        <v>1.1093</v>
      </c>
      <c r="E9" s="19"/>
      <c r="F9" s="10">
        <f t="shared" si="2"/>
        <v>0.5635024285714284</v>
      </c>
      <c r="G9" s="19"/>
      <c r="H9" s="10">
        <f t="shared" si="5"/>
        <v>-2.1438384446766279E-3</v>
      </c>
      <c r="I9" s="10">
        <f t="shared" si="5"/>
        <v>4.680082860115431E-2</v>
      </c>
      <c r="J9" s="10">
        <f t="shared" si="3"/>
        <v>-3.3900049225560974E-2</v>
      </c>
      <c r="K9" s="10">
        <f t="shared" si="4"/>
        <v>-3.4695264026307383E-3</v>
      </c>
      <c r="L9" s="20"/>
      <c r="M9" s="10">
        <f t="shared" ref="M9:M71" si="6">M8+K9</f>
        <v>8.1564365567856886E-2</v>
      </c>
      <c r="N9" s="10">
        <f t="shared" si="1"/>
        <v>1.0849830508867309</v>
      </c>
    </row>
    <row r="10" spans="1:14" x14ac:dyDescent="0.3">
      <c r="A10" s="8">
        <v>1955</v>
      </c>
      <c r="B10" s="10">
        <f>data!Y10</f>
        <v>1.3892899999999999</v>
      </c>
      <c r="C10" s="10">
        <f>data!AB10</f>
        <v>1.3686499999999999</v>
      </c>
      <c r="D10" s="10">
        <f>data!AE10</f>
        <v>1.1472100000000001</v>
      </c>
      <c r="E10" s="19"/>
      <c r="F10" s="10">
        <f t="shared" si="2"/>
        <v>0.5635024285714284</v>
      </c>
      <c r="G10" s="19"/>
      <c r="H10" s="10">
        <f t="shared" si="5"/>
        <v>7.0011896372002266E-2</v>
      </c>
      <c r="I10" s="10">
        <f t="shared" si="5"/>
        <v>4.173876772575344E-2</v>
      </c>
      <c r="J10" s="10">
        <f t="shared" si="3"/>
        <v>3.3603721938622086E-2</v>
      </c>
      <c r="K10" s="10">
        <f t="shared" si="4"/>
        <v>3.2857246703837113E-2</v>
      </c>
      <c r="L10" s="20"/>
      <c r="M10" s="10">
        <f t="shared" si="6"/>
        <v>0.11442161227169401</v>
      </c>
      <c r="N10" s="10">
        <f t="shared" si="1"/>
        <v>1.1212247473582477</v>
      </c>
    </row>
    <row r="11" spans="1:14" x14ac:dyDescent="0.3">
      <c r="A11" s="8">
        <v>1956</v>
      </c>
      <c r="B11" s="10">
        <f>data!Y11</f>
        <v>1.4118999999999999</v>
      </c>
      <c r="C11" s="10">
        <f>data!AB11</f>
        <v>1.43503</v>
      </c>
      <c r="D11" s="10">
        <f>data!AE11</f>
        <v>1.1731100000000001</v>
      </c>
      <c r="E11" s="19"/>
      <c r="F11" s="10">
        <f t="shared" si="2"/>
        <v>0.5635024285714284</v>
      </c>
      <c r="G11" s="19"/>
      <c r="H11" s="10">
        <f t="shared" si="5"/>
        <v>1.6143489755998792E-2</v>
      </c>
      <c r="I11" s="10">
        <f t="shared" si="5"/>
        <v>4.7360902363425453E-2</v>
      </c>
      <c r="J11" s="10">
        <f t="shared" si="3"/>
        <v>2.2325434214576438E-2</v>
      </c>
      <c r="K11" s="10">
        <f t="shared" si="4"/>
        <v>-1.7109865505127598E-2</v>
      </c>
      <c r="L11" s="20"/>
      <c r="M11" s="10">
        <f t="shared" si="6"/>
        <v>9.7311746766566412E-2</v>
      </c>
      <c r="N11" s="10">
        <f t="shared" si="1"/>
        <v>1.1022039285779857</v>
      </c>
    </row>
    <row r="12" spans="1:14" x14ac:dyDescent="0.3">
      <c r="A12" s="8">
        <v>1957</v>
      </c>
      <c r="B12" s="10">
        <f>data!Y12</f>
        <v>1.4398899999999999</v>
      </c>
      <c r="C12" s="10">
        <f>data!AB12</f>
        <v>1.49919</v>
      </c>
      <c r="D12" s="10">
        <f>data!AE12</f>
        <v>1.1725300000000001</v>
      </c>
      <c r="E12" s="19"/>
      <c r="F12" s="10">
        <f t="shared" si="2"/>
        <v>0.5635024285714284</v>
      </c>
      <c r="G12" s="19"/>
      <c r="H12" s="10">
        <f t="shared" si="5"/>
        <v>1.9630406747898226E-2</v>
      </c>
      <c r="I12" s="10">
        <f t="shared" si="5"/>
        <v>4.3739207339251518E-2</v>
      </c>
      <c r="J12" s="10">
        <f t="shared" si="3"/>
        <v>-4.945345507585742E-4</v>
      </c>
      <c r="K12" s="10">
        <f t="shared" si="4"/>
        <v>8.1702038846912157E-4</v>
      </c>
      <c r="L12" s="20"/>
      <c r="M12" s="10">
        <f t="shared" si="6"/>
        <v>9.8128767155035532E-2</v>
      </c>
      <c r="N12" s="10">
        <f t="shared" si="1"/>
        <v>1.1031048196329507</v>
      </c>
    </row>
    <row r="13" spans="1:14" x14ac:dyDescent="0.3">
      <c r="A13" s="8">
        <v>1958</v>
      </c>
      <c r="B13" s="10">
        <f>data!Y13</f>
        <v>1.4294899999999999</v>
      </c>
      <c r="C13" s="10">
        <f>data!AB13</f>
        <v>1.55376</v>
      </c>
      <c r="D13" s="10">
        <f>data!AE13</f>
        <v>1.13188</v>
      </c>
      <c r="E13" s="19"/>
      <c r="F13" s="10">
        <f t="shared" si="2"/>
        <v>0.5635024285714284</v>
      </c>
      <c r="G13" s="19"/>
      <c r="H13" s="10">
        <f t="shared" si="5"/>
        <v>-7.2489844784350164E-3</v>
      </c>
      <c r="I13" s="10">
        <f t="shared" si="5"/>
        <v>3.5752837608251833E-2</v>
      </c>
      <c r="J13" s="10">
        <f t="shared" si="3"/>
        <v>-3.5283840270209657E-2</v>
      </c>
      <c r="K13" s="10">
        <f t="shared" si="4"/>
        <v>-2.9724815845275365E-3</v>
      </c>
      <c r="L13" s="20"/>
      <c r="M13" s="10">
        <f t="shared" si="6"/>
        <v>9.5156285570507995E-2</v>
      </c>
      <c r="N13" s="10">
        <f t="shared" si="1"/>
        <v>1.0998307293680227</v>
      </c>
    </row>
    <row r="14" spans="1:14" x14ac:dyDescent="0.3">
      <c r="A14" s="8">
        <v>1959</v>
      </c>
      <c r="B14" s="10">
        <f>data!Y14</f>
        <v>1.5208200000000001</v>
      </c>
      <c r="C14" s="10">
        <f>data!AB14</f>
        <v>1.6125400000000001</v>
      </c>
      <c r="D14" s="10">
        <f>data!AE14</f>
        <v>1.17106</v>
      </c>
      <c r="E14" s="19"/>
      <c r="F14" s="10">
        <f t="shared" si="2"/>
        <v>0.5635024285714284</v>
      </c>
      <c r="G14" s="19"/>
      <c r="H14" s="10">
        <f t="shared" si="5"/>
        <v>6.1931925775975533E-2</v>
      </c>
      <c r="I14" s="10">
        <f t="shared" si="5"/>
        <v>3.7132775717765409E-2</v>
      </c>
      <c r="J14" s="10">
        <f t="shared" si="3"/>
        <v>3.4029354466137599E-2</v>
      </c>
      <c r="K14" s="10">
        <f t="shared" si="4"/>
        <v>2.6547935470382578E-2</v>
      </c>
      <c r="L14" s="20"/>
      <c r="M14" s="10">
        <f t="shared" si="6"/>
        <v>0.12170422104089057</v>
      </c>
      <c r="N14" s="10">
        <f t="shared" si="1"/>
        <v>1.1294199937015501</v>
      </c>
    </row>
    <row r="15" spans="1:14" x14ac:dyDescent="0.3">
      <c r="A15" s="8">
        <v>1960</v>
      </c>
      <c r="B15" s="10">
        <f>data!Y15</f>
        <v>1.5614399999999999</v>
      </c>
      <c r="C15" s="10">
        <f>data!AB15</f>
        <v>1.6789499999999999</v>
      </c>
      <c r="D15" s="10">
        <f>data!AE15</f>
        <v>1.18679</v>
      </c>
      <c r="E15" s="19"/>
      <c r="F15" s="10">
        <f t="shared" si="2"/>
        <v>0.5635024285714284</v>
      </c>
      <c r="G15" s="19"/>
      <c r="H15" s="10">
        <f t="shared" si="5"/>
        <v>2.6358809332232724E-2</v>
      </c>
      <c r="I15" s="10">
        <f t="shared" si="5"/>
        <v>4.0358022439576854E-2</v>
      </c>
      <c r="J15" s="10">
        <f t="shared" si="3"/>
        <v>1.3342861818637341E-2</v>
      </c>
      <c r="K15" s="10">
        <f t="shared" si="4"/>
        <v>1.2238955108025045E-3</v>
      </c>
      <c r="L15" s="20"/>
      <c r="M15" s="10">
        <f t="shared" si="6"/>
        <v>0.12292811655169307</v>
      </c>
      <c r="N15" s="10">
        <f t="shared" si="1"/>
        <v>1.130803131997375</v>
      </c>
    </row>
    <row r="16" spans="1:14" x14ac:dyDescent="0.3">
      <c r="A16" s="8">
        <v>1961</v>
      </c>
      <c r="B16" s="10">
        <f>data!Y16</f>
        <v>1.6002000000000001</v>
      </c>
      <c r="C16" s="10">
        <f>data!AB16</f>
        <v>1.74553</v>
      </c>
      <c r="D16" s="10">
        <f>data!AE16</f>
        <v>1.1874800000000001</v>
      </c>
      <c r="E16" s="19"/>
      <c r="F16" s="10">
        <f t="shared" si="2"/>
        <v>0.5635024285714284</v>
      </c>
      <c r="G16" s="19"/>
      <c r="H16" s="10">
        <f t="shared" si="5"/>
        <v>2.452014902287257E-2</v>
      </c>
      <c r="I16" s="10">
        <f t="shared" si="5"/>
        <v>3.8889636446429267E-2</v>
      </c>
      <c r="J16" s="10">
        <f t="shared" si="3"/>
        <v>5.8123130008406034E-4</v>
      </c>
      <c r="K16" s="10">
        <f t="shared" si="4"/>
        <v>7.2173919111070319E-3</v>
      </c>
      <c r="L16" s="20"/>
      <c r="M16" s="10">
        <f t="shared" si="6"/>
        <v>0.1301455084628001</v>
      </c>
      <c r="N16" s="10">
        <f t="shared" si="1"/>
        <v>1.1389941045487004</v>
      </c>
    </row>
    <row r="17" spans="1:14" x14ac:dyDescent="0.3">
      <c r="A17" s="8">
        <v>1962</v>
      </c>
      <c r="B17" s="10">
        <f>data!Y17</f>
        <v>1.70187</v>
      </c>
      <c r="C17" s="10">
        <f>data!AB17</f>
        <v>1.82185</v>
      </c>
      <c r="D17" s="10">
        <f>data!AE17</f>
        <v>1.22129</v>
      </c>
      <c r="E17" s="19"/>
      <c r="F17" s="10">
        <f t="shared" si="2"/>
        <v>0.5635024285714284</v>
      </c>
      <c r="G17" s="19"/>
      <c r="H17" s="10">
        <f t="shared" si="5"/>
        <v>6.1599025071584768E-2</v>
      </c>
      <c r="I17" s="10">
        <f t="shared" si="5"/>
        <v>4.2794233867962703E-2</v>
      </c>
      <c r="J17" s="10">
        <f t="shared" si="3"/>
        <v>2.8074262485420481E-2</v>
      </c>
      <c r="K17" s="10">
        <f t="shared" si="4"/>
        <v>2.7099530826186536E-2</v>
      </c>
      <c r="L17" s="20"/>
      <c r="M17" s="10">
        <f t="shared" si="6"/>
        <v>0.15724503928898664</v>
      </c>
      <c r="N17" s="10">
        <f t="shared" si="1"/>
        <v>1.1702823439228871</v>
      </c>
    </row>
    <row r="18" spans="1:14" x14ac:dyDescent="0.3">
      <c r="A18" s="8">
        <v>1963</v>
      </c>
      <c r="B18" s="10">
        <f>data!Y18</f>
        <v>1.7798799999999999</v>
      </c>
      <c r="C18" s="10">
        <f>data!AB18</f>
        <v>1.9064700000000001</v>
      </c>
      <c r="D18" s="10">
        <f>data!AE18</f>
        <v>1.23628</v>
      </c>
      <c r="E18" s="19"/>
      <c r="F18" s="10">
        <f t="shared" si="2"/>
        <v>0.5635024285714284</v>
      </c>
      <c r="G18" s="19"/>
      <c r="H18" s="10">
        <f t="shared" si="5"/>
        <v>4.4818299795642877E-2</v>
      </c>
      <c r="I18" s="10">
        <f t="shared" si="5"/>
        <v>4.5400896214806433E-2</v>
      </c>
      <c r="J18" s="10">
        <f t="shared" si="3"/>
        <v>1.219919343166018E-2</v>
      </c>
      <c r="K18" s="10">
        <f t="shared" si="4"/>
        <v>1.8126643731846109E-2</v>
      </c>
      <c r="L18" s="20"/>
      <c r="M18" s="10">
        <f t="shared" si="6"/>
        <v>0.17537168302083275</v>
      </c>
      <c r="N18" s="10">
        <f t="shared" si="1"/>
        <v>1.1916890648992005</v>
      </c>
    </row>
    <row r="19" spans="1:14" x14ac:dyDescent="0.3">
      <c r="A19" s="8">
        <v>1964</v>
      </c>
      <c r="B19" s="10">
        <f>data!Y19</f>
        <v>1.88293</v>
      </c>
      <c r="C19" s="10">
        <f>data!AB19</f>
        <v>1.9979</v>
      </c>
      <c r="D19" s="10">
        <f>data!AE19</f>
        <v>1.2631699999999999</v>
      </c>
      <c r="E19" s="19"/>
      <c r="F19" s="10">
        <f t="shared" si="2"/>
        <v>0.5635024285714284</v>
      </c>
      <c r="G19" s="19"/>
      <c r="H19" s="10">
        <f t="shared" si="5"/>
        <v>5.6283127961714613E-2</v>
      </c>
      <c r="I19" s="10">
        <f t="shared" si="5"/>
        <v>4.6843264373318635E-2</v>
      </c>
      <c r="J19" s="10">
        <f t="shared" si="3"/>
        <v>2.1517563872271817E-2</v>
      </c>
      <c r="K19" s="10">
        <f t="shared" si="4"/>
        <v>2.3710957326008503E-2</v>
      </c>
      <c r="L19" s="20"/>
      <c r="M19" s="10">
        <f t="shared" si="6"/>
        <v>0.19908264034684126</v>
      </c>
      <c r="N19" s="10">
        <f t="shared" si="1"/>
        <v>1.2202828063274305</v>
      </c>
    </row>
    <row r="20" spans="1:14" x14ac:dyDescent="0.3">
      <c r="A20" s="8">
        <v>1965</v>
      </c>
      <c r="B20" s="10">
        <f>data!Y20</f>
        <v>2.0024299999999999</v>
      </c>
      <c r="C20" s="10">
        <f>data!AB20</f>
        <v>2.1085199999999999</v>
      </c>
      <c r="D20" s="10">
        <f>data!AE20</f>
        <v>1.3098399999999999</v>
      </c>
      <c r="E20" s="19"/>
      <c r="F20" s="10">
        <f t="shared" si="2"/>
        <v>0.5635024285714284</v>
      </c>
      <c r="G20" s="19"/>
      <c r="H20" s="10">
        <f t="shared" si="5"/>
        <v>6.1532368781943486E-2</v>
      </c>
      <c r="I20" s="10">
        <f t="shared" si="5"/>
        <v>5.3889650651897616E-2</v>
      </c>
      <c r="J20" s="10">
        <f t="shared" si="3"/>
        <v>3.6280557880181176E-2</v>
      </c>
      <c r="K20" s="10">
        <f t="shared" si="4"/>
        <v>1.7565484671847671E-2</v>
      </c>
      <c r="L20" s="20"/>
      <c r="M20" s="10">
        <f t="shared" si="6"/>
        <v>0.21664812501868894</v>
      </c>
      <c r="N20" s="10">
        <f t="shared" si="1"/>
        <v>1.2419070292320624</v>
      </c>
    </row>
    <row r="21" spans="1:14" x14ac:dyDescent="0.3">
      <c r="A21" s="8">
        <v>1966</v>
      </c>
      <c r="B21" s="10">
        <f>data!Y21</f>
        <v>2.1280199999999998</v>
      </c>
      <c r="C21" s="10">
        <f>data!AB21</f>
        <v>2.2357200000000002</v>
      </c>
      <c r="D21" s="10">
        <f>data!AE21</f>
        <v>1.3658399999999999</v>
      </c>
      <c r="E21" s="19"/>
      <c r="F21" s="10">
        <f t="shared" si="2"/>
        <v>0.5635024285714284</v>
      </c>
      <c r="G21" s="19"/>
      <c r="H21" s="10">
        <f t="shared" si="5"/>
        <v>6.0830526886700702E-2</v>
      </c>
      <c r="I21" s="10">
        <f t="shared" si="5"/>
        <v>5.8577044262461894E-2</v>
      </c>
      <c r="J21" s="10">
        <f t="shared" si="3"/>
        <v>4.1864631631741388E-2</v>
      </c>
      <c r="K21" s="10">
        <f t="shared" si="4"/>
        <v>1.1670967728937623E-2</v>
      </c>
      <c r="L21" s="20"/>
      <c r="M21" s="10">
        <f t="shared" si="6"/>
        <v>0.22831909274762657</v>
      </c>
      <c r="N21" s="10">
        <f t="shared" si="1"/>
        <v>1.25648619710431</v>
      </c>
    </row>
    <row r="22" spans="1:14" x14ac:dyDescent="0.3">
      <c r="A22" s="8">
        <v>1967</v>
      </c>
      <c r="B22" s="10">
        <f>data!Y22</f>
        <v>2.1890200000000002</v>
      </c>
      <c r="C22" s="10">
        <f>data!AB22</f>
        <v>2.3753000000000002</v>
      </c>
      <c r="D22" s="10">
        <f>data!AE22</f>
        <v>1.38056</v>
      </c>
      <c r="E22" s="19"/>
      <c r="F22" s="10">
        <f t="shared" si="2"/>
        <v>0.5635024285714284</v>
      </c>
      <c r="G22" s="19"/>
      <c r="H22" s="10">
        <f t="shared" si="5"/>
        <v>2.8261985159565923E-2</v>
      </c>
      <c r="I22" s="10">
        <f t="shared" si="5"/>
        <v>6.0560421460784865E-2</v>
      </c>
      <c r="J22" s="10">
        <f t="shared" si="3"/>
        <v>1.0719589976345468E-2</v>
      </c>
      <c r="K22" s="10">
        <f t="shared" si="4"/>
        <v>-4.2130067177180309E-3</v>
      </c>
      <c r="L22" s="20"/>
      <c r="M22" s="10">
        <f t="shared" si="6"/>
        <v>0.22410608602990853</v>
      </c>
      <c r="N22" s="10">
        <f t="shared" si="1"/>
        <v>1.2512037476261264</v>
      </c>
    </row>
    <row r="23" spans="1:14" x14ac:dyDescent="0.3">
      <c r="A23" s="8">
        <v>1968</v>
      </c>
      <c r="B23" s="10">
        <f>data!Y23</f>
        <v>2.30139</v>
      </c>
      <c r="C23" s="10">
        <f>data!AB23</f>
        <v>2.50997</v>
      </c>
      <c r="D23" s="10">
        <f>data!AE23</f>
        <v>1.40533</v>
      </c>
      <c r="E23" s="19"/>
      <c r="F23" s="10">
        <f t="shared" si="2"/>
        <v>0.5635024285714284</v>
      </c>
      <c r="G23" s="19"/>
      <c r="H23" s="10">
        <f t="shared" si="5"/>
        <v>5.0059333125548083E-2</v>
      </c>
      <c r="I23" s="10">
        <f t="shared" si="5"/>
        <v>5.5147055582118729E-2</v>
      </c>
      <c r="J23" s="10">
        <f t="shared" si="3"/>
        <v>1.7782936694443609E-2</v>
      </c>
      <c r="K23" s="10">
        <f t="shared" si="4"/>
        <v>1.5967049278065863E-2</v>
      </c>
      <c r="L23" s="20"/>
      <c r="M23" s="10">
        <f t="shared" si="6"/>
        <v>0.24007313530797439</v>
      </c>
      <c r="N23" s="10">
        <f t="shared" si="1"/>
        <v>1.2713421269194203</v>
      </c>
    </row>
    <row r="24" spans="1:14" x14ac:dyDescent="0.3">
      <c r="A24" s="8">
        <v>1969</v>
      </c>
      <c r="B24" s="10">
        <f>data!Y24</f>
        <v>2.3747400000000001</v>
      </c>
      <c r="C24" s="10">
        <f>data!AB24</f>
        <v>2.6488200000000002</v>
      </c>
      <c r="D24" s="10">
        <f>data!AE24</f>
        <v>1.4378500000000001</v>
      </c>
      <c r="E24" s="19"/>
      <c r="F24" s="10">
        <f t="shared" si="2"/>
        <v>0.5635024285714284</v>
      </c>
      <c r="G24" s="19"/>
      <c r="H24" s="10">
        <f t="shared" si="5"/>
        <v>3.1374669593126063E-2</v>
      </c>
      <c r="I24" s="10">
        <f t="shared" si="5"/>
        <v>5.3843456930310556E-2</v>
      </c>
      <c r="J24" s="10">
        <f t="shared" si="3"/>
        <v>2.2876791662586639E-2</v>
      </c>
      <c r="K24" s="10">
        <f t="shared" si="4"/>
        <v>-5.0189962540635631E-3</v>
      </c>
      <c r="L24" s="20"/>
      <c r="M24" s="10">
        <f t="shared" si="6"/>
        <v>0.23505413905391082</v>
      </c>
      <c r="N24" s="10">
        <f t="shared" si="1"/>
        <v>1.2649772515506952</v>
      </c>
    </row>
    <row r="25" spans="1:14" x14ac:dyDescent="0.3">
      <c r="A25" s="8">
        <v>1970</v>
      </c>
      <c r="B25" s="10">
        <f>data!Y25</f>
        <v>2.3827799999999999</v>
      </c>
      <c r="C25" s="10">
        <f>data!AB25</f>
        <v>2.7715999999999998</v>
      </c>
      <c r="D25" s="10">
        <f>data!AE25</f>
        <v>1.4046099999999999</v>
      </c>
      <c r="E25" s="19"/>
      <c r="F25" s="10">
        <f t="shared" si="2"/>
        <v>0.5635024285714284</v>
      </c>
      <c r="G25" s="19"/>
      <c r="H25" s="10">
        <f t="shared" si="5"/>
        <v>3.3799154408025193E-3</v>
      </c>
      <c r="I25" s="10">
        <f t="shared" si="5"/>
        <v>4.531051295974927E-2</v>
      </c>
      <c r="J25" s="10">
        <f t="shared" si="3"/>
        <v>-2.3389258132160782E-2</v>
      </c>
      <c r="K25" s="10">
        <f t="shared" si="4"/>
        <v>-3.2181096663542255E-3</v>
      </c>
      <c r="L25" s="20"/>
      <c r="M25" s="10">
        <f t="shared" si="6"/>
        <v>0.2318360293875566</v>
      </c>
      <c r="N25" s="10">
        <f t="shared" si="1"/>
        <v>1.2609129592065631</v>
      </c>
    </row>
    <row r="26" spans="1:14" x14ac:dyDescent="0.3">
      <c r="A26" s="8">
        <v>1971</v>
      </c>
      <c r="B26" s="10">
        <f>data!Y26</f>
        <v>2.4590700000000001</v>
      </c>
      <c r="C26" s="10">
        <f>data!AB26</f>
        <v>2.9007299999999998</v>
      </c>
      <c r="D26" s="10">
        <f>data!AE26</f>
        <v>1.40008</v>
      </c>
      <c r="E26" s="19"/>
      <c r="F26" s="10">
        <f t="shared" si="2"/>
        <v>0.5635024285714284</v>
      </c>
      <c r="G26" s="19"/>
      <c r="H26" s="10">
        <f t="shared" si="5"/>
        <v>3.1515356434812555E-2</v>
      </c>
      <c r="I26" s="10">
        <f t="shared" si="5"/>
        <v>4.5537658682065225E-2</v>
      </c>
      <c r="J26" s="10">
        <f t="shared" si="3"/>
        <v>-3.2303063362910905E-3</v>
      </c>
      <c r="K26" s="10">
        <f t="shared" si="4"/>
        <v>1.3458564477077578E-2</v>
      </c>
      <c r="L26" s="20"/>
      <c r="M26" s="10">
        <f t="shared" si="6"/>
        <v>0.24529459386463418</v>
      </c>
      <c r="N26" s="10">
        <f t="shared" si="1"/>
        <v>1.2779977480500582</v>
      </c>
    </row>
    <row r="27" spans="1:14" x14ac:dyDescent="0.3">
      <c r="A27" s="8">
        <v>1972</v>
      </c>
      <c r="B27" s="10">
        <f>data!Y27</f>
        <v>2.5888800000000001</v>
      </c>
      <c r="C27" s="10">
        <f>data!AB27</f>
        <v>3.0204900000000001</v>
      </c>
      <c r="D27" s="10">
        <f>data!AE27</f>
        <v>1.4323699999999999</v>
      </c>
      <c r="E27" s="19"/>
      <c r="F27" s="10">
        <f t="shared" si="2"/>
        <v>0.5635024285714284</v>
      </c>
      <c r="G27" s="19"/>
      <c r="H27" s="10">
        <f t="shared" si="5"/>
        <v>5.1442120067818307E-2</v>
      </c>
      <c r="I27" s="10">
        <f t="shared" si="5"/>
        <v>4.0456640427876819E-2</v>
      </c>
      <c r="J27" s="10">
        <f t="shared" si="3"/>
        <v>2.2801037206622531E-2</v>
      </c>
      <c r="K27" s="10">
        <f t="shared" si="4"/>
        <v>2.0934454933011812E-2</v>
      </c>
      <c r="L27" s="20"/>
      <c r="M27" s="10">
        <f t="shared" si="6"/>
        <v>0.26622904879764597</v>
      </c>
      <c r="N27" s="10">
        <f t="shared" si="1"/>
        <v>1.3050339409113672</v>
      </c>
    </row>
    <row r="28" spans="1:14" x14ac:dyDescent="0.3">
      <c r="A28" s="8">
        <v>1973</v>
      </c>
      <c r="B28" s="10">
        <f>data!Y28</f>
        <v>2.72281</v>
      </c>
      <c r="C28" s="10">
        <f>data!AB28</f>
        <v>3.1526900000000002</v>
      </c>
      <c r="D28" s="10">
        <f>data!AE28</f>
        <v>1.49177</v>
      </c>
      <c r="E28" s="19"/>
      <c r="F28" s="10">
        <f t="shared" si="2"/>
        <v>0.5635024285714284</v>
      </c>
      <c r="G28" s="19"/>
      <c r="H28" s="10">
        <f t="shared" si="5"/>
        <v>5.0439085521646658E-2</v>
      </c>
      <c r="I28" s="10">
        <f t="shared" si="5"/>
        <v>4.283698678704527E-2</v>
      </c>
      <c r="J28" s="10">
        <f t="shared" si="3"/>
        <v>4.0632919350023541E-2</v>
      </c>
      <c r="K28" s="10">
        <f t="shared" si="4"/>
        <v>8.8440960880983369E-3</v>
      </c>
      <c r="L28" s="20"/>
      <c r="M28" s="10">
        <f t="shared" si="6"/>
        <v>0.2750731448857443</v>
      </c>
      <c r="N28" s="10">
        <f t="shared" si="1"/>
        <v>1.3166269758753339</v>
      </c>
    </row>
    <row r="29" spans="1:14" x14ac:dyDescent="0.3">
      <c r="A29" s="8">
        <v>1974</v>
      </c>
      <c r="B29" s="10">
        <f>data!Y29</f>
        <v>2.7034400000000001</v>
      </c>
      <c r="C29" s="10">
        <f>data!AB29</f>
        <v>3.2913800000000002</v>
      </c>
      <c r="D29" s="10">
        <f>data!AE29</f>
        <v>1.4881899999999999</v>
      </c>
      <c r="E29" s="19"/>
      <c r="F29" s="10">
        <f t="shared" si="2"/>
        <v>0.5635024285714284</v>
      </c>
      <c r="G29" s="19"/>
      <c r="H29" s="10">
        <f t="shared" si="5"/>
        <v>-7.1393991340802541E-3</v>
      </c>
      <c r="I29" s="10">
        <f t="shared" si="5"/>
        <v>4.3050873050971432E-2</v>
      </c>
      <c r="J29" s="10">
        <f t="shared" si="3"/>
        <v>-2.4027179709085874E-3</v>
      </c>
      <c r="K29" s="10">
        <f t="shared" si="4"/>
        <v>-2.4577063256929821E-2</v>
      </c>
      <c r="L29" s="20"/>
      <c r="M29" s="10">
        <f t="shared" si="6"/>
        <v>0.25049608162881448</v>
      </c>
      <c r="N29" s="10">
        <f t="shared" si="1"/>
        <v>1.2846625561314111</v>
      </c>
    </row>
    <row r="30" spans="1:14" x14ac:dyDescent="0.3">
      <c r="A30" s="8">
        <v>1975</v>
      </c>
      <c r="B30" s="10">
        <f>data!Y30</f>
        <v>2.6943800000000002</v>
      </c>
      <c r="C30" s="10">
        <f>data!AB30</f>
        <v>3.4009399999999999</v>
      </c>
      <c r="D30" s="10">
        <f>data!AE30</f>
        <v>1.4484999999999999</v>
      </c>
      <c r="E30" s="19"/>
      <c r="F30" s="10">
        <f t="shared" si="2"/>
        <v>0.5635024285714284</v>
      </c>
      <c r="G30" s="19"/>
      <c r="H30" s="10">
        <f t="shared" si="5"/>
        <v>-3.3569139052416286E-3</v>
      </c>
      <c r="I30" s="10">
        <f t="shared" si="5"/>
        <v>3.2744934280352585E-2</v>
      </c>
      <c r="J30" s="10">
        <f t="shared" si="3"/>
        <v>-2.7032078204234391E-2</v>
      </c>
      <c r="K30" s="10">
        <f t="shared" si="4"/>
        <v>-2.4173564777848575E-3</v>
      </c>
      <c r="L30" s="20"/>
      <c r="M30" s="10">
        <f t="shared" si="6"/>
        <v>0.24807872515102963</v>
      </c>
      <c r="N30" s="10">
        <f t="shared" si="1"/>
        <v>1.2815608192918455</v>
      </c>
    </row>
    <row r="31" spans="1:14" x14ac:dyDescent="0.3">
      <c r="A31" s="8">
        <v>1976</v>
      </c>
      <c r="B31" s="10">
        <f>data!Y31</f>
        <v>2.8324199999999999</v>
      </c>
      <c r="C31" s="10">
        <f>data!AB31</f>
        <v>3.4965700000000002</v>
      </c>
      <c r="D31" s="10">
        <f>data!AE31</f>
        <v>1.49011</v>
      </c>
      <c r="E31" s="19"/>
      <c r="F31" s="10">
        <f t="shared" si="2"/>
        <v>0.5635024285714284</v>
      </c>
      <c r="G31" s="19"/>
      <c r="H31" s="10">
        <f t="shared" si="5"/>
        <v>4.9963347684635957E-2</v>
      </c>
      <c r="I31" s="10">
        <f t="shared" si="5"/>
        <v>2.7730623982006156E-2</v>
      </c>
      <c r="J31" s="10">
        <f t="shared" si="3"/>
        <v>2.832140450848708E-2</v>
      </c>
      <c r="K31" s="10">
        <f t="shared" si="4"/>
        <v>2.1899817441205095E-2</v>
      </c>
      <c r="L31" s="20"/>
      <c r="M31" s="10">
        <f t="shared" si="6"/>
        <v>0.26997854259223475</v>
      </c>
      <c r="N31" s="10">
        <f t="shared" si="1"/>
        <v>1.3099363425934349</v>
      </c>
    </row>
    <row r="32" spans="1:14" x14ac:dyDescent="0.3">
      <c r="A32" s="8">
        <v>1977</v>
      </c>
      <c r="B32" s="10">
        <f>data!Y32</f>
        <v>2.9506100000000002</v>
      </c>
      <c r="C32" s="10">
        <f>data!AB32</f>
        <v>3.6051199999999999</v>
      </c>
      <c r="D32" s="10">
        <f>data!AE32</f>
        <v>1.54749</v>
      </c>
      <c r="E32" s="19"/>
      <c r="F32" s="10">
        <f t="shared" si="2"/>
        <v>0.5635024285714284</v>
      </c>
      <c r="G32" s="19"/>
      <c r="H32" s="10">
        <f t="shared" si="5"/>
        <v>4.0880458716670939E-2</v>
      </c>
      <c r="I32" s="10">
        <f t="shared" si="5"/>
        <v>3.0572569302750784E-2</v>
      </c>
      <c r="J32" s="10">
        <f t="shared" si="3"/>
        <v>3.7784320784438809E-2</v>
      </c>
      <c r="K32" s="10">
        <f t="shared" si="4"/>
        <v>6.2440499397353535E-3</v>
      </c>
      <c r="L32" s="20"/>
      <c r="M32" s="10">
        <f t="shared" si="6"/>
        <v>0.27622259253197012</v>
      </c>
      <c r="N32" s="10">
        <f t="shared" si="1"/>
        <v>1.3181412397705219</v>
      </c>
    </row>
    <row r="33" spans="1:14" x14ac:dyDescent="0.3">
      <c r="A33" s="8">
        <v>1978</v>
      </c>
      <c r="B33" s="10">
        <f>data!Y33</f>
        <v>3.0999599999999998</v>
      </c>
      <c r="C33" s="10">
        <f>data!AB33</f>
        <v>3.77996</v>
      </c>
      <c r="D33" s="10">
        <f>data!AE33</f>
        <v>1.6213500000000001</v>
      </c>
      <c r="E33" s="19"/>
      <c r="F33" s="10">
        <f t="shared" si="2"/>
        <v>0.5635024285714284</v>
      </c>
      <c r="G33" s="19"/>
      <c r="H33" s="10">
        <f t="shared" si="5"/>
        <v>4.937727954526866E-2</v>
      </c>
      <c r="I33" s="10">
        <f t="shared" si="5"/>
        <v>4.7358370280767073E-2</v>
      </c>
      <c r="J33" s="10">
        <f t="shared" si="3"/>
        <v>4.6624872027990726E-2</v>
      </c>
      <c r="K33" s="10">
        <f t="shared" si="4"/>
        <v>2.4322373112939562E-3</v>
      </c>
      <c r="L33" s="20"/>
      <c r="M33" s="10">
        <f t="shared" si="6"/>
        <v>0.27865482984326406</v>
      </c>
      <c r="N33" s="10">
        <f t="shared" si="1"/>
        <v>1.3213511741540962</v>
      </c>
    </row>
    <row r="34" spans="1:14" x14ac:dyDescent="0.3">
      <c r="A34" s="8">
        <v>1979</v>
      </c>
      <c r="B34" s="10">
        <f>data!Y34</f>
        <v>3.1942699999999999</v>
      </c>
      <c r="C34" s="10">
        <f>data!AB34</f>
        <v>3.9663200000000001</v>
      </c>
      <c r="D34" s="10">
        <f>data!AE34</f>
        <v>1.67455</v>
      </c>
      <c r="E34" s="19"/>
      <c r="F34" s="10">
        <f t="shared" si="2"/>
        <v>0.5635024285714284</v>
      </c>
      <c r="G34" s="19"/>
      <c r="H34" s="10">
        <f t="shared" si="5"/>
        <v>2.9969371538331967E-2</v>
      </c>
      <c r="I34" s="10">
        <f t="shared" si="5"/>
        <v>4.8125285107304572E-2</v>
      </c>
      <c r="J34" s="10">
        <f t="shared" si="3"/>
        <v>3.2285336917746717E-2</v>
      </c>
      <c r="K34" s="10">
        <f t="shared" si="4"/>
        <v>-9.2300642957111531E-3</v>
      </c>
      <c r="L34" s="20"/>
      <c r="M34" s="10">
        <f t="shared" si="6"/>
        <v>0.2694247655475529</v>
      </c>
      <c r="N34" s="10">
        <f t="shared" si="1"/>
        <v>1.3092111307382845</v>
      </c>
    </row>
    <row r="35" spans="1:14" x14ac:dyDescent="0.3">
      <c r="A35" s="8">
        <v>1980</v>
      </c>
      <c r="B35" s="10">
        <f>data!Y35</f>
        <v>3.1723499999999998</v>
      </c>
      <c r="C35" s="10">
        <f>data!AB35</f>
        <v>4.1551799999999997</v>
      </c>
      <c r="D35" s="10">
        <f>data!AE35</f>
        <v>1.66185</v>
      </c>
      <c r="E35" s="19"/>
      <c r="F35" s="10">
        <f t="shared" si="2"/>
        <v>0.5635024285714284</v>
      </c>
      <c r="G35" s="19"/>
      <c r="H35" s="10">
        <f t="shared" si="5"/>
        <v>-6.8859415556472604E-3</v>
      </c>
      <c r="I35" s="10">
        <f t="shared" si="5"/>
        <v>4.6517035996481056E-2</v>
      </c>
      <c r="J35" s="10">
        <f t="shared" si="3"/>
        <v>-7.6130328132767277E-3</v>
      </c>
      <c r="K35" s="10">
        <f t="shared" si="4"/>
        <v>-2.2900552319091275E-2</v>
      </c>
      <c r="L35" s="20"/>
      <c r="M35" s="10">
        <f t="shared" si="6"/>
        <v>0.24652421322846163</v>
      </c>
      <c r="N35" s="10">
        <f t="shared" si="1"/>
        <v>1.2795701653672591</v>
      </c>
    </row>
    <row r="36" spans="1:14" x14ac:dyDescent="0.3">
      <c r="A36" s="8">
        <v>1981</v>
      </c>
      <c r="B36" s="10">
        <f>data!Y36</f>
        <v>3.2517299999999998</v>
      </c>
      <c r="C36" s="10">
        <f>data!AB36</f>
        <v>4.3158300000000001</v>
      </c>
      <c r="D36" s="10">
        <f>data!AE36</f>
        <v>1.6838299999999999</v>
      </c>
      <c r="E36" s="19"/>
      <c r="F36" s="10">
        <f t="shared" si="2"/>
        <v>0.5635024285714284</v>
      </c>
      <c r="G36" s="19"/>
      <c r="H36" s="10">
        <f t="shared" si="5"/>
        <v>2.4714524243739277E-2</v>
      </c>
      <c r="I36" s="10">
        <f t="shared" si="5"/>
        <v>3.7933909628917122E-2</v>
      </c>
      <c r="J36" s="10">
        <f t="shared" si="3"/>
        <v>1.3139520952909262E-2</v>
      </c>
      <c r="K36" s="10">
        <f t="shared" si="4"/>
        <v>7.5231284869650607E-4</v>
      </c>
      <c r="L36" s="20"/>
      <c r="M36" s="10">
        <f t="shared" si="6"/>
        <v>0.24727652607715814</v>
      </c>
      <c r="N36" s="10">
        <f t="shared" si="1"/>
        <v>1.280533164636416</v>
      </c>
    </row>
    <row r="37" spans="1:14" x14ac:dyDescent="0.3">
      <c r="A37" s="8">
        <v>1982</v>
      </c>
      <c r="B37" s="10">
        <f>data!Y37</f>
        <v>3.1902300000000001</v>
      </c>
      <c r="C37" s="10">
        <f>data!AB37</f>
        <v>4.4880000000000004</v>
      </c>
      <c r="D37" s="10">
        <f>data!AE37</f>
        <v>1.6490100000000001</v>
      </c>
      <c r="E37" s="19"/>
      <c r="F37" s="10">
        <f t="shared" si="2"/>
        <v>0.5635024285714284</v>
      </c>
      <c r="G37" s="19"/>
      <c r="H37" s="10">
        <f t="shared" si="5"/>
        <v>-1.9094147897340531E-2</v>
      </c>
      <c r="I37" s="10">
        <f t="shared" si="5"/>
        <v>3.911750992276828E-2</v>
      </c>
      <c r="J37" s="10">
        <f t="shared" si="3"/>
        <v>-2.0895852765107002E-2</v>
      </c>
      <c r="K37" s="10">
        <f t="shared" si="4"/>
        <v>-2.4393982198753144E-2</v>
      </c>
      <c r="L37" s="20"/>
      <c r="M37" s="10">
        <f t="shared" si="6"/>
        <v>0.222882543878405</v>
      </c>
      <c r="N37" s="10">
        <f t="shared" si="1"/>
        <v>1.2496737832795908</v>
      </c>
    </row>
    <row r="38" spans="1:14" x14ac:dyDescent="0.3">
      <c r="A38" s="8">
        <v>1983</v>
      </c>
      <c r="B38" s="10">
        <f>data!Y38</f>
        <v>3.3432300000000001</v>
      </c>
      <c r="C38" s="10">
        <f>data!AB38</f>
        <v>4.6554500000000001</v>
      </c>
      <c r="D38" s="10">
        <f>data!AE38</f>
        <v>1.6745399999999999</v>
      </c>
      <c r="E38" s="19"/>
      <c r="F38" s="10">
        <f t="shared" si="2"/>
        <v>0.5635024285714284</v>
      </c>
      <c r="G38" s="19"/>
      <c r="H38" s="10">
        <f t="shared" ref="H38:I69" si="7">LN(B38/B37)</f>
        <v>4.6844391038799046E-2</v>
      </c>
      <c r="I38" s="10">
        <f t="shared" si="7"/>
        <v>3.6631408083413988E-2</v>
      </c>
      <c r="J38" s="10">
        <f t="shared" si="3"/>
        <v>1.5363392854038061E-2</v>
      </c>
      <c r="K38" s="10">
        <f t="shared" si="4"/>
        <v>2.2197561188032518E-2</v>
      </c>
      <c r="L38" s="20"/>
      <c r="M38" s="10">
        <f t="shared" si="6"/>
        <v>0.24508010506643751</v>
      </c>
      <c r="N38" s="10">
        <f t="shared" si="1"/>
        <v>1.2777236612443064</v>
      </c>
    </row>
    <row r="39" spans="1:14" x14ac:dyDescent="0.3">
      <c r="A39" s="8">
        <v>1984</v>
      </c>
      <c r="B39" s="10">
        <f>data!Y39</f>
        <v>3.5793300000000001</v>
      </c>
      <c r="C39" s="10">
        <f>data!AB39</f>
        <v>4.85426</v>
      </c>
      <c r="D39" s="10">
        <f>data!AE39</f>
        <v>1.76894</v>
      </c>
      <c r="E39" s="19"/>
      <c r="F39" s="10">
        <f t="shared" si="2"/>
        <v>0.5635024285714284</v>
      </c>
      <c r="G39" s="19"/>
      <c r="H39" s="10">
        <f t="shared" si="7"/>
        <v>6.8238226509787406E-2</v>
      </c>
      <c r="I39" s="10">
        <f t="shared" si="7"/>
        <v>4.1818093636966036E-2</v>
      </c>
      <c r="J39" s="10">
        <f t="shared" si="3"/>
        <v>5.484199644044719E-2</v>
      </c>
      <c r="K39" s="10">
        <f t="shared" si="4"/>
        <v>1.9081132013581501E-2</v>
      </c>
      <c r="L39" s="20"/>
      <c r="M39" s="10">
        <f t="shared" si="6"/>
        <v>0.26416123708001904</v>
      </c>
      <c r="N39" s="10">
        <f t="shared" si="1"/>
        <v>1.3023381645759571</v>
      </c>
    </row>
    <row r="40" spans="1:14" x14ac:dyDescent="0.3">
      <c r="A40" s="8">
        <v>1985</v>
      </c>
      <c r="B40" s="10">
        <f>data!Y40</f>
        <v>3.7367400000000002</v>
      </c>
      <c r="C40" s="10">
        <f>data!AB40</f>
        <v>5.0852199999999996</v>
      </c>
      <c r="D40" s="10">
        <f>data!AE40</f>
        <v>1.80694</v>
      </c>
      <c r="E40" s="19"/>
      <c r="F40" s="10">
        <f t="shared" si="2"/>
        <v>0.5635024285714284</v>
      </c>
      <c r="G40" s="19"/>
      <c r="H40" s="10">
        <f t="shared" si="7"/>
        <v>4.3037941498190492E-2</v>
      </c>
      <c r="I40" s="10">
        <f t="shared" si="7"/>
        <v>4.6481623127307713E-2</v>
      </c>
      <c r="J40" s="10">
        <f t="shared" si="3"/>
        <v>2.1254309718011399E-2</v>
      </c>
      <c r="K40" s="10">
        <f t="shared" si="4"/>
        <v>1.0771970743353813E-2</v>
      </c>
      <c r="L40" s="20"/>
      <c r="M40" s="10">
        <f t="shared" si="6"/>
        <v>0.27493320782337283</v>
      </c>
      <c r="N40" s="10">
        <f t="shared" si="1"/>
        <v>1.3164427438548354</v>
      </c>
    </row>
    <row r="41" spans="1:14" x14ac:dyDescent="0.3">
      <c r="A41" s="8">
        <v>1986</v>
      </c>
      <c r="B41" s="10">
        <f>data!Y41</f>
        <v>3.87365</v>
      </c>
      <c r="C41" s="10">
        <f>data!AB41</f>
        <v>5.3226000000000004</v>
      </c>
      <c r="D41" s="10">
        <f>data!AE41</f>
        <v>1.8209200000000001</v>
      </c>
      <c r="E41" s="19"/>
      <c r="F41" s="10">
        <f t="shared" si="2"/>
        <v>0.5635024285714284</v>
      </c>
      <c r="G41" s="19"/>
      <c r="H41" s="10">
        <f t="shared" si="7"/>
        <v>3.5983641449745522E-2</v>
      </c>
      <c r="I41" s="10">
        <f t="shared" si="7"/>
        <v>4.5623612704376093E-2</v>
      </c>
      <c r="J41" s="10">
        <f t="shared" si="3"/>
        <v>7.7070610219366811E-3</v>
      </c>
      <c r="K41" s="10">
        <f t="shared" si="4"/>
        <v>1.172609770147812E-2</v>
      </c>
      <c r="L41" s="20"/>
      <c r="M41" s="10">
        <f t="shared" si="6"/>
        <v>0.28665930552485097</v>
      </c>
      <c r="N41" s="10">
        <f t="shared" si="1"/>
        <v>1.3319703412278636</v>
      </c>
    </row>
    <row r="42" spans="1:14" x14ac:dyDescent="0.3">
      <c r="A42" s="8">
        <v>1987</v>
      </c>
      <c r="B42" s="10">
        <f>data!Y42</f>
        <v>3.9964400000000002</v>
      </c>
      <c r="C42" s="10">
        <f>data!AB42</f>
        <v>5.5711399999999998</v>
      </c>
      <c r="D42" s="10">
        <f>data!AE42</f>
        <v>1.8855500000000001</v>
      </c>
      <c r="E42" s="19"/>
      <c r="F42" s="10">
        <f t="shared" si="2"/>
        <v>0.5635024285714284</v>
      </c>
      <c r="G42" s="19"/>
      <c r="H42" s="10">
        <f t="shared" si="7"/>
        <v>3.1206749827091162E-2</v>
      </c>
      <c r="I42" s="10">
        <f t="shared" si="7"/>
        <v>4.563779508867824E-2</v>
      </c>
      <c r="J42" s="10">
        <f t="shared" si="3"/>
        <v>3.4877687654727235E-2</v>
      </c>
      <c r="K42" s="10">
        <f t="shared" si="4"/>
        <v>-8.3676985908662065E-3</v>
      </c>
      <c r="L42" s="20"/>
      <c r="M42" s="10">
        <f t="shared" si="6"/>
        <v>0.27829160693398475</v>
      </c>
      <c r="N42" s="10">
        <f t="shared" si="1"/>
        <v>1.3208713162894008</v>
      </c>
    </row>
    <row r="43" spans="1:14" x14ac:dyDescent="0.3">
      <c r="A43" s="8">
        <v>1988</v>
      </c>
      <c r="B43" s="10">
        <f>data!Y43</f>
        <v>4.1638200000000003</v>
      </c>
      <c r="C43" s="10">
        <f>data!AB43</f>
        <v>5.7736299999999998</v>
      </c>
      <c r="D43" s="10">
        <f>data!AE43</f>
        <v>1.9368700000000001</v>
      </c>
      <c r="E43" s="19"/>
      <c r="F43" s="10">
        <f t="shared" si="2"/>
        <v>0.5635024285714284</v>
      </c>
      <c r="G43" s="19"/>
      <c r="H43" s="10">
        <f t="shared" si="7"/>
        <v>4.1028957317929882E-2</v>
      </c>
      <c r="I43" s="10">
        <f t="shared" si="7"/>
        <v>3.5701297966136275E-2</v>
      </c>
      <c r="J43" s="10">
        <f t="shared" si="3"/>
        <v>2.6853712549030115E-2</v>
      </c>
      <c r="K43" s="10">
        <f t="shared" si="4"/>
        <v>1.0313295221326079E-2</v>
      </c>
      <c r="L43" s="20"/>
      <c r="M43" s="10">
        <f t="shared" si="6"/>
        <v>0.28860490215531082</v>
      </c>
      <c r="N43" s="10">
        <f t="shared" si="1"/>
        <v>1.3345643408558314</v>
      </c>
    </row>
    <row r="44" spans="1:14" x14ac:dyDescent="0.3">
      <c r="A44" s="8">
        <v>1989</v>
      </c>
      <c r="B44" s="10">
        <f>data!Y44</f>
        <v>4.31027</v>
      </c>
      <c r="C44" s="10">
        <f>data!AB44</f>
        <v>5.9772499999999997</v>
      </c>
      <c r="D44" s="10">
        <f>data!AE44</f>
        <v>1.98933</v>
      </c>
      <c r="E44" s="19"/>
      <c r="F44" s="10">
        <f t="shared" si="2"/>
        <v>0.5635024285714284</v>
      </c>
      <c r="G44" s="19"/>
      <c r="H44" s="10">
        <f t="shared" si="7"/>
        <v>3.456762501246663E-2</v>
      </c>
      <c r="I44" s="10">
        <f t="shared" si="7"/>
        <v>3.4659597143632065E-2</v>
      </c>
      <c r="J44" s="10">
        <f t="shared" si="3"/>
        <v>2.6724630550081403E-2</v>
      </c>
      <c r="K44" s="10">
        <f t="shared" si="4"/>
        <v>4.3794008149335185E-3</v>
      </c>
      <c r="L44" s="20"/>
      <c r="M44" s="10">
        <f t="shared" si="6"/>
        <v>0.29298430297024436</v>
      </c>
      <c r="N44" s="10">
        <f t="shared" si="1"/>
        <v>1.3404217496264539</v>
      </c>
    </row>
    <row r="45" spans="1:14" x14ac:dyDescent="0.3">
      <c r="A45" s="8">
        <v>1990</v>
      </c>
      <c r="B45" s="10">
        <f>data!Y45</f>
        <v>4.3902599999999996</v>
      </c>
      <c r="C45" s="10">
        <f>data!AB45</f>
        <v>6.1940999999999997</v>
      </c>
      <c r="D45" s="10">
        <f>data!AE45</f>
        <v>2.0140199999999999</v>
      </c>
      <c r="E45" s="19"/>
      <c r="F45" s="10">
        <f t="shared" si="2"/>
        <v>0.5635024285714284</v>
      </c>
      <c r="G45" s="19"/>
      <c r="H45" s="10">
        <f t="shared" si="7"/>
        <v>1.8387903680706471E-2</v>
      </c>
      <c r="I45" s="10">
        <f t="shared" si="7"/>
        <v>3.5636630105900409E-2</v>
      </c>
      <c r="J45" s="10">
        <f t="shared" si="3"/>
        <v>1.2334826104928335E-2</v>
      </c>
      <c r="K45" s="10">
        <f t="shared" si="4"/>
        <v>-4.1181032805507473E-3</v>
      </c>
      <c r="L45" s="20"/>
      <c r="M45" s="10">
        <f t="shared" si="6"/>
        <v>0.28886619968969363</v>
      </c>
      <c r="N45" s="10">
        <f t="shared" si="1"/>
        <v>1.334913104791166</v>
      </c>
    </row>
    <row r="46" spans="1:14" x14ac:dyDescent="0.3">
      <c r="A46" s="8">
        <v>1991</v>
      </c>
      <c r="B46" s="10">
        <f>data!Y46</f>
        <v>4.3914900000000001</v>
      </c>
      <c r="C46" s="10">
        <f>data!AB46</f>
        <v>6.3761599999999996</v>
      </c>
      <c r="D46" s="10">
        <f>data!AE46</f>
        <v>1.9877499999999999</v>
      </c>
      <c r="E46" s="19"/>
      <c r="F46" s="10">
        <f t="shared" si="2"/>
        <v>0.5635024285714284</v>
      </c>
      <c r="G46" s="19"/>
      <c r="H46" s="10">
        <f t="shared" si="7"/>
        <v>2.8012640032874336E-4</v>
      </c>
      <c r="I46" s="10">
        <f t="shared" si="7"/>
        <v>2.896880919914167E-2</v>
      </c>
      <c r="J46" s="10">
        <f t="shared" si="3"/>
        <v>-1.3129378934201593E-2</v>
      </c>
      <c r="K46" s="10">
        <f t="shared" si="4"/>
        <v>-4.9662515472171107E-3</v>
      </c>
      <c r="L46" s="20"/>
      <c r="M46" s="10">
        <f t="shared" si="6"/>
        <v>0.28389994814247649</v>
      </c>
      <c r="N46" s="10">
        <f t="shared" si="1"/>
        <v>1.3283000252193111</v>
      </c>
    </row>
    <row r="47" spans="1:14" x14ac:dyDescent="0.3">
      <c r="A47" s="8">
        <v>1992</v>
      </c>
      <c r="B47" s="10">
        <f>data!Y47</f>
        <v>4.5419200000000002</v>
      </c>
      <c r="C47" s="10">
        <f>data!AB47</f>
        <v>6.5597200000000004</v>
      </c>
      <c r="D47" s="10">
        <f>data!AE47</f>
        <v>1.9932799999999999</v>
      </c>
      <c r="E47" s="19"/>
      <c r="F47" s="10">
        <f t="shared" si="2"/>
        <v>0.5635024285714284</v>
      </c>
      <c r="G47" s="19"/>
      <c r="H47" s="10">
        <f t="shared" si="7"/>
        <v>3.3681252895899953E-2</v>
      </c>
      <c r="I47" s="10">
        <f t="shared" si="7"/>
        <v>2.8381883842278497E-2</v>
      </c>
      <c r="J47" s="10">
        <f t="shared" si="3"/>
        <v>2.7781772841878431E-3</v>
      </c>
      <c r="K47" s="10">
        <f t="shared" si="4"/>
        <v>1.9727119879535748E-2</v>
      </c>
      <c r="L47" s="20"/>
      <c r="M47" s="10">
        <f t="shared" si="6"/>
        <v>0.30362706802201223</v>
      </c>
      <c r="N47" s="10">
        <f t="shared" si="1"/>
        <v>1.3547637271523953</v>
      </c>
    </row>
    <row r="48" spans="1:14" x14ac:dyDescent="0.3">
      <c r="A48" s="8">
        <v>1993</v>
      </c>
      <c r="B48" s="10">
        <f>data!Y48</f>
        <v>4.6596799999999998</v>
      </c>
      <c r="C48" s="10">
        <f>data!AB48</f>
        <v>6.7839700000000001</v>
      </c>
      <c r="D48" s="10">
        <f>data!AE48</f>
        <v>2.0386099999999998</v>
      </c>
      <c r="E48" s="19"/>
      <c r="F48" s="10">
        <f t="shared" si="2"/>
        <v>0.5635024285714284</v>
      </c>
      <c r="G48" s="19"/>
      <c r="H48" s="10">
        <f t="shared" si="7"/>
        <v>2.5596946109721807E-2</v>
      </c>
      <c r="I48" s="10">
        <f t="shared" si="7"/>
        <v>3.3614557191786403E-2</v>
      </c>
      <c r="J48" s="10">
        <f t="shared" si="3"/>
        <v>2.2486679983685972E-2</v>
      </c>
      <c r="K48" s="10">
        <f t="shared" si="4"/>
        <v>-1.7470252504553571E-3</v>
      </c>
      <c r="L48" s="20"/>
      <c r="M48" s="10">
        <f t="shared" si="6"/>
        <v>0.30188004277155689</v>
      </c>
      <c r="N48" s="10">
        <f t="shared" si="1"/>
        <v>1.3523989869445374</v>
      </c>
    </row>
    <row r="49" spans="1:14" x14ac:dyDescent="0.3">
      <c r="A49" s="8">
        <v>1994</v>
      </c>
      <c r="B49" s="10">
        <f>data!Y49</f>
        <v>4.8456599999999996</v>
      </c>
      <c r="C49" s="10">
        <f>data!AB49</f>
        <v>7.0274200000000002</v>
      </c>
      <c r="D49" s="10">
        <f>data!AE49</f>
        <v>2.0909</v>
      </c>
      <c r="E49" s="19"/>
      <c r="F49" s="10">
        <f t="shared" si="2"/>
        <v>0.5635024285714284</v>
      </c>
      <c r="G49" s="19"/>
      <c r="H49" s="10">
        <f t="shared" si="7"/>
        <v>3.9136682723650625E-2</v>
      </c>
      <c r="I49" s="10">
        <f t="shared" si="7"/>
        <v>3.5257163574576658E-2</v>
      </c>
      <c r="J49" s="10">
        <f t="shared" si="3"/>
        <v>2.5326392227910857E-2</v>
      </c>
      <c r="K49" s="10">
        <f t="shared" si="4"/>
        <v>9.4755329205077014E-3</v>
      </c>
      <c r="L49" s="20"/>
      <c r="M49" s="10">
        <f t="shared" si="6"/>
        <v>0.31135557569206457</v>
      </c>
      <c r="N49" s="10">
        <f t="shared" si="1"/>
        <v>1.3652745933461639</v>
      </c>
    </row>
    <row r="50" spans="1:14" x14ac:dyDescent="0.3">
      <c r="A50" s="8">
        <v>1995</v>
      </c>
      <c r="B50" s="10">
        <f>data!Y50</f>
        <v>4.95533</v>
      </c>
      <c r="C50" s="10">
        <f>data!AB50</f>
        <v>7.30091</v>
      </c>
      <c r="D50" s="10">
        <f>data!AE50</f>
        <v>2.14378</v>
      </c>
      <c r="E50" s="19"/>
      <c r="F50" s="10">
        <f t="shared" si="2"/>
        <v>0.5635024285714284</v>
      </c>
      <c r="G50" s="19"/>
      <c r="H50" s="10">
        <f t="shared" si="7"/>
        <v>2.2380305983413059E-2</v>
      </c>
      <c r="I50" s="10">
        <f t="shared" si="7"/>
        <v>3.8179358034897783E-2</v>
      </c>
      <c r="J50" s="10">
        <f t="shared" si="3"/>
        <v>2.4976030708051322E-2</v>
      </c>
      <c r="K50" s="10">
        <f t="shared" si="4"/>
        <v>-8.3589450375832399E-3</v>
      </c>
      <c r="L50" s="20"/>
      <c r="M50" s="10">
        <f t="shared" si="6"/>
        <v>0.30299663065448135</v>
      </c>
      <c r="N50" s="10">
        <f t="shared" si="1"/>
        <v>1.3539099026443402</v>
      </c>
    </row>
    <row r="51" spans="1:14" x14ac:dyDescent="0.3">
      <c r="A51" s="8">
        <v>1996</v>
      </c>
      <c r="B51" s="10">
        <f>data!Y51</f>
        <v>5.1566900000000002</v>
      </c>
      <c r="C51" s="10">
        <f>data!AB51</f>
        <v>7.6035500000000003</v>
      </c>
      <c r="D51" s="10">
        <f>data!AE51</f>
        <v>2.1777600000000001</v>
      </c>
      <c r="E51" s="19"/>
      <c r="F51" s="10">
        <f t="shared" si="2"/>
        <v>0.5635024285714284</v>
      </c>
      <c r="G51" s="19"/>
      <c r="H51" s="10">
        <f t="shared" si="7"/>
        <v>3.9831135834644572E-2</v>
      </c>
      <c r="I51" s="10">
        <f t="shared" si="7"/>
        <v>4.0616245576252819E-2</v>
      </c>
      <c r="J51" s="10">
        <f t="shared" si="3"/>
        <v>1.5726199598334743E-2</v>
      </c>
      <c r="K51" s="10">
        <f t="shared" si="4"/>
        <v>1.3240491614203105E-2</v>
      </c>
      <c r="L51" s="20"/>
      <c r="M51" s="10">
        <f t="shared" si="6"/>
        <v>0.31623712226868445</v>
      </c>
      <c r="N51" s="10">
        <f t="shared" si="1"/>
        <v>1.3719555382684079</v>
      </c>
    </row>
    <row r="52" spans="1:14" x14ac:dyDescent="0.3">
      <c r="A52" s="8">
        <v>1997</v>
      </c>
      <c r="B52" s="10">
        <f>data!Y52</f>
        <v>5.4053599999999999</v>
      </c>
      <c r="C52" s="10">
        <f>data!AB52</f>
        <v>7.9690099999999999</v>
      </c>
      <c r="D52" s="10">
        <f>data!AE52</f>
        <v>2.2414200000000002</v>
      </c>
      <c r="E52" s="19"/>
      <c r="F52" s="10">
        <f t="shared" si="2"/>
        <v>0.5635024285714284</v>
      </c>
      <c r="G52" s="19"/>
      <c r="H52" s="10">
        <f t="shared" si="7"/>
        <v>4.7096153075026286E-2</v>
      </c>
      <c r="I52" s="10">
        <f t="shared" si="7"/>
        <v>4.69450257816761E-2</v>
      </c>
      <c r="J52" s="10">
        <f t="shared" si="3"/>
        <v>2.881276798891148E-2</v>
      </c>
      <c r="K52" s="10">
        <f t="shared" si="4"/>
        <v>1.0368698595056257E-2</v>
      </c>
      <c r="L52" s="20"/>
      <c r="M52" s="10">
        <f t="shared" si="6"/>
        <v>0.32660582086374068</v>
      </c>
      <c r="N52" s="10">
        <f t="shared" si="1"/>
        <v>1.3862549366963686</v>
      </c>
    </row>
    <row r="53" spans="1:14" x14ac:dyDescent="0.3">
      <c r="A53" s="8">
        <v>1998</v>
      </c>
      <c r="B53" s="10">
        <f>data!Y53</f>
        <v>5.6329700000000003</v>
      </c>
      <c r="C53" s="10">
        <f>data!AB53</f>
        <v>8.4069199999999995</v>
      </c>
      <c r="D53" s="10">
        <f>data!AE53</f>
        <v>2.30654</v>
      </c>
      <c r="E53" s="19"/>
      <c r="F53" s="10">
        <f t="shared" si="2"/>
        <v>0.5635024285714284</v>
      </c>
      <c r="G53" s="19"/>
      <c r="H53" s="10">
        <f t="shared" si="7"/>
        <v>4.1245780270942285E-2</v>
      </c>
      <c r="I53" s="10">
        <f t="shared" si="7"/>
        <v>5.3494906950843024E-2</v>
      </c>
      <c r="J53" s="10">
        <f t="shared" si="3"/>
        <v>2.8638972568342694E-2</v>
      </c>
      <c r="K53" s="10">
        <f t="shared" si="4"/>
        <v>1.7572527090502638E-3</v>
      </c>
      <c r="L53" s="20"/>
      <c r="M53" s="10">
        <f t="shared" si="6"/>
        <v>0.32836307357279093</v>
      </c>
      <c r="N53" s="10">
        <f t="shared" si="1"/>
        <v>1.3886930785275793</v>
      </c>
    </row>
    <row r="54" spans="1:14" x14ac:dyDescent="0.3">
      <c r="A54" s="8">
        <v>1999</v>
      </c>
      <c r="B54" s="10">
        <f>data!Y54</f>
        <v>5.8920500000000002</v>
      </c>
      <c r="C54" s="10">
        <f>data!AB54</f>
        <v>8.9096700000000002</v>
      </c>
      <c r="D54" s="10">
        <f>data!AE54</f>
        <v>2.3501500000000002</v>
      </c>
      <c r="E54" s="19"/>
      <c r="F54" s="10">
        <f t="shared" si="2"/>
        <v>0.5635024285714284</v>
      </c>
      <c r="G54" s="19"/>
      <c r="H54" s="10">
        <f t="shared" si="7"/>
        <v>4.4967150507727073E-2</v>
      </c>
      <c r="I54" s="10">
        <f t="shared" si="7"/>
        <v>5.8082027531533582E-2</v>
      </c>
      <c r="J54" s="10">
        <f t="shared" si="3"/>
        <v>1.8730589747386787E-2</v>
      </c>
      <c r="K54" s="10">
        <f t="shared" si="4"/>
        <v>9.0597537353376782E-3</v>
      </c>
      <c r="L54" s="20"/>
      <c r="M54" s="10">
        <f t="shared" si="6"/>
        <v>0.33742282730812861</v>
      </c>
      <c r="N54" s="10">
        <f t="shared" si="1"/>
        <v>1.4013314596980151</v>
      </c>
    </row>
    <row r="55" spans="1:14" x14ac:dyDescent="0.3">
      <c r="A55" s="8">
        <v>2000</v>
      </c>
      <c r="B55" s="10">
        <f>data!Y55</f>
        <v>6.1269099999999996</v>
      </c>
      <c r="C55" s="10">
        <f>data!AB55</f>
        <v>9.4075500000000005</v>
      </c>
      <c r="D55" s="10">
        <f>data!AE55</f>
        <v>2.3958300000000001</v>
      </c>
      <c r="E55" s="19"/>
      <c r="F55" s="10">
        <f t="shared" si="2"/>
        <v>0.5635024285714284</v>
      </c>
      <c r="G55" s="19"/>
      <c r="H55" s="10">
        <f t="shared" si="7"/>
        <v>3.9086559907313995E-2</v>
      </c>
      <c r="I55" s="10">
        <f t="shared" si="7"/>
        <v>5.4375354619856202E-2</v>
      </c>
      <c r="J55" s="10">
        <f t="shared" si="3"/>
        <v>1.9250570243775949E-2</v>
      </c>
      <c r="K55" s="10">
        <f t="shared" si="4"/>
        <v>4.5041065864267812E-3</v>
      </c>
      <c r="L55" s="20"/>
      <c r="M55" s="10">
        <f t="shared" si="6"/>
        <v>0.34192693389455542</v>
      </c>
      <c r="N55" s="10">
        <f t="shared" si="1"/>
        <v>1.4076574417094461</v>
      </c>
    </row>
    <row r="56" spans="1:14" x14ac:dyDescent="0.3">
      <c r="A56" s="8">
        <v>2001</v>
      </c>
      <c r="B56" s="10">
        <f>data!Y56</f>
        <v>6.1772600000000004</v>
      </c>
      <c r="C56" s="10">
        <f>data!AB56</f>
        <v>9.8063400000000005</v>
      </c>
      <c r="D56" s="10">
        <f>data!AE56</f>
        <v>2.3863599999999998</v>
      </c>
      <c r="E56" s="19"/>
      <c r="F56" s="10">
        <f t="shared" si="2"/>
        <v>0.5635024285714284</v>
      </c>
      <c r="G56" s="19"/>
      <c r="H56" s="10">
        <f t="shared" si="7"/>
        <v>8.1842629036600594E-3</v>
      </c>
      <c r="I56" s="10">
        <f t="shared" si="7"/>
        <v>4.1516556897708473E-2</v>
      </c>
      <c r="J56" s="10">
        <f t="shared" si="3"/>
        <v>-3.960533721466139E-3</v>
      </c>
      <c r="K56" s="10">
        <f t="shared" si="4"/>
        <v>-7.7058429857805952E-3</v>
      </c>
      <c r="L56" s="20"/>
      <c r="M56" s="10">
        <f t="shared" si="6"/>
        <v>0.33422109090877483</v>
      </c>
      <c r="N56" s="10">
        <f t="shared" si="1"/>
        <v>1.3968519407021225</v>
      </c>
    </row>
    <row r="57" spans="1:14" x14ac:dyDescent="0.3">
      <c r="A57" s="8">
        <v>2002</v>
      </c>
      <c r="B57" s="10">
        <f>data!Y57</f>
        <v>6.3017700000000003</v>
      </c>
      <c r="C57" s="10">
        <f>data!AB57</f>
        <v>10.08292</v>
      </c>
      <c r="D57" s="10">
        <f>data!AE57</f>
        <v>2.3727399999999998</v>
      </c>
      <c r="E57" s="19"/>
      <c r="F57" s="10">
        <f t="shared" si="2"/>
        <v>0.5635024285714284</v>
      </c>
      <c r="G57" s="19"/>
      <c r="H57" s="10">
        <f t="shared" si="7"/>
        <v>1.9955738860534287E-2</v>
      </c>
      <c r="I57" s="10">
        <f t="shared" si="7"/>
        <v>2.7813787955661966E-2</v>
      </c>
      <c r="J57" s="10">
        <f t="shared" si="3"/>
        <v>-5.723786928011944E-3</v>
      </c>
      <c r="K57" s="10">
        <f t="shared" si="4"/>
        <v>1.104045580021871E-2</v>
      </c>
      <c r="L57" s="20"/>
      <c r="M57" s="10">
        <f t="shared" si="6"/>
        <v>0.34526154670899356</v>
      </c>
      <c r="N57" s="10">
        <f t="shared" si="1"/>
        <v>1.4123592692832629</v>
      </c>
    </row>
    <row r="58" spans="1:14" x14ac:dyDescent="0.3">
      <c r="A58" s="8">
        <v>2003</v>
      </c>
      <c r="B58" s="10">
        <f>data!Y58</f>
        <v>6.4744999999999999</v>
      </c>
      <c r="C58" s="10">
        <f>data!AB58</f>
        <v>10.36509</v>
      </c>
      <c r="D58" s="10">
        <f>data!AE58</f>
        <v>2.36835</v>
      </c>
      <c r="E58" s="19"/>
      <c r="F58" s="10">
        <f t="shared" si="2"/>
        <v>0.5635024285714284</v>
      </c>
      <c r="G58" s="19"/>
      <c r="H58" s="10">
        <f t="shared" si="7"/>
        <v>2.7040838208047722E-2</v>
      </c>
      <c r="I58" s="10">
        <f t="shared" si="7"/>
        <v>2.760052568504321E-2</v>
      </c>
      <c r="J58" s="10">
        <f t="shared" si="3"/>
        <v>-1.8518953466950354E-3</v>
      </c>
      <c r="K58" s="10">
        <f t="shared" si="4"/>
        <v>1.6036823301697228E-2</v>
      </c>
      <c r="L58" s="20"/>
      <c r="M58" s="10">
        <f t="shared" si="6"/>
        <v>0.36129837001069076</v>
      </c>
      <c r="N58" s="10">
        <f t="shared" si="1"/>
        <v>1.4351916151387361</v>
      </c>
    </row>
    <row r="59" spans="1:14" x14ac:dyDescent="0.3">
      <c r="A59" s="8">
        <v>2004</v>
      </c>
      <c r="B59" s="10">
        <f>data!Y59</f>
        <v>6.7084999999999999</v>
      </c>
      <c r="C59" s="10">
        <f>data!AB59</f>
        <v>10.68078</v>
      </c>
      <c r="D59" s="10">
        <f>data!AE59</f>
        <v>2.3992300000000002</v>
      </c>
      <c r="E59" s="19"/>
      <c r="F59" s="10">
        <f t="shared" si="2"/>
        <v>0.5635024285714284</v>
      </c>
      <c r="G59" s="19"/>
      <c r="H59" s="10">
        <f t="shared" si="7"/>
        <v>3.5503994521631652E-2</v>
      </c>
      <c r="I59" s="10">
        <f t="shared" si="7"/>
        <v>3.0002435655019904E-2</v>
      </c>
      <c r="J59" s="10">
        <f t="shared" si="3"/>
        <v>1.2954342388671634E-2</v>
      </c>
      <c r="K59" s="10">
        <f t="shared" si="4"/>
        <v>1.5108200824711213E-2</v>
      </c>
      <c r="L59" s="20"/>
      <c r="M59" s="10">
        <f t="shared" si="6"/>
        <v>0.37640657083540197</v>
      </c>
      <c r="N59" s="10">
        <f t="shared" si="1"/>
        <v>1.4570394030905396</v>
      </c>
    </row>
    <row r="60" spans="1:14" x14ac:dyDescent="0.3">
      <c r="A60" s="8">
        <v>2005</v>
      </c>
      <c r="B60" s="10">
        <f>data!Y60</f>
        <v>6.92272</v>
      </c>
      <c r="C60" s="10">
        <f>data!AB60</f>
        <v>11.027340000000001</v>
      </c>
      <c r="D60" s="10">
        <f>data!AE60</f>
        <v>2.4361999999999999</v>
      </c>
      <c r="E60" s="19"/>
      <c r="F60" s="10">
        <f t="shared" si="2"/>
        <v>0.5635024285714284</v>
      </c>
      <c r="G60" s="19"/>
      <c r="H60" s="10">
        <f t="shared" si="7"/>
        <v>3.1433376935750088E-2</v>
      </c>
      <c r="I60" s="10">
        <f t="shared" si="7"/>
        <v>3.1931779137024552E-2</v>
      </c>
      <c r="J60" s="10">
        <f t="shared" si="3"/>
        <v>1.5291595741179553E-2</v>
      </c>
      <c r="K60" s="10">
        <f t="shared" si="4"/>
        <v>8.8783815541581511E-3</v>
      </c>
      <c r="L60" s="20"/>
      <c r="M60" s="10">
        <f t="shared" si="6"/>
        <v>0.38528495238956012</v>
      </c>
      <c r="N60" s="10">
        <f t="shared" si="1"/>
        <v>1.4700331512242104</v>
      </c>
    </row>
    <row r="61" spans="1:14" x14ac:dyDescent="0.3">
      <c r="A61" s="8">
        <v>2006</v>
      </c>
      <c r="B61" s="10">
        <f>data!Y61</f>
        <v>7.1175499999999996</v>
      </c>
      <c r="C61" s="10">
        <f>data!AB61</f>
        <v>11.39472</v>
      </c>
      <c r="D61" s="10">
        <f>data!AE61</f>
        <v>2.5070000000000001</v>
      </c>
      <c r="E61" s="19"/>
      <c r="F61" s="10">
        <f t="shared" si="2"/>
        <v>0.5635024285714284</v>
      </c>
      <c r="G61" s="19"/>
      <c r="H61" s="10">
        <f t="shared" si="7"/>
        <v>2.7754809099773077E-2</v>
      </c>
      <c r="I61" s="10">
        <f t="shared" si="7"/>
        <v>3.2772446504858284E-2</v>
      </c>
      <c r="J61" s="10">
        <f t="shared" si="3"/>
        <v>2.8647370892434926E-2</v>
      </c>
      <c r="K61" s="10">
        <f t="shared" si="4"/>
        <v>-2.6931472794438742E-3</v>
      </c>
      <c r="L61" s="20"/>
      <c r="M61" s="10">
        <f t="shared" si="6"/>
        <v>0.38259180511011626</v>
      </c>
      <c r="N61" s="10">
        <f t="shared" si="1"/>
        <v>1.4660794617659922</v>
      </c>
    </row>
    <row r="62" spans="1:14" x14ac:dyDescent="0.3">
      <c r="A62" s="8">
        <v>2007</v>
      </c>
      <c r="B62" s="10">
        <f>data!Y62</f>
        <v>7.22661</v>
      </c>
      <c r="C62" s="10">
        <f>data!AB62</f>
        <v>11.674239999999999</v>
      </c>
      <c r="D62" s="10">
        <f>data!AE62</f>
        <v>2.5516999999999999</v>
      </c>
      <c r="E62" s="19"/>
      <c r="F62" s="10">
        <f t="shared" si="2"/>
        <v>0.5635024285714284</v>
      </c>
      <c r="G62" s="19"/>
      <c r="H62" s="10">
        <f t="shared" si="7"/>
        <v>1.5206481460266473E-2</v>
      </c>
      <c r="I62" s="10">
        <f t="shared" si="7"/>
        <v>2.4234614861392459E-2</v>
      </c>
      <c r="J62" s="10">
        <f t="shared" si="3"/>
        <v>1.7672984537338839E-2</v>
      </c>
      <c r="K62" s="10">
        <f t="shared" si="4"/>
        <v>-5.3306387781338407E-3</v>
      </c>
      <c r="L62" s="20"/>
      <c r="M62" s="10">
        <f t="shared" si="6"/>
        <v>0.37726116633198242</v>
      </c>
      <c r="N62" s="10">
        <f t="shared" si="1"/>
        <v>1.4582851146166758</v>
      </c>
    </row>
    <row r="63" spans="1:14" x14ac:dyDescent="0.3">
      <c r="A63" s="8">
        <v>2008</v>
      </c>
      <c r="B63" s="10">
        <f>data!Y63</f>
        <v>7.1900899999999996</v>
      </c>
      <c r="C63" s="10">
        <f>data!AB63</f>
        <v>11.99663</v>
      </c>
      <c r="D63" s="10">
        <f>data!AE63</f>
        <v>2.54284</v>
      </c>
      <c r="E63" s="19"/>
      <c r="F63" s="10">
        <f t="shared" si="2"/>
        <v>0.5635024285714284</v>
      </c>
      <c r="G63" s="19"/>
      <c r="H63" s="10">
        <f t="shared" si="7"/>
        <v>-5.0663575043083308E-3</v>
      </c>
      <c r="I63" s="10">
        <f t="shared" si="7"/>
        <v>2.7241071937243951E-2</v>
      </c>
      <c r="J63" s="10">
        <f t="shared" si="3"/>
        <v>-3.4782370665273296E-3</v>
      </c>
      <c r="K63" s="10">
        <f t="shared" si="4"/>
        <v>-1.4997024213891017E-2</v>
      </c>
      <c r="L63" s="20"/>
      <c r="M63" s="10">
        <f t="shared" si="6"/>
        <v>0.36226414211809138</v>
      </c>
      <c r="N63" s="10">
        <f t="shared" si="1"/>
        <v>1.4365783526978537</v>
      </c>
    </row>
    <row r="64" spans="1:14" x14ac:dyDescent="0.3">
      <c r="A64" s="8">
        <v>2009</v>
      </c>
      <c r="B64" s="10">
        <f>data!Y64</f>
        <v>7.0002399999999998</v>
      </c>
      <c r="C64" s="10">
        <f>data!AB64</f>
        <v>12.125389999999999</v>
      </c>
      <c r="D64" s="10">
        <f>data!AE64</f>
        <v>2.4314399999999998</v>
      </c>
      <c r="E64" s="19"/>
      <c r="F64" s="10">
        <f t="shared" si="2"/>
        <v>0.5635024285714284</v>
      </c>
      <c r="G64" s="19"/>
      <c r="H64" s="10">
        <f t="shared" si="7"/>
        <v>-2.675925485801349E-2</v>
      </c>
      <c r="I64" s="10">
        <f t="shared" si="7"/>
        <v>1.0675824241117664E-2</v>
      </c>
      <c r="J64" s="10">
        <f t="shared" si="3"/>
        <v>-4.4797892215573426E-2</v>
      </c>
      <c r="K64" s="10">
        <f t="shared" si="4"/>
        <v>-6.1755051539029091E-3</v>
      </c>
      <c r="L64" s="20"/>
      <c r="M64" s="10">
        <f t="shared" si="6"/>
        <v>0.35608863696418847</v>
      </c>
      <c r="N64" s="10">
        <f t="shared" si="1"/>
        <v>1.4277340926711488</v>
      </c>
    </row>
    <row r="65" spans="1:14" x14ac:dyDescent="0.3">
      <c r="A65" s="8">
        <v>2010</v>
      </c>
      <c r="B65" s="10">
        <f>data!Y65</f>
        <v>7.1595300000000002</v>
      </c>
      <c r="C65" s="10">
        <f>data!AB65</f>
        <v>12.15888</v>
      </c>
      <c r="D65" s="10">
        <f>data!AE65</f>
        <v>2.43174</v>
      </c>
      <c r="E65" s="19"/>
      <c r="F65" s="10">
        <f t="shared" si="2"/>
        <v>0.5635024285714284</v>
      </c>
      <c r="G65" s="19"/>
      <c r="H65" s="10">
        <f t="shared" si="7"/>
        <v>2.2499902178036039E-2</v>
      </c>
      <c r="I65" s="10">
        <f t="shared" si="7"/>
        <v>2.7581657781931669E-3</v>
      </c>
      <c r="J65" s="10">
        <f t="shared" si="3"/>
        <v>1.2337606273288843E-4</v>
      </c>
      <c r="K65" s="10">
        <f t="shared" si="4"/>
        <v>2.1226446803279762E-2</v>
      </c>
      <c r="L65" s="20"/>
      <c r="M65" s="10">
        <f t="shared" si="6"/>
        <v>0.37731508376746825</v>
      </c>
      <c r="N65" s="10">
        <f t="shared" si="1"/>
        <v>1.4583637437299841</v>
      </c>
    </row>
    <row r="66" spans="1:14" x14ac:dyDescent="0.3">
      <c r="A66" s="8">
        <v>2011</v>
      </c>
      <c r="B66" s="10">
        <f>data!Y66</f>
        <v>7.2737499999999997</v>
      </c>
      <c r="C66" s="10">
        <f>data!AB66</f>
        <v>12.27711</v>
      </c>
      <c r="D66" s="10">
        <f>data!AE66</f>
        <v>2.4856699999999998</v>
      </c>
      <c r="E66" s="19"/>
      <c r="F66" s="10">
        <f t="shared" si="2"/>
        <v>0.5635024285714284</v>
      </c>
      <c r="G66" s="19"/>
      <c r="H66" s="10">
        <f t="shared" si="7"/>
        <v>1.5827640628849313E-2</v>
      </c>
      <c r="I66" s="10">
        <f t="shared" si="7"/>
        <v>9.6767859692609131E-3</v>
      </c>
      <c r="J66" s="10">
        <f t="shared" si="3"/>
        <v>2.1935190420379995E-2</v>
      </c>
      <c r="K66" s="10">
        <f t="shared" si="4"/>
        <v>-7.5678601902801068E-4</v>
      </c>
      <c r="L66" s="20"/>
      <c r="M66" s="10">
        <f t="shared" si="6"/>
        <v>0.37655829774844024</v>
      </c>
      <c r="N66" s="10">
        <f t="shared" si="1"/>
        <v>1.4572604919534868</v>
      </c>
    </row>
    <row r="67" spans="1:14" x14ac:dyDescent="0.3">
      <c r="A67" s="8">
        <v>2012</v>
      </c>
      <c r="B67" s="10">
        <f>data!Y67</f>
        <v>7.4219400000000002</v>
      </c>
      <c r="C67" s="10">
        <f>data!AB67</f>
        <v>12.420249999999999</v>
      </c>
      <c r="D67" s="10">
        <f>data!AE67</f>
        <v>2.5379399999999999</v>
      </c>
      <c r="E67" s="19"/>
      <c r="F67" s="10">
        <f t="shared" si="2"/>
        <v>0.5635024285714284</v>
      </c>
      <c r="G67" s="19"/>
      <c r="H67" s="10">
        <f t="shared" si="7"/>
        <v>2.0168501542613414E-2</v>
      </c>
      <c r="I67" s="10">
        <f t="shared" si="7"/>
        <v>1.1591652125053521E-2</v>
      </c>
      <c r="J67" s="10">
        <f t="shared" si="3"/>
        <v>2.0810487436304922E-2</v>
      </c>
      <c r="K67" s="10">
        <f t="shared" si="4"/>
        <v>3.3820133310696904E-3</v>
      </c>
      <c r="L67" s="20"/>
      <c r="M67" s="10">
        <f t="shared" si="6"/>
        <v>0.37994031107950993</v>
      </c>
      <c r="N67" s="10">
        <f t="shared" ref="N67:N71" si="8">EXP(M67)</f>
        <v>1.4621973098504699</v>
      </c>
    </row>
    <row r="68" spans="1:14" x14ac:dyDescent="0.3">
      <c r="A68" s="8">
        <v>2013</v>
      </c>
      <c r="B68" s="10">
        <f>data!Y68</f>
        <v>7.5534299999999996</v>
      </c>
      <c r="C68" s="10">
        <f>data!AB68</f>
        <v>12.610139999999999</v>
      </c>
      <c r="D68" s="10">
        <f>data!AE68</f>
        <v>2.59077</v>
      </c>
      <c r="E68" s="19"/>
      <c r="F68" s="10">
        <f t="shared" ref="F68:F72" si="9">F67</f>
        <v>0.5635024285714284</v>
      </c>
      <c r="G68" s="19"/>
      <c r="H68" s="10">
        <f t="shared" si="7"/>
        <v>1.7561286200232167E-2</v>
      </c>
      <c r="I68" s="10">
        <f t="shared" si="7"/>
        <v>1.5173047087732851E-2</v>
      </c>
      <c r="J68" s="10">
        <f t="shared" ref="J68:J72" si="10">LN(D68/D67)</f>
        <v>2.0602400473846632E-2</v>
      </c>
      <c r="K68" s="10">
        <f t="shared" ref="K68:K71" si="11">H68-(1-F68)*I68-F68*J68</f>
        <v>-6.7121470614830807E-4</v>
      </c>
      <c r="L68" s="20"/>
      <c r="M68" s="10">
        <f t="shared" si="6"/>
        <v>0.37926909637336165</v>
      </c>
      <c r="N68" s="10">
        <f t="shared" si="8"/>
        <v>1.4612161908204038</v>
      </c>
    </row>
    <row r="69" spans="1:14" x14ac:dyDescent="0.3">
      <c r="A69" s="8">
        <v>2014</v>
      </c>
      <c r="B69" s="10">
        <f>data!Y69</f>
        <v>7.7175099999999999</v>
      </c>
      <c r="C69" s="10">
        <f>data!AB69</f>
        <v>12.81054</v>
      </c>
      <c r="D69" s="10">
        <f>data!AE69</f>
        <v>2.6348699999999998</v>
      </c>
      <c r="E69" s="19"/>
      <c r="F69" s="10">
        <f t="shared" si="9"/>
        <v>0.5635024285714284</v>
      </c>
      <c r="G69" s="19"/>
      <c r="H69" s="10">
        <f t="shared" si="7"/>
        <v>2.1490008418147313E-2</v>
      </c>
      <c r="I69" s="10">
        <f t="shared" si="7"/>
        <v>1.5767017371948706E-2</v>
      </c>
      <c r="J69" s="10">
        <f t="shared" si="10"/>
        <v>1.6878716088235053E-2</v>
      </c>
      <c r="K69" s="10">
        <f t="shared" si="11"/>
        <v>5.0965461197315098E-3</v>
      </c>
      <c r="L69" s="20"/>
      <c r="M69" s="10">
        <f t="shared" si="6"/>
        <v>0.38436564249309313</v>
      </c>
      <c r="N69" s="10">
        <f t="shared" si="8"/>
        <v>1.4686823561949081</v>
      </c>
    </row>
    <row r="70" spans="1:14" x14ac:dyDescent="0.3">
      <c r="A70" s="8">
        <v>2015</v>
      </c>
      <c r="B70" s="10">
        <f>data!Y70</f>
        <v>7.92258</v>
      </c>
      <c r="C70" s="10">
        <f>data!AB70</f>
        <v>13.25835</v>
      </c>
      <c r="D70" s="10">
        <f>data!AE70</f>
        <v>2.69713</v>
      </c>
      <c r="E70" s="19"/>
      <c r="F70" s="10">
        <f t="shared" si="9"/>
        <v>0.5635024285714284</v>
      </c>
      <c r="G70" s="19"/>
      <c r="H70" s="10">
        <f t="shared" ref="H70:I72" si="12">LN(B70/B69)</f>
        <v>2.6225137204877527E-2</v>
      </c>
      <c r="I70" s="10">
        <f t="shared" si="12"/>
        <v>3.435927303906653E-2</v>
      </c>
      <c r="J70" s="10">
        <f t="shared" si="10"/>
        <v>2.3354399788632695E-2</v>
      </c>
      <c r="K70" s="10">
        <f t="shared" si="11"/>
        <v>-1.932863031448788E-3</v>
      </c>
      <c r="L70" s="20"/>
      <c r="M70" s="10">
        <f t="shared" si="6"/>
        <v>0.38243277946164433</v>
      </c>
      <c r="N70" s="10">
        <f t="shared" si="8"/>
        <v>1.4658463360658476</v>
      </c>
    </row>
    <row r="71" spans="1:14" x14ac:dyDescent="0.3">
      <c r="A71" s="8">
        <v>2016</v>
      </c>
      <c r="B71" s="10">
        <f>data!Y71</f>
        <v>8.0320400000000003</v>
      </c>
      <c r="C71" s="10">
        <f>data!AB71</f>
        <v>13.81265</v>
      </c>
      <c r="D71" s="10">
        <f>data!AE71</f>
        <v>2.7511000000000001</v>
      </c>
      <c r="E71" s="19"/>
      <c r="F71" s="10">
        <f t="shared" si="9"/>
        <v>0.5635024285714284</v>
      </c>
      <c r="G71" s="19"/>
      <c r="H71" s="10">
        <f t="shared" si="12"/>
        <v>1.3721632662040966E-2</v>
      </c>
      <c r="I71" s="10">
        <f t="shared" si="12"/>
        <v>4.0957296321536593E-2</v>
      </c>
      <c r="J71" s="10">
        <f t="shared" si="10"/>
        <v>1.9812586998280052E-2</v>
      </c>
      <c r="K71" s="10">
        <f t="shared" si="11"/>
        <v>-1.532056860440364E-2</v>
      </c>
      <c r="L71" s="20"/>
      <c r="M71" s="10">
        <f t="shared" si="6"/>
        <v>0.36711221085724072</v>
      </c>
      <c r="N71" s="10">
        <f t="shared" si="8"/>
        <v>1.4435598931204723</v>
      </c>
    </row>
    <row r="72" spans="1:14" x14ac:dyDescent="0.3">
      <c r="A72" s="8">
        <v>2017</v>
      </c>
      <c r="B72" s="10">
        <f>data!Y72</f>
        <v>8.1843500000000002</v>
      </c>
      <c r="C72" s="10">
        <f>data!AB72</f>
        <v>14.540050000000001</v>
      </c>
      <c r="D72" s="10">
        <f>data!AE72</f>
        <v>2.7782399999999998</v>
      </c>
      <c r="E72" s="19"/>
      <c r="F72" s="10">
        <f t="shared" si="9"/>
        <v>0.5635024285714284</v>
      </c>
      <c r="G72" s="19"/>
      <c r="H72" s="10">
        <f t="shared" si="12"/>
        <v>1.8785251091627517E-2</v>
      </c>
      <c r="I72" s="10">
        <f t="shared" si="12"/>
        <v>5.1322071941494886E-2</v>
      </c>
      <c r="J72" s="10">
        <f t="shared" si="10"/>
        <v>9.8168019892301006E-3</v>
      </c>
      <c r="K72" s="10">
        <f>H72-(1-F72)*I72-F72*J72</f>
        <v>-9.1485004332534266E-3</v>
      </c>
      <c r="L72" s="20"/>
      <c r="M72" s="10">
        <f>M71+K72</f>
        <v>0.35796371042398728</v>
      </c>
      <c r="N72" s="10">
        <f>EXP(M72)</f>
        <v>1.4304137104309325</v>
      </c>
    </row>
    <row r="74" spans="1:14" x14ac:dyDescent="0.3">
      <c r="B74" s="10"/>
      <c r="C74" s="10"/>
      <c r="D74" s="10"/>
      <c r="E74" s="10"/>
      <c r="G74" s="10"/>
      <c r="L74" s="6" t="s">
        <v>98</v>
      </c>
      <c r="N74" s="10">
        <f>LN(N72)-LN(N35)</f>
        <v>0.11143949719552562</v>
      </c>
    </row>
    <row r="75" spans="1:14" x14ac:dyDescent="0.3">
      <c r="B75" s="9"/>
      <c r="C75" s="9"/>
      <c r="D75" s="9"/>
      <c r="E75" s="9"/>
      <c r="F75" s="9"/>
      <c r="G75" s="9"/>
      <c r="L75" s="6" t="s">
        <v>99</v>
      </c>
      <c r="N75" s="10">
        <f>N74/($A$72-$A$35)</f>
        <v>3.0118783025817734E-3</v>
      </c>
    </row>
    <row r="76" spans="1:14" x14ac:dyDescent="0.3">
      <c r="F76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B911-3AD9-4E1E-8B14-23480AD232D1}">
  <sheetPr>
    <tabColor rgb="FFFFC000"/>
  </sheetPr>
  <dimension ref="A1:P76"/>
  <sheetViews>
    <sheetView workbookViewId="0">
      <pane xSplit="10" ySplit="14" topLeftCell="K64" activePane="bottomRight" state="frozen"/>
      <selection pane="topRight" activeCell="K1" sqref="K1"/>
      <selection pane="bottomLeft" activeCell="A15" sqref="A15"/>
      <selection pane="bottomRight" activeCell="D2" sqref="D2:D72"/>
    </sheetView>
  </sheetViews>
  <sheetFormatPr defaultColWidth="8.77734375" defaultRowHeight="14.4" x14ac:dyDescent="0.3"/>
  <cols>
    <col min="1" max="1" width="8.77734375" style="8"/>
    <col min="2" max="2" width="14.109375" style="8" bestFit="1" customWidth="1"/>
    <col min="3" max="3" width="8.88671875" style="8" bestFit="1" customWidth="1"/>
    <col min="4" max="4" width="12.109375" style="6" customWidth="1"/>
    <col min="5" max="6" width="13.33203125" style="6" bestFit="1" customWidth="1"/>
    <col min="7" max="7" width="2.77734375" style="6" customWidth="1"/>
    <col min="8" max="8" width="13.77734375" style="8" bestFit="1" customWidth="1"/>
    <col min="9" max="9" width="2.77734375" style="6" customWidth="1"/>
    <col min="10" max="13" width="11.33203125" style="8" customWidth="1"/>
    <col min="14" max="14" width="8.77734375" style="6"/>
    <col min="15" max="15" width="13.6640625" style="6" bestFit="1" customWidth="1"/>
    <col min="16" max="16" width="10.44140625" style="6" bestFit="1" customWidth="1"/>
    <col min="17" max="16384" width="8.77734375" style="6"/>
  </cols>
  <sheetData>
    <row r="1" spans="1:16" x14ac:dyDescent="0.3">
      <c r="A1" s="8" t="s">
        <v>0</v>
      </c>
      <c r="B1" s="8" t="str">
        <f>data!K1</f>
        <v>VA_TOT</v>
      </c>
      <c r="C1" s="8" t="str">
        <f>data!AU1</f>
        <v>X_TOT_P</v>
      </c>
      <c r="D1" s="1" t="s">
        <v>191</v>
      </c>
      <c r="E1" s="8" t="s">
        <v>27</v>
      </c>
      <c r="F1" s="8" t="s">
        <v>30</v>
      </c>
      <c r="G1" s="7"/>
      <c r="H1" s="8" t="s">
        <v>100</v>
      </c>
      <c r="I1" s="7"/>
      <c r="J1" s="8" t="s">
        <v>93</v>
      </c>
      <c r="K1" s="8" t="s">
        <v>94</v>
      </c>
      <c r="L1" s="8" t="s">
        <v>101</v>
      </c>
      <c r="M1" s="8" t="s">
        <v>95</v>
      </c>
      <c r="O1" s="8" t="s">
        <v>96</v>
      </c>
      <c r="P1" s="8" t="s">
        <v>97</v>
      </c>
    </row>
    <row r="2" spans="1:16" x14ac:dyDescent="0.3">
      <c r="A2" s="8">
        <v>1947</v>
      </c>
      <c r="B2" s="21">
        <f>data!K2</f>
        <v>244136</v>
      </c>
      <c r="C2" s="24">
        <f>data!AU2</f>
        <v>1</v>
      </c>
      <c r="D2" s="14">
        <f>B2/C2</f>
        <v>244136</v>
      </c>
      <c r="E2" s="10">
        <f>data!AB2</f>
        <v>1</v>
      </c>
      <c r="F2" s="10">
        <f>data!AE2</f>
        <v>1</v>
      </c>
      <c r="G2" s="19"/>
      <c r="H2" s="10">
        <f>data!X74</f>
        <v>0.5635024285714284</v>
      </c>
      <c r="I2" s="19"/>
      <c r="J2" s="10"/>
      <c r="K2" s="10"/>
      <c r="L2" s="10"/>
      <c r="M2" s="10"/>
      <c r="N2" s="20"/>
      <c r="O2" s="10">
        <v>0</v>
      </c>
      <c r="P2" s="10">
        <f>EXP(O2)</f>
        <v>1</v>
      </c>
    </row>
    <row r="3" spans="1:16" x14ac:dyDescent="0.3">
      <c r="A3" s="8">
        <v>1948</v>
      </c>
      <c r="B3" s="21">
        <f>data!K3</f>
        <v>268064.5</v>
      </c>
      <c r="C3" s="24">
        <f>data!AU3</f>
        <v>1.0832999999999999</v>
      </c>
      <c r="D3" s="14">
        <f t="shared" ref="D3:D66" si="0">B3/C3</f>
        <v>247451.76774669992</v>
      </c>
      <c r="E3" s="10">
        <f>data!AB3</f>
        <v>1.03556</v>
      </c>
      <c r="F3" s="10">
        <f>data!AE3</f>
        <v>1.0244200000000001</v>
      </c>
      <c r="G3" s="19"/>
      <c r="H3" s="10">
        <f>H2</f>
        <v>0.5635024285714284</v>
      </c>
      <c r="I3" s="19"/>
      <c r="J3" s="10">
        <f>LN(D3/D2)</f>
        <v>1.3490238160998924E-2</v>
      </c>
      <c r="K3" s="10">
        <f>LN(E3/E2)</f>
        <v>3.4942343197564091E-2</v>
      </c>
      <c r="L3" s="10">
        <f>LN(F3/F2)</f>
        <v>2.4126598776234309E-2</v>
      </c>
      <c r="M3" s="10">
        <f>J3-(1-H3)*K3-H3*L3</f>
        <v>-1.5357406788337956E-2</v>
      </c>
      <c r="N3" s="20"/>
      <c r="O3" s="10">
        <f t="shared" ref="O3:O66" si="1">O2+M3</f>
        <v>-1.5357406788337956E-2</v>
      </c>
      <c r="P3" s="10">
        <f t="shared" ref="P3:P66" si="2">EXP(O3)</f>
        <v>0.9847599168199892</v>
      </c>
    </row>
    <row r="4" spans="1:16" x14ac:dyDescent="0.3">
      <c r="A4" s="8">
        <v>1949</v>
      </c>
      <c r="B4" s="21">
        <f>data!K4</f>
        <v>266020.90000000002</v>
      </c>
      <c r="C4" s="24">
        <f>data!AU4</f>
        <v>1.0998399999999999</v>
      </c>
      <c r="D4" s="14">
        <f t="shared" si="0"/>
        <v>241872.3632528368</v>
      </c>
      <c r="E4" s="10">
        <f>data!AB4</f>
        <v>1.0618300000000001</v>
      </c>
      <c r="F4" s="10">
        <f>data!AE4</f>
        <v>0.98833000000000004</v>
      </c>
      <c r="G4" s="19"/>
      <c r="H4" s="10">
        <f t="shared" ref="H4:H67" si="3">H3</f>
        <v>0.5635024285714284</v>
      </c>
      <c r="I4" s="19"/>
      <c r="J4" s="10">
        <f>LN(D4/D3)</f>
        <v>-2.2805522782123847E-2</v>
      </c>
      <c r="K4" s="10">
        <f>LN(E4/E3)</f>
        <v>2.5051491479193298E-2</v>
      </c>
      <c r="L4" s="10">
        <f t="shared" ref="L4:L67" si="4">LN(F4/F3)</f>
        <v>-3.5865227681624264E-2</v>
      </c>
      <c r="M4" s="10">
        <f t="shared" ref="M4:M67" si="5">J4-(1-H4)*K4-H4*L4</f>
        <v>-1.3530295073592779E-2</v>
      </c>
      <c r="N4" s="20"/>
      <c r="O4" s="10">
        <f t="shared" si="1"/>
        <v>-2.8887701861930737E-2</v>
      </c>
      <c r="P4" s="10">
        <f t="shared" si="2"/>
        <v>0.97152555885228775</v>
      </c>
    </row>
    <row r="5" spans="1:16" x14ac:dyDescent="0.3">
      <c r="A5" s="8">
        <v>1950</v>
      </c>
      <c r="B5" s="21">
        <f>data!K5</f>
        <v>293337.2</v>
      </c>
      <c r="C5" s="24">
        <f>data!AU5</f>
        <v>1.11748</v>
      </c>
      <c r="D5" s="14">
        <f t="shared" si="0"/>
        <v>262498.83666821779</v>
      </c>
      <c r="E5" s="10">
        <f>data!AB5</f>
        <v>1.09954</v>
      </c>
      <c r="F5" s="10">
        <f>data!AE5</f>
        <v>1.0290299999999999</v>
      </c>
      <c r="G5" s="19"/>
      <c r="H5" s="10">
        <f t="shared" si="3"/>
        <v>0.5635024285714284</v>
      </c>
      <c r="I5" s="19"/>
      <c r="J5" s="10">
        <f>LN(D5/D4)</f>
        <v>8.1836487837369853E-2</v>
      </c>
      <c r="K5" s="10">
        <f>LN(E5/E4)</f>
        <v>3.4898075846984851E-2</v>
      </c>
      <c r="L5" s="10">
        <f t="shared" si="4"/>
        <v>4.0355239851268231E-2</v>
      </c>
      <c r="M5" s="10">
        <f t="shared" si="5"/>
        <v>4.386328682085873E-2</v>
      </c>
      <c r="N5" s="20"/>
      <c r="O5" s="10">
        <f t="shared" si="1"/>
        <v>1.4975584958927993E-2</v>
      </c>
      <c r="P5" s="10">
        <f t="shared" si="2"/>
        <v>1.0150882808911028</v>
      </c>
    </row>
    <row r="6" spans="1:16" x14ac:dyDescent="0.3">
      <c r="A6" s="8">
        <v>1951</v>
      </c>
      <c r="B6" s="21">
        <f>data!K6</f>
        <v>339441.1</v>
      </c>
      <c r="C6" s="24">
        <f>data!AU6</f>
        <v>1.21932</v>
      </c>
      <c r="D6" s="14">
        <f t="shared" si="0"/>
        <v>278385.57556670933</v>
      </c>
      <c r="E6" s="10">
        <f>data!AB6</f>
        <v>1.1515599999999999</v>
      </c>
      <c r="F6" s="10">
        <f>data!AE6</f>
        <v>1.09934</v>
      </c>
      <c r="G6" s="19"/>
      <c r="H6" s="10">
        <f t="shared" si="3"/>
        <v>0.5635024285714284</v>
      </c>
      <c r="I6" s="19"/>
      <c r="J6" s="10">
        <f t="shared" ref="J6:K37" si="6">LN(D6/D5)</f>
        <v>5.8760464935058321E-2</v>
      </c>
      <c r="K6" s="10">
        <f t="shared" si="6"/>
        <v>4.6225634346155231E-2</v>
      </c>
      <c r="L6" s="10">
        <f t="shared" si="4"/>
        <v>6.6093388786414242E-2</v>
      </c>
      <c r="M6" s="10">
        <f t="shared" si="5"/>
        <v>1.3393027115563561E-3</v>
      </c>
      <c r="N6" s="20"/>
      <c r="O6" s="10">
        <f t="shared" si="1"/>
        <v>1.6314887670484349E-2</v>
      </c>
      <c r="P6" s="10">
        <f t="shared" si="2"/>
        <v>1.0164487021827791</v>
      </c>
    </row>
    <row r="7" spans="1:16" x14ac:dyDescent="0.3">
      <c r="A7" s="8">
        <v>1952</v>
      </c>
      <c r="B7" s="21">
        <f>data!K7</f>
        <v>359559.4</v>
      </c>
      <c r="C7" s="24">
        <f>data!AU7</f>
        <v>1.2476700000000001</v>
      </c>
      <c r="D7" s="14">
        <f t="shared" si="0"/>
        <v>288184.69627385447</v>
      </c>
      <c r="E7" s="10">
        <f>data!AB7</f>
        <v>1.1994800000000001</v>
      </c>
      <c r="F7" s="10">
        <f>data!AE7</f>
        <v>1.1224000000000001</v>
      </c>
      <c r="G7" s="19"/>
      <c r="H7" s="10">
        <f t="shared" si="3"/>
        <v>0.5635024285714284</v>
      </c>
      <c r="I7" s="19"/>
      <c r="J7" s="10">
        <f t="shared" si="6"/>
        <v>3.4594465876448793E-2</v>
      </c>
      <c r="K7" s="10">
        <f t="shared" si="6"/>
        <v>4.0770584674702737E-2</v>
      </c>
      <c r="L7" s="10">
        <f t="shared" si="4"/>
        <v>2.0759250073821723E-2</v>
      </c>
      <c r="M7" s="10">
        <f t="shared" si="5"/>
        <v>5.1003168482979637E-3</v>
      </c>
      <c r="N7" s="20"/>
      <c r="O7" s="10">
        <f t="shared" si="1"/>
        <v>2.1415204518782312E-2</v>
      </c>
      <c r="P7" s="10">
        <f t="shared" si="2"/>
        <v>1.0216461556869147</v>
      </c>
    </row>
    <row r="8" spans="1:16" x14ac:dyDescent="0.3">
      <c r="A8" s="8">
        <v>1953</v>
      </c>
      <c r="B8" s="21">
        <f>data!K8</f>
        <v>380859.3</v>
      </c>
      <c r="C8" s="24">
        <f>data!AU8</f>
        <v>1.2500899999999999</v>
      </c>
      <c r="D8" s="14">
        <f t="shared" si="0"/>
        <v>304665.50408370601</v>
      </c>
      <c r="E8" s="10">
        <f>data!AB8</f>
        <v>1.25268</v>
      </c>
      <c r="F8" s="10">
        <f>data!AE8</f>
        <v>1.1475500000000001</v>
      </c>
      <c r="G8" s="19"/>
      <c r="H8" s="10">
        <f t="shared" si="3"/>
        <v>0.5635024285714284</v>
      </c>
      <c r="I8" s="19"/>
      <c r="J8" s="10">
        <f t="shared" si="6"/>
        <v>5.5612885767702888E-2</v>
      </c>
      <c r="K8" s="10">
        <f t="shared" si="6"/>
        <v>4.3397126681470027E-2</v>
      </c>
      <c r="L8" s="10">
        <f t="shared" si="4"/>
        <v>2.2159985181923535E-2</v>
      </c>
      <c r="M8" s="10">
        <f t="shared" si="5"/>
        <v>2.4182939897142375E-2</v>
      </c>
      <c r="N8" s="20"/>
      <c r="O8" s="10">
        <f t="shared" si="1"/>
        <v>4.5598144415924691E-2</v>
      </c>
      <c r="P8" s="10">
        <f t="shared" si="2"/>
        <v>1.0466537227915573</v>
      </c>
    </row>
    <row r="9" spans="1:16" x14ac:dyDescent="0.3">
      <c r="A9" s="8">
        <v>1954</v>
      </c>
      <c r="B9" s="21">
        <f>data!K9</f>
        <v>382379.5</v>
      </c>
      <c r="C9" s="24">
        <f>data!AU9</f>
        <v>1.2546999999999999</v>
      </c>
      <c r="D9" s="14">
        <f t="shared" si="0"/>
        <v>304757.71100661514</v>
      </c>
      <c r="E9" s="10">
        <f>data!AB9</f>
        <v>1.3127</v>
      </c>
      <c r="F9" s="10">
        <f>data!AE9</f>
        <v>1.1093</v>
      </c>
      <c r="G9" s="19"/>
      <c r="H9" s="10">
        <f t="shared" si="3"/>
        <v>0.5635024285714284</v>
      </c>
      <c r="I9" s="19"/>
      <c r="J9" s="10">
        <f t="shared" si="6"/>
        <v>3.0260390917034109E-4</v>
      </c>
      <c r="K9" s="10">
        <f t="shared" si="6"/>
        <v>4.680082860115431E-2</v>
      </c>
      <c r="L9" s="10">
        <f t="shared" si="4"/>
        <v>-3.3900049225560974E-2</v>
      </c>
      <c r="M9" s="10">
        <f t="shared" si="5"/>
        <v>-1.0230840487837692E-3</v>
      </c>
      <c r="N9" s="20"/>
      <c r="O9" s="10">
        <f t="shared" si="1"/>
        <v>4.4575060367140922E-2</v>
      </c>
      <c r="P9" s="10">
        <f t="shared" si="2"/>
        <v>1.0455834556431469</v>
      </c>
    </row>
    <row r="10" spans="1:16" x14ac:dyDescent="0.3">
      <c r="A10" s="8">
        <v>1955</v>
      </c>
      <c r="B10" s="21">
        <f>data!K10</f>
        <v>416129</v>
      </c>
      <c r="C10" s="24">
        <f>data!AU10</f>
        <v>1.2762</v>
      </c>
      <c r="D10" s="14">
        <f t="shared" si="0"/>
        <v>326068.79799404484</v>
      </c>
      <c r="E10" s="10">
        <f>data!AB10</f>
        <v>1.3686499999999999</v>
      </c>
      <c r="F10" s="10">
        <f>data!AE10</f>
        <v>1.1472100000000001</v>
      </c>
      <c r="G10" s="19"/>
      <c r="H10" s="10">
        <f t="shared" si="3"/>
        <v>0.5635024285714284</v>
      </c>
      <c r="I10" s="19"/>
      <c r="J10" s="10">
        <f t="shared" si="6"/>
        <v>6.7591325123008902E-2</v>
      </c>
      <c r="K10" s="10">
        <f t="shared" si="6"/>
        <v>4.173876772575344E-2</v>
      </c>
      <c r="L10" s="10">
        <f t="shared" si="4"/>
        <v>3.3603721938622086E-2</v>
      </c>
      <c r="M10" s="10">
        <f t="shared" si="5"/>
        <v>3.0436675454843749E-2</v>
      </c>
      <c r="N10" s="20"/>
      <c r="O10" s="10">
        <f t="shared" si="1"/>
        <v>7.5011735821984671E-2</v>
      </c>
      <c r="P10" s="10">
        <f t="shared" si="2"/>
        <v>1.0778968008153749</v>
      </c>
    </row>
    <row r="11" spans="1:16" x14ac:dyDescent="0.3">
      <c r="A11" s="8">
        <v>1956</v>
      </c>
      <c r="B11" s="21">
        <f>data!K11</f>
        <v>439820.3</v>
      </c>
      <c r="C11" s="24">
        <f>data!AU11</f>
        <v>1.3570599999999999</v>
      </c>
      <c r="D11" s="14">
        <f t="shared" si="0"/>
        <v>324097.90281933005</v>
      </c>
      <c r="E11" s="10">
        <f>data!AB11</f>
        <v>1.43503</v>
      </c>
      <c r="F11" s="10">
        <f>data!AE11</f>
        <v>1.1731100000000001</v>
      </c>
      <c r="G11" s="19"/>
      <c r="H11" s="10">
        <f t="shared" si="3"/>
        <v>0.5635024285714284</v>
      </c>
      <c r="I11" s="19"/>
      <c r="J11" s="10">
        <f t="shared" si="6"/>
        <v>-6.0627565492492987E-3</v>
      </c>
      <c r="K11" s="10">
        <f t="shared" si="6"/>
        <v>4.7360902363425453E-2</v>
      </c>
      <c r="L11" s="10">
        <f t="shared" si="4"/>
        <v>2.2325434214576438E-2</v>
      </c>
      <c r="M11" s="10">
        <f t="shared" si="5"/>
        <v>-3.9316111810375684E-2</v>
      </c>
      <c r="N11" s="20"/>
      <c r="O11" s="10">
        <f t="shared" si="1"/>
        <v>3.5695624011608987E-2</v>
      </c>
      <c r="P11" s="10">
        <f t="shared" si="2"/>
        <v>1.0363403613585118</v>
      </c>
    </row>
    <row r="12" spans="1:16" x14ac:dyDescent="0.3">
      <c r="A12" s="8">
        <v>1957</v>
      </c>
      <c r="B12" s="21">
        <f>data!K12</f>
        <v>463620.3</v>
      </c>
      <c r="C12" s="24">
        <f>data!AU12</f>
        <v>1.40622</v>
      </c>
      <c r="D12" s="14">
        <f t="shared" si="0"/>
        <v>329692.58010837564</v>
      </c>
      <c r="E12" s="10">
        <f>data!AB12</f>
        <v>1.49919</v>
      </c>
      <c r="F12" s="10">
        <f>data!AE12</f>
        <v>1.1725300000000001</v>
      </c>
      <c r="G12" s="19"/>
      <c r="H12" s="10">
        <f t="shared" si="3"/>
        <v>0.5635024285714284</v>
      </c>
      <c r="I12" s="19"/>
      <c r="J12" s="10">
        <f t="shared" si="6"/>
        <v>1.7115005501422954E-2</v>
      </c>
      <c r="K12" s="10">
        <f t="shared" si="6"/>
        <v>4.3739207339251518E-2</v>
      </c>
      <c r="L12" s="10">
        <f t="shared" si="4"/>
        <v>-4.945345507585742E-4</v>
      </c>
      <c r="M12" s="10">
        <f t="shared" si="5"/>
        <v>-1.6983808580061496E-3</v>
      </c>
      <c r="N12" s="20"/>
      <c r="O12" s="10">
        <f t="shared" si="1"/>
        <v>3.3997243153602835E-2</v>
      </c>
      <c r="P12" s="10">
        <f t="shared" si="2"/>
        <v>1.0345817545412037</v>
      </c>
    </row>
    <row r="13" spans="1:16" x14ac:dyDescent="0.3">
      <c r="A13" s="8">
        <v>1958</v>
      </c>
      <c r="B13" s="21">
        <f>data!K13</f>
        <v>470428.9</v>
      </c>
      <c r="C13" s="24">
        <f>data!AU13</f>
        <v>1.4113100000000001</v>
      </c>
      <c r="D13" s="14">
        <f t="shared" si="0"/>
        <v>333327.83017196791</v>
      </c>
      <c r="E13" s="10">
        <f>data!AB13</f>
        <v>1.55376</v>
      </c>
      <c r="F13" s="10">
        <f>data!AE13</f>
        <v>1.13188</v>
      </c>
      <c r="G13" s="19"/>
      <c r="H13" s="10">
        <f t="shared" si="3"/>
        <v>0.5635024285714284</v>
      </c>
      <c r="I13" s="19"/>
      <c r="J13" s="10">
        <f t="shared" si="6"/>
        <v>1.0965835848349384E-2</v>
      </c>
      <c r="K13" s="10">
        <f t="shared" si="6"/>
        <v>3.5752837608251833E-2</v>
      </c>
      <c r="L13" s="10">
        <f t="shared" si="4"/>
        <v>-3.5283840270209657E-2</v>
      </c>
      <c r="M13" s="10">
        <f t="shared" si="5"/>
        <v>1.5242338742256865E-2</v>
      </c>
      <c r="N13" s="20"/>
      <c r="O13" s="10">
        <f t="shared" si="1"/>
        <v>4.9239581895859696E-2</v>
      </c>
      <c r="P13" s="10">
        <f t="shared" si="2"/>
        <v>1.0504719946661896</v>
      </c>
    </row>
    <row r="14" spans="1:16" x14ac:dyDescent="0.3">
      <c r="A14" s="8">
        <v>1959</v>
      </c>
      <c r="B14" s="21">
        <f>data!K14</f>
        <v>509054.2</v>
      </c>
      <c r="C14" s="24">
        <f>data!AU14</f>
        <v>1.42489</v>
      </c>
      <c r="D14" s="14">
        <f t="shared" si="0"/>
        <v>357258.59540034668</v>
      </c>
      <c r="E14" s="10">
        <f>data!AB14</f>
        <v>1.6125400000000001</v>
      </c>
      <c r="F14" s="10">
        <f>data!AE14</f>
        <v>1.17106</v>
      </c>
      <c r="G14" s="19"/>
      <c r="H14" s="10">
        <f t="shared" si="3"/>
        <v>0.5635024285714284</v>
      </c>
      <c r="I14" s="19"/>
      <c r="J14" s="10">
        <f t="shared" si="6"/>
        <v>6.9333395729893679E-2</v>
      </c>
      <c r="K14" s="10">
        <f t="shared" si="6"/>
        <v>3.7132775717765409E-2</v>
      </c>
      <c r="L14" s="10">
        <f t="shared" si="4"/>
        <v>3.4029354466137599E-2</v>
      </c>
      <c r="M14" s="10">
        <f t="shared" si="5"/>
        <v>3.3949405424300722E-2</v>
      </c>
      <c r="N14" s="20"/>
      <c r="O14" s="10">
        <f t="shared" si="1"/>
        <v>8.3188987320160418E-2</v>
      </c>
      <c r="P14" s="10">
        <f t="shared" si="2"/>
        <v>1.0867471705776763</v>
      </c>
    </row>
    <row r="15" spans="1:16" x14ac:dyDescent="0.3">
      <c r="A15" s="8">
        <v>1960</v>
      </c>
      <c r="B15" s="21">
        <f>data!K15</f>
        <v>529152.19999999995</v>
      </c>
      <c r="C15" s="24">
        <f>data!AU15</f>
        <v>1.4299500000000001</v>
      </c>
      <c r="D15" s="14">
        <f t="shared" si="0"/>
        <v>370049.44228819187</v>
      </c>
      <c r="E15" s="10">
        <f>data!AB15</f>
        <v>1.6789499999999999</v>
      </c>
      <c r="F15" s="10">
        <f>data!AE15</f>
        <v>1.18679</v>
      </c>
      <c r="G15" s="19"/>
      <c r="H15" s="10">
        <f t="shared" si="3"/>
        <v>0.5635024285714284</v>
      </c>
      <c r="I15" s="19"/>
      <c r="J15" s="10">
        <f t="shared" si="6"/>
        <v>3.51767480932524E-2</v>
      </c>
      <c r="K15" s="10">
        <f t="shared" si="6"/>
        <v>4.0358022439576854E-2</v>
      </c>
      <c r="L15" s="10">
        <f t="shared" si="4"/>
        <v>1.3342861818637341E-2</v>
      </c>
      <c r="M15" s="10">
        <f t="shared" si="5"/>
        <v>1.0041834271822179E-2</v>
      </c>
      <c r="N15" s="20"/>
      <c r="O15" s="10">
        <f t="shared" si="1"/>
        <v>9.3230821591982593E-2</v>
      </c>
      <c r="P15" s="10">
        <f t="shared" si="2"/>
        <v>1.0977150823708226</v>
      </c>
    </row>
    <row r="16" spans="1:16" x14ac:dyDescent="0.3">
      <c r="A16" s="8">
        <v>1961</v>
      </c>
      <c r="B16" s="21">
        <f>data!K16</f>
        <v>548911.5</v>
      </c>
      <c r="C16" s="24">
        <f>data!AU16</f>
        <v>1.4303399999999999</v>
      </c>
      <c r="D16" s="14">
        <f t="shared" si="0"/>
        <v>383762.95146608498</v>
      </c>
      <c r="E16" s="10">
        <f>data!AB16</f>
        <v>1.74553</v>
      </c>
      <c r="F16" s="10">
        <f>data!AE16</f>
        <v>1.1874800000000001</v>
      </c>
      <c r="G16" s="19"/>
      <c r="H16" s="10">
        <f t="shared" si="3"/>
        <v>0.5635024285714284</v>
      </c>
      <c r="I16" s="19"/>
      <c r="J16" s="10">
        <f t="shared" si="6"/>
        <v>3.6388423563858442E-2</v>
      </c>
      <c r="K16" s="10">
        <f t="shared" si="6"/>
        <v>3.8889636446429267E-2</v>
      </c>
      <c r="L16" s="10">
        <f t="shared" si="4"/>
        <v>5.8123130008406034E-4</v>
      </c>
      <c r="M16" s="10">
        <f t="shared" si="5"/>
        <v>1.9085666452092902E-2</v>
      </c>
      <c r="N16" s="20"/>
      <c r="O16" s="10">
        <f t="shared" si="1"/>
        <v>0.1123164880440755</v>
      </c>
      <c r="P16" s="10">
        <f t="shared" si="2"/>
        <v>1.1188669126162367</v>
      </c>
    </row>
    <row r="17" spans="1:16" x14ac:dyDescent="0.3">
      <c r="A17" s="8">
        <v>1962</v>
      </c>
      <c r="B17" s="21">
        <f>data!K17</f>
        <v>590282.80000000005</v>
      </c>
      <c r="C17" s="24">
        <f>data!AU17</f>
        <v>1.43753</v>
      </c>
      <c r="D17" s="14">
        <f t="shared" si="0"/>
        <v>410622.94352117873</v>
      </c>
      <c r="E17" s="10">
        <f>data!AB17</f>
        <v>1.82185</v>
      </c>
      <c r="F17" s="10">
        <f>data!AE17</f>
        <v>1.22129</v>
      </c>
      <c r="G17" s="19"/>
      <c r="H17" s="10">
        <f t="shared" si="3"/>
        <v>0.5635024285714284</v>
      </c>
      <c r="I17" s="19"/>
      <c r="J17" s="10">
        <f t="shared" si="6"/>
        <v>6.7650332978080249E-2</v>
      </c>
      <c r="K17" s="10">
        <f t="shared" si="6"/>
        <v>4.2794233867962703E-2</v>
      </c>
      <c r="L17" s="10">
        <f t="shared" si="4"/>
        <v>2.8074262485420481E-2</v>
      </c>
      <c r="M17" s="10">
        <f t="shared" si="5"/>
        <v>3.3150838732682014E-2</v>
      </c>
      <c r="N17" s="20"/>
      <c r="O17" s="10">
        <f t="shared" si="1"/>
        <v>0.1454673267767575</v>
      </c>
      <c r="P17" s="10">
        <f t="shared" si="2"/>
        <v>1.1565799447701017</v>
      </c>
    </row>
    <row r="18" spans="1:16" x14ac:dyDescent="0.3">
      <c r="A18" s="8">
        <v>1963</v>
      </c>
      <c r="B18" s="21">
        <f>data!K18</f>
        <v>622498.4</v>
      </c>
      <c r="C18" s="24">
        <f>data!AU18</f>
        <v>1.4395800000000001</v>
      </c>
      <c r="D18" s="14">
        <f t="shared" si="0"/>
        <v>432416.67708637239</v>
      </c>
      <c r="E18" s="10">
        <f>data!AB18</f>
        <v>1.9064700000000001</v>
      </c>
      <c r="F18" s="10">
        <f>data!AE18</f>
        <v>1.23628</v>
      </c>
      <c r="G18" s="19"/>
      <c r="H18" s="10">
        <f t="shared" si="3"/>
        <v>0.5635024285714284</v>
      </c>
      <c r="I18" s="19"/>
      <c r="J18" s="10">
        <f t="shared" si="6"/>
        <v>5.1714272617454288E-2</v>
      </c>
      <c r="K18" s="10">
        <f t="shared" si="6"/>
        <v>4.5400896214806433E-2</v>
      </c>
      <c r="L18" s="10">
        <f t="shared" si="4"/>
        <v>1.219919343166018E-2</v>
      </c>
      <c r="M18" s="10">
        <f t="shared" si="5"/>
        <v>2.502261655365752E-2</v>
      </c>
      <c r="N18" s="20"/>
      <c r="O18" s="10">
        <f t="shared" si="1"/>
        <v>0.17048994333041501</v>
      </c>
      <c r="P18" s="10">
        <f t="shared" si="2"/>
        <v>1.1858857258129505</v>
      </c>
    </row>
    <row r="19" spans="1:16" x14ac:dyDescent="0.3">
      <c r="A19" s="8">
        <v>1964</v>
      </c>
      <c r="B19" s="21">
        <f>data!K19</f>
        <v>668361.9</v>
      </c>
      <c r="C19" s="24">
        <f>data!AU19</f>
        <v>1.4506399999999999</v>
      </c>
      <c r="D19" s="14">
        <f t="shared" si="0"/>
        <v>460735.88209342089</v>
      </c>
      <c r="E19" s="10">
        <f>data!AB19</f>
        <v>1.9979</v>
      </c>
      <c r="F19" s="10">
        <f>data!AE19</f>
        <v>1.2631699999999999</v>
      </c>
      <c r="G19" s="19"/>
      <c r="H19" s="10">
        <f t="shared" si="3"/>
        <v>0.5635024285714284</v>
      </c>
      <c r="I19" s="19"/>
      <c r="J19" s="10">
        <f t="shared" si="6"/>
        <v>6.3435301261422328E-2</v>
      </c>
      <c r="K19" s="10">
        <f t="shared" si="6"/>
        <v>4.6843264373318635E-2</v>
      </c>
      <c r="L19" s="10">
        <f t="shared" si="4"/>
        <v>2.1517563872271817E-2</v>
      </c>
      <c r="M19" s="10">
        <f t="shared" si="5"/>
        <v>3.0863130625716217E-2</v>
      </c>
      <c r="N19" s="20"/>
      <c r="O19" s="10">
        <f t="shared" si="1"/>
        <v>0.20135307395613122</v>
      </c>
      <c r="P19" s="10">
        <f t="shared" si="2"/>
        <v>1.2230565250042955</v>
      </c>
    </row>
    <row r="20" spans="1:16" x14ac:dyDescent="0.3">
      <c r="A20" s="8">
        <v>1965</v>
      </c>
      <c r="B20" s="21">
        <f>data!K20</f>
        <v>726085.1</v>
      </c>
      <c r="C20" s="24">
        <f>data!AU20</f>
        <v>1.4725999999999999</v>
      </c>
      <c r="D20" s="14">
        <f t="shared" si="0"/>
        <v>493063.35732717643</v>
      </c>
      <c r="E20" s="10">
        <f>data!AB20</f>
        <v>2.1085199999999999</v>
      </c>
      <c r="F20" s="10">
        <f>data!AE20</f>
        <v>1.3098399999999999</v>
      </c>
      <c r="G20" s="19"/>
      <c r="H20" s="10">
        <f t="shared" si="3"/>
        <v>0.5635024285714284</v>
      </c>
      <c r="I20" s="19"/>
      <c r="J20" s="10">
        <f t="shared" si="6"/>
        <v>6.7812724696111465E-2</v>
      </c>
      <c r="K20" s="10">
        <f t="shared" si="6"/>
        <v>5.3889650651897616E-2</v>
      </c>
      <c r="L20" s="10">
        <f t="shared" si="4"/>
        <v>3.6280557880181176E-2</v>
      </c>
      <c r="M20" s="10">
        <f t="shared" si="5"/>
        <v>2.3845840586015649E-2</v>
      </c>
      <c r="N20" s="20"/>
      <c r="O20" s="10">
        <f t="shared" si="1"/>
        <v>0.22519891454214688</v>
      </c>
      <c r="P20" s="10">
        <f t="shared" si="2"/>
        <v>1.252571846168542</v>
      </c>
    </row>
    <row r="21" spans="1:16" x14ac:dyDescent="0.3">
      <c r="A21" s="8">
        <v>1966</v>
      </c>
      <c r="B21" s="21">
        <f>data!K21</f>
        <v>796105.9</v>
      </c>
      <c r="C21" s="24">
        <f>data!AU21</f>
        <v>1.50498</v>
      </c>
      <c r="D21" s="14">
        <f t="shared" si="0"/>
        <v>528981.04958205426</v>
      </c>
      <c r="E21" s="10">
        <f>data!AB21</f>
        <v>2.2357200000000002</v>
      </c>
      <c r="F21" s="10">
        <f>data!AE21</f>
        <v>1.3658399999999999</v>
      </c>
      <c r="G21" s="19"/>
      <c r="H21" s="10">
        <f t="shared" si="3"/>
        <v>0.5635024285714284</v>
      </c>
      <c r="I21" s="19"/>
      <c r="J21" s="10">
        <f t="shared" si="6"/>
        <v>7.0314928486610279E-2</v>
      </c>
      <c r="K21" s="10">
        <f t="shared" si="6"/>
        <v>5.8577044262461894E-2</v>
      </c>
      <c r="L21" s="10">
        <f t="shared" si="4"/>
        <v>4.1864631631741388E-2</v>
      </c>
      <c r="M21" s="10">
        <f t="shared" si="5"/>
        <v>2.1155369328847207E-2</v>
      </c>
      <c r="N21" s="20"/>
      <c r="O21" s="10">
        <f t="shared" si="1"/>
        <v>0.24635428387099409</v>
      </c>
      <c r="P21" s="10">
        <f t="shared" si="2"/>
        <v>1.2793527473046027</v>
      </c>
    </row>
    <row r="22" spans="1:16" x14ac:dyDescent="0.3">
      <c r="A22" s="8">
        <v>1967</v>
      </c>
      <c r="B22" s="21">
        <f>data!K22</f>
        <v>841282.4</v>
      </c>
      <c r="C22" s="24">
        <f>data!AU22</f>
        <v>1.5431699999999999</v>
      </c>
      <c r="D22" s="14">
        <f t="shared" si="0"/>
        <v>545165.08226572582</v>
      </c>
      <c r="E22" s="10">
        <f>data!AB22</f>
        <v>2.3753000000000002</v>
      </c>
      <c r="F22" s="10">
        <f>data!AE22</f>
        <v>1.38056</v>
      </c>
      <c r="G22" s="19"/>
      <c r="H22" s="10">
        <f t="shared" si="3"/>
        <v>0.5635024285714284</v>
      </c>
      <c r="I22" s="19"/>
      <c r="J22" s="10">
        <f t="shared" si="6"/>
        <v>3.0136043916852158E-2</v>
      </c>
      <c r="K22" s="10">
        <f t="shared" si="6"/>
        <v>6.0560421460784865E-2</v>
      </c>
      <c r="L22" s="10">
        <f t="shared" si="4"/>
        <v>1.0719589976345468E-2</v>
      </c>
      <c r="M22" s="10">
        <f t="shared" si="5"/>
        <v>-2.3389479604317958E-3</v>
      </c>
      <c r="N22" s="20"/>
      <c r="O22" s="10">
        <f t="shared" si="1"/>
        <v>0.24401533591056229</v>
      </c>
      <c r="P22" s="10">
        <f t="shared" si="2"/>
        <v>1.2763639045420463</v>
      </c>
    </row>
    <row r="23" spans="1:16" x14ac:dyDescent="0.3">
      <c r="A23" s="8">
        <v>1968</v>
      </c>
      <c r="B23" s="21">
        <f>data!K23</f>
        <v>918084.4</v>
      </c>
      <c r="C23" s="24">
        <f>data!AU23</f>
        <v>1.6032200000000001</v>
      </c>
      <c r="D23" s="14">
        <f t="shared" si="0"/>
        <v>572650.29128878133</v>
      </c>
      <c r="E23" s="10">
        <f>data!AB23</f>
        <v>2.50997</v>
      </c>
      <c r="F23" s="10">
        <f>data!AE23</f>
        <v>1.40533</v>
      </c>
      <c r="G23" s="19"/>
      <c r="H23" s="10">
        <f t="shared" si="3"/>
        <v>0.5635024285714284</v>
      </c>
      <c r="I23" s="19"/>
      <c r="J23" s="10">
        <f t="shared" si="6"/>
        <v>4.9186566474501849E-2</v>
      </c>
      <c r="K23" s="10">
        <f t="shared" si="6"/>
        <v>5.5147055582118729E-2</v>
      </c>
      <c r="L23" s="10">
        <f t="shared" si="4"/>
        <v>1.7782936694443609E-2</v>
      </c>
      <c r="M23" s="10">
        <f t="shared" si="5"/>
        <v>1.5094282627019628E-2</v>
      </c>
      <c r="N23" s="20"/>
      <c r="O23" s="10">
        <f t="shared" si="1"/>
        <v>0.25910961853758191</v>
      </c>
      <c r="P23" s="10">
        <f t="shared" si="2"/>
        <v>1.2957758380955726</v>
      </c>
    </row>
    <row r="24" spans="1:16" x14ac:dyDescent="0.3">
      <c r="A24" s="8">
        <v>1969</v>
      </c>
      <c r="B24" s="21">
        <f>data!K24</f>
        <v>992611.2</v>
      </c>
      <c r="C24" s="24">
        <f>data!AU24</f>
        <v>1.6859200000000001</v>
      </c>
      <c r="D24" s="14">
        <f t="shared" si="0"/>
        <v>588765.30321723444</v>
      </c>
      <c r="E24" s="10">
        <f>data!AB24</f>
        <v>2.6488200000000002</v>
      </c>
      <c r="F24" s="10">
        <f>data!AE24</f>
        <v>1.4378500000000001</v>
      </c>
      <c r="G24" s="19"/>
      <c r="H24" s="10">
        <f t="shared" si="3"/>
        <v>0.5635024285714284</v>
      </c>
      <c r="I24" s="19"/>
      <c r="J24" s="10">
        <f t="shared" si="6"/>
        <v>2.7752419206800973E-2</v>
      </c>
      <c r="K24" s="10">
        <f t="shared" si="6"/>
        <v>5.3843456930310556E-2</v>
      </c>
      <c r="L24" s="10">
        <f t="shared" si="4"/>
        <v>2.2876791662586639E-2</v>
      </c>
      <c r="M24" s="10">
        <f t="shared" si="5"/>
        <v>-8.6412466403886536E-3</v>
      </c>
      <c r="N24" s="20"/>
      <c r="O24" s="10">
        <f t="shared" si="1"/>
        <v>0.25046837189719323</v>
      </c>
      <c r="P24" s="10">
        <f t="shared" si="2"/>
        <v>1.284626958969953</v>
      </c>
    </row>
    <row r="25" spans="1:16" x14ac:dyDescent="0.3">
      <c r="A25" s="8">
        <v>1970</v>
      </c>
      <c r="B25" s="21">
        <f>data!K25</f>
        <v>1046070.1</v>
      </c>
      <c r="C25" s="24">
        <f>data!AU25</f>
        <v>1.77278</v>
      </c>
      <c r="D25" s="14">
        <f t="shared" si="0"/>
        <v>590073.27474362298</v>
      </c>
      <c r="E25" s="10">
        <f>data!AB25</f>
        <v>2.7715999999999998</v>
      </c>
      <c r="F25" s="10">
        <f>data!AE25</f>
        <v>1.4046099999999999</v>
      </c>
      <c r="G25" s="19"/>
      <c r="H25" s="10">
        <f t="shared" si="3"/>
        <v>0.5635024285714284</v>
      </c>
      <c r="I25" s="19"/>
      <c r="J25" s="10">
        <f t="shared" si="6"/>
        <v>2.2190859505000506E-3</v>
      </c>
      <c r="K25" s="10">
        <f t="shared" si="6"/>
        <v>4.531051295974927E-2</v>
      </c>
      <c r="L25" s="10">
        <f t="shared" si="4"/>
        <v>-2.3389258132160782E-2</v>
      </c>
      <c r="M25" s="10">
        <f t="shared" si="5"/>
        <v>-4.3789391566566964E-3</v>
      </c>
      <c r="N25" s="20"/>
      <c r="O25" s="10">
        <f t="shared" si="1"/>
        <v>0.24608943274053655</v>
      </c>
      <c r="P25" s="10">
        <f t="shared" si="2"/>
        <v>1.2790139541500805</v>
      </c>
    </row>
    <row r="26" spans="1:16" x14ac:dyDescent="0.3">
      <c r="A26" s="8">
        <v>1971</v>
      </c>
      <c r="B26" s="21">
        <f>data!K26</f>
        <v>1135307.8</v>
      </c>
      <c r="C26" s="24">
        <f>data!AU26</f>
        <v>1.8686700000000001</v>
      </c>
      <c r="D26" s="14">
        <f t="shared" si="0"/>
        <v>607548.57733040082</v>
      </c>
      <c r="E26" s="10">
        <f>data!AB26</f>
        <v>2.9007299999999998</v>
      </c>
      <c r="F26" s="10">
        <f>data!AE26</f>
        <v>1.40008</v>
      </c>
      <c r="G26" s="19"/>
      <c r="H26" s="10">
        <f t="shared" si="3"/>
        <v>0.5635024285714284</v>
      </c>
      <c r="I26" s="19"/>
      <c r="J26" s="10">
        <f t="shared" si="6"/>
        <v>2.9185411032659887E-2</v>
      </c>
      <c r="K26" s="10">
        <f t="shared" si="6"/>
        <v>4.5537658682065225E-2</v>
      </c>
      <c r="L26" s="10">
        <f t="shared" si="4"/>
        <v>-3.2303063362910905E-3</v>
      </c>
      <c r="M26" s="10">
        <f t="shared" si="5"/>
        <v>1.1128619074924909E-2</v>
      </c>
      <c r="N26" s="20"/>
      <c r="O26" s="10">
        <f t="shared" si="1"/>
        <v>0.25721805181546148</v>
      </c>
      <c r="P26" s="10">
        <f t="shared" si="2"/>
        <v>1.2933271083388975</v>
      </c>
    </row>
    <row r="27" spans="1:16" x14ac:dyDescent="0.3">
      <c r="A27" s="8">
        <v>1972</v>
      </c>
      <c r="B27" s="21">
        <f>data!K27</f>
        <v>1248336.6000000001</v>
      </c>
      <c r="C27" s="24">
        <f>data!AU27</f>
        <v>1.96241</v>
      </c>
      <c r="D27" s="14">
        <f t="shared" si="0"/>
        <v>636124.2553798646</v>
      </c>
      <c r="E27" s="10">
        <f>data!AB27</f>
        <v>3.0204900000000001</v>
      </c>
      <c r="F27" s="10">
        <f>data!AE27</f>
        <v>1.4323699999999999</v>
      </c>
      <c r="G27" s="19"/>
      <c r="H27" s="10">
        <f t="shared" si="3"/>
        <v>0.5635024285714284</v>
      </c>
      <c r="I27" s="19"/>
      <c r="J27" s="10">
        <f t="shared" si="6"/>
        <v>4.5961779650351441E-2</v>
      </c>
      <c r="K27" s="10">
        <f t="shared" si="6"/>
        <v>4.0456640427876819E-2</v>
      </c>
      <c r="L27" s="10">
        <f t="shared" si="4"/>
        <v>2.2801037206622531E-2</v>
      </c>
      <c r="M27" s="10">
        <f t="shared" si="5"/>
        <v>1.5454114515544948E-2</v>
      </c>
      <c r="N27" s="20"/>
      <c r="O27" s="10">
        <f t="shared" si="1"/>
        <v>0.27267216633100644</v>
      </c>
      <c r="P27" s="10">
        <f t="shared" si="2"/>
        <v>1.31346957468473</v>
      </c>
    </row>
    <row r="28" spans="1:16" x14ac:dyDescent="0.3">
      <c r="A28" s="8">
        <v>1973</v>
      </c>
      <c r="B28" s="21">
        <f>data!K28</f>
        <v>1389186.8</v>
      </c>
      <c r="C28" s="24">
        <f>data!AU28</f>
        <v>2.07498</v>
      </c>
      <c r="D28" s="14">
        <f t="shared" si="0"/>
        <v>669494.06741269794</v>
      </c>
      <c r="E28" s="10">
        <f>data!AB28</f>
        <v>3.1526900000000002</v>
      </c>
      <c r="F28" s="10">
        <f>data!AE28</f>
        <v>1.49177</v>
      </c>
      <c r="G28" s="19"/>
      <c r="H28" s="10">
        <f t="shared" si="3"/>
        <v>0.5635024285714284</v>
      </c>
      <c r="I28" s="19"/>
      <c r="J28" s="10">
        <f t="shared" si="6"/>
        <v>5.1128389519204169E-2</v>
      </c>
      <c r="K28" s="10">
        <f t="shared" si="6"/>
        <v>4.283698678704527E-2</v>
      </c>
      <c r="L28" s="10">
        <f t="shared" si="4"/>
        <v>4.0632919350023541E-2</v>
      </c>
      <c r="M28" s="10">
        <f t="shared" si="5"/>
        <v>9.5334000856558479E-3</v>
      </c>
      <c r="N28" s="20"/>
      <c r="O28" s="10">
        <f t="shared" si="1"/>
        <v>0.28220556641666228</v>
      </c>
      <c r="P28" s="10">
        <f t="shared" si="2"/>
        <v>1.3260512835815477</v>
      </c>
    </row>
    <row r="29" spans="1:16" x14ac:dyDescent="0.3">
      <c r="A29" s="8">
        <v>1974</v>
      </c>
      <c r="B29" s="21">
        <f>data!K29</f>
        <v>1507131</v>
      </c>
      <c r="C29" s="24">
        <f>data!AU29</f>
        <v>2.2956699999999999</v>
      </c>
      <c r="D29" s="14">
        <f t="shared" si="0"/>
        <v>656510.2998253234</v>
      </c>
      <c r="E29" s="10">
        <f>data!AB29</f>
        <v>3.2913800000000002</v>
      </c>
      <c r="F29" s="10">
        <f>data!AE29</f>
        <v>1.4881899999999999</v>
      </c>
      <c r="G29" s="19"/>
      <c r="H29" s="10">
        <f t="shared" si="3"/>
        <v>0.5635024285714284</v>
      </c>
      <c r="I29" s="19"/>
      <c r="J29" s="10">
        <f t="shared" si="6"/>
        <v>-1.958392125626033E-2</v>
      </c>
      <c r="K29" s="10">
        <f t="shared" si="6"/>
        <v>4.3050873050971432E-2</v>
      </c>
      <c r="L29" s="10">
        <f t="shared" si="4"/>
        <v>-2.4027179709085874E-3</v>
      </c>
      <c r="M29" s="10">
        <f t="shared" si="5"/>
        <v>-3.7021585379109899E-2</v>
      </c>
      <c r="N29" s="20"/>
      <c r="O29" s="10">
        <f t="shared" si="1"/>
        <v>0.24518398103755237</v>
      </c>
      <c r="P29" s="10">
        <f t="shared" si="2"/>
        <v>1.2778563929241313</v>
      </c>
    </row>
    <row r="30" spans="1:16" x14ac:dyDescent="0.3">
      <c r="A30" s="8">
        <v>1975</v>
      </c>
      <c r="B30" s="21">
        <f>data!K30</f>
        <v>1637062.3</v>
      </c>
      <c r="C30" s="24">
        <f>data!AU30</f>
        <v>2.55898</v>
      </c>
      <c r="D30" s="14">
        <f t="shared" si="0"/>
        <v>639732.35429741535</v>
      </c>
      <c r="E30" s="10">
        <f>data!AB30</f>
        <v>3.4009399999999999</v>
      </c>
      <c r="F30" s="10">
        <f>data!AE30</f>
        <v>1.4484999999999999</v>
      </c>
      <c r="G30" s="19"/>
      <c r="H30" s="10">
        <f t="shared" si="3"/>
        <v>0.5635024285714284</v>
      </c>
      <c r="I30" s="19"/>
      <c r="J30" s="10">
        <f t="shared" si="6"/>
        <v>-2.5888490140017779E-2</v>
      </c>
      <c r="K30" s="10">
        <f t="shared" si="6"/>
        <v>3.2744934280352585E-2</v>
      </c>
      <c r="L30" s="10">
        <f t="shared" si="4"/>
        <v>-2.7032078204234391E-2</v>
      </c>
      <c r="M30" s="10">
        <f t="shared" si="5"/>
        <v>-2.4948932712561003E-2</v>
      </c>
      <c r="N30" s="20"/>
      <c r="O30" s="10">
        <f t="shared" si="1"/>
        <v>0.22023504832499136</v>
      </c>
      <c r="P30" s="10">
        <f t="shared" si="2"/>
        <v>1.2463696532598592</v>
      </c>
    </row>
    <row r="31" spans="1:16" x14ac:dyDescent="0.3">
      <c r="A31" s="8">
        <v>1976</v>
      </c>
      <c r="B31" s="21">
        <f>data!K31</f>
        <v>1825309.9</v>
      </c>
      <c r="C31" s="24">
        <f>data!AU31</f>
        <v>2.6945199999999998</v>
      </c>
      <c r="D31" s="14">
        <f t="shared" si="0"/>
        <v>677415.60649020982</v>
      </c>
      <c r="E31" s="10">
        <f>data!AB31</f>
        <v>3.4965700000000002</v>
      </c>
      <c r="F31" s="10">
        <f>data!AE31</f>
        <v>1.49011</v>
      </c>
      <c r="G31" s="19"/>
      <c r="H31" s="10">
        <f t="shared" si="3"/>
        <v>0.5635024285714284</v>
      </c>
      <c r="I31" s="19"/>
      <c r="J31" s="10">
        <f t="shared" si="6"/>
        <v>5.7235086453824913E-2</v>
      </c>
      <c r="K31" s="10">
        <f t="shared" si="6"/>
        <v>2.7730623982006156E-2</v>
      </c>
      <c r="L31" s="10">
        <f t="shared" si="4"/>
        <v>2.832140450848708E-2</v>
      </c>
      <c r="M31" s="10">
        <f t="shared" si="5"/>
        <v>2.9171556210394051E-2</v>
      </c>
      <c r="N31" s="20"/>
      <c r="O31" s="10">
        <f t="shared" si="1"/>
        <v>0.24940660453538541</v>
      </c>
      <c r="P31" s="10">
        <f t="shared" si="2"/>
        <v>1.2832637078486653</v>
      </c>
    </row>
    <row r="32" spans="1:16" x14ac:dyDescent="0.3">
      <c r="A32" s="8">
        <v>1977</v>
      </c>
      <c r="B32" s="21">
        <f>data!K32</f>
        <v>2030516.3</v>
      </c>
      <c r="C32" s="24">
        <f>data!AU32</f>
        <v>2.8845499999999999</v>
      </c>
      <c r="D32" s="14">
        <f t="shared" si="0"/>
        <v>703928.27304085565</v>
      </c>
      <c r="E32" s="10">
        <f>data!AB32</f>
        <v>3.6051199999999999</v>
      </c>
      <c r="F32" s="10">
        <f>data!AE32</f>
        <v>1.54749</v>
      </c>
      <c r="G32" s="19"/>
      <c r="H32" s="10">
        <f t="shared" si="3"/>
        <v>0.5635024285714284</v>
      </c>
      <c r="I32" s="19"/>
      <c r="J32" s="10">
        <f t="shared" si="6"/>
        <v>3.8391487153528407E-2</v>
      </c>
      <c r="K32" s="10">
        <f t="shared" si="6"/>
        <v>3.0572569302750784E-2</v>
      </c>
      <c r="L32" s="10">
        <f t="shared" si="4"/>
        <v>3.7784320784438809E-2</v>
      </c>
      <c r="M32" s="10">
        <f t="shared" si="5"/>
        <v>3.7550783765928214E-3</v>
      </c>
      <c r="N32" s="20"/>
      <c r="O32" s="10">
        <f t="shared" si="1"/>
        <v>0.25316168291197821</v>
      </c>
      <c r="P32" s="10">
        <f t="shared" si="2"/>
        <v>1.2880915223875371</v>
      </c>
    </row>
    <row r="33" spans="1:16" x14ac:dyDescent="0.3">
      <c r="A33" s="8">
        <v>1978</v>
      </c>
      <c r="B33" s="21">
        <f>data!K33</f>
        <v>2293510.2999999998</v>
      </c>
      <c r="C33" s="24">
        <f>data!AU33</f>
        <v>3.1127099999999999</v>
      </c>
      <c r="D33" s="14">
        <f t="shared" si="0"/>
        <v>736821.06588792405</v>
      </c>
      <c r="E33" s="10">
        <f>data!AB33</f>
        <v>3.77996</v>
      </c>
      <c r="F33" s="10">
        <f>data!AE33</f>
        <v>1.6213500000000001</v>
      </c>
      <c r="G33" s="19"/>
      <c r="H33" s="10">
        <f t="shared" si="3"/>
        <v>0.5635024285714284</v>
      </c>
      <c r="I33" s="19"/>
      <c r="J33" s="10">
        <f t="shared" si="6"/>
        <v>4.5668609503203957E-2</v>
      </c>
      <c r="K33" s="10">
        <f t="shared" si="6"/>
        <v>4.7358370280767073E-2</v>
      </c>
      <c r="L33" s="10">
        <f t="shared" si="4"/>
        <v>4.6624872027990726E-2</v>
      </c>
      <c r="M33" s="10">
        <f t="shared" si="5"/>
        <v>-1.276432730770747E-3</v>
      </c>
      <c r="N33" s="20"/>
      <c r="O33" s="10">
        <f t="shared" si="1"/>
        <v>0.25188525018120744</v>
      </c>
      <c r="P33" s="10">
        <f t="shared" si="2"/>
        <v>1.2864484090930191</v>
      </c>
    </row>
    <row r="34" spans="1:16" x14ac:dyDescent="0.3">
      <c r="A34" s="8">
        <v>1979</v>
      </c>
      <c r="B34" s="21">
        <f>data!K34</f>
        <v>2561569</v>
      </c>
      <c r="C34" s="24">
        <f>data!AU34</f>
        <v>3.3860700000000001</v>
      </c>
      <c r="D34" s="14">
        <f t="shared" si="0"/>
        <v>756502.08058309485</v>
      </c>
      <c r="E34" s="10">
        <f>data!AB34</f>
        <v>3.9663200000000001</v>
      </c>
      <c r="F34" s="10">
        <f>data!AE34</f>
        <v>1.67455</v>
      </c>
      <c r="G34" s="19"/>
      <c r="H34" s="10">
        <f t="shared" si="3"/>
        <v>0.5635024285714284</v>
      </c>
      <c r="I34" s="19"/>
      <c r="J34" s="10">
        <f t="shared" si="6"/>
        <v>2.6360207914223638E-2</v>
      </c>
      <c r="K34" s="10">
        <f t="shared" si="6"/>
        <v>4.8125285107304572E-2</v>
      </c>
      <c r="L34" s="10">
        <f t="shared" si="4"/>
        <v>3.2285336917746717E-2</v>
      </c>
      <c r="M34" s="10">
        <f t="shared" si="5"/>
        <v>-1.2839227919819483E-2</v>
      </c>
      <c r="N34" s="20"/>
      <c r="O34" s="10">
        <f t="shared" si="1"/>
        <v>0.23904602226138796</v>
      </c>
      <c r="P34" s="10">
        <f t="shared" si="2"/>
        <v>1.2700369852129629</v>
      </c>
    </row>
    <row r="35" spans="1:16" x14ac:dyDescent="0.3">
      <c r="A35" s="8">
        <v>1980</v>
      </c>
      <c r="B35" s="21">
        <f>data!K35</f>
        <v>2790478.5</v>
      </c>
      <c r="C35" s="24">
        <f>data!AU35</f>
        <v>3.7065999999999999</v>
      </c>
      <c r="D35" s="14">
        <f t="shared" si="0"/>
        <v>752840.47374952794</v>
      </c>
      <c r="E35" s="10">
        <f>data!AB35</f>
        <v>4.1551799999999997</v>
      </c>
      <c r="F35" s="10">
        <f>data!AE35</f>
        <v>1.66185</v>
      </c>
      <c r="G35" s="19"/>
      <c r="H35" s="10">
        <f t="shared" si="3"/>
        <v>0.5635024285714284</v>
      </c>
      <c r="I35" s="19"/>
      <c r="J35" s="10">
        <f t="shared" si="6"/>
        <v>-4.851932394387447E-3</v>
      </c>
      <c r="K35" s="10">
        <f t="shared" si="6"/>
        <v>4.6517035996481056E-2</v>
      </c>
      <c r="L35" s="10">
        <f t="shared" si="4"/>
        <v>-7.6130328132767277E-3</v>
      </c>
      <c r="M35" s="10">
        <f t="shared" si="5"/>
        <v>-2.0866543157831461E-2</v>
      </c>
      <c r="N35" s="20"/>
      <c r="O35" s="10">
        <f t="shared" si="1"/>
        <v>0.21817947910355651</v>
      </c>
      <c r="P35" s="10">
        <f t="shared" si="2"/>
        <v>1.2438102855420299</v>
      </c>
    </row>
    <row r="36" spans="1:16" x14ac:dyDescent="0.3">
      <c r="A36" s="8">
        <v>1981</v>
      </c>
      <c r="B36" s="21">
        <f>data!K36</f>
        <v>3121636.5</v>
      </c>
      <c r="C36" s="24">
        <f>data!AU36</f>
        <v>4.0504600000000002</v>
      </c>
      <c r="D36" s="14">
        <f t="shared" si="0"/>
        <v>770686.90963495499</v>
      </c>
      <c r="E36" s="10">
        <f>data!AB36</f>
        <v>4.3158300000000001</v>
      </c>
      <c r="F36" s="10">
        <f>data!AE36</f>
        <v>1.6838299999999999</v>
      </c>
      <c r="G36" s="19"/>
      <c r="H36" s="10">
        <f t="shared" si="3"/>
        <v>0.5635024285714284</v>
      </c>
      <c r="I36" s="19"/>
      <c r="J36" s="10">
        <f t="shared" si="6"/>
        <v>2.3428856501238174E-2</v>
      </c>
      <c r="K36" s="10">
        <f t="shared" si="6"/>
        <v>3.7933909628917122E-2</v>
      </c>
      <c r="L36" s="10">
        <f t="shared" si="4"/>
        <v>1.3139520952909262E-2</v>
      </c>
      <c r="M36" s="10">
        <f t="shared" si="5"/>
        <v>-5.3335489380459695E-4</v>
      </c>
      <c r="N36" s="20"/>
      <c r="O36" s="10">
        <f t="shared" si="1"/>
        <v>0.21764612420975191</v>
      </c>
      <c r="P36" s="10">
        <f t="shared" si="2"/>
        <v>1.243147070119589</v>
      </c>
    </row>
    <row r="37" spans="1:16" x14ac:dyDescent="0.3">
      <c r="A37" s="8">
        <v>1982</v>
      </c>
      <c r="B37" s="21">
        <f>data!K37</f>
        <v>3252701.3</v>
      </c>
      <c r="C37" s="24">
        <f>data!AU37</f>
        <v>4.2855699999999999</v>
      </c>
      <c r="D37" s="14">
        <f t="shared" si="0"/>
        <v>758989.18930270651</v>
      </c>
      <c r="E37" s="10">
        <f>data!AB37</f>
        <v>4.4880000000000004</v>
      </c>
      <c r="F37" s="10">
        <f>data!AE37</f>
        <v>1.6490100000000001</v>
      </c>
      <c r="G37" s="19"/>
      <c r="H37" s="10">
        <f t="shared" si="3"/>
        <v>0.5635024285714284</v>
      </c>
      <c r="I37" s="19"/>
      <c r="J37" s="10">
        <f t="shared" si="6"/>
        <v>-1.5294673655305147E-2</v>
      </c>
      <c r="K37" s="10">
        <f t="shared" si="6"/>
        <v>3.911750992276828E-2</v>
      </c>
      <c r="L37" s="10">
        <f t="shared" si="4"/>
        <v>-2.0895852765107002E-2</v>
      </c>
      <c r="M37" s="10">
        <f t="shared" si="5"/>
        <v>-2.0594507956717762E-2</v>
      </c>
      <c r="N37" s="20"/>
      <c r="O37" s="10">
        <f t="shared" si="1"/>
        <v>0.19705161625303413</v>
      </c>
      <c r="P37" s="10">
        <f t="shared" si="2"/>
        <v>1.2178068977126519</v>
      </c>
    </row>
    <row r="38" spans="1:16" x14ac:dyDescent="0.3">
      <c r="A38" s="8">
        <v>1983</v>
      </c>
      <c r="B38" s="21">
        <f>data!K38</f>
        <v>3536684</v>
      </c>
      <c r="C38" s="24">
        <f>data!AU38</f>
        <v>4.3221299999999996</v>
      </c>
      <c r="D38" s="14">
        <f t="shared" si="0"/>
        <v>818273.39760719833</v>
      </c>
      <c r="E38" s="10">
        <f>data!AB38</f>
        <v>4.6554500000000001</v>
      </c>
      <c r="F38" s="10">
        <f>data!AE38</f>
        <v>1.6745399999999999</v>
      </c>
      <c r="G38" s="19"/>
      <c r="H38" s="10">
        <f t="shared" si="3"/>
        <v>0.5635024285714284</v>
      </c>
      <c r="I38" s="19"/>
      <c r="J38" s="10">
        <f t="shared" ref="J38:L69" si="7">LN(D38/D37)</f>
        <v>7.5208973713793148E-2</v>
      </c>
      <c r="K38" s="10">
        <f t="shared" si="7"/>
        <v>3.6631408083413988E-2</v>
      </c>
      <c r="L38" s="10">
        <f t="shared" si="4"/>
        <v>1.5363392854038061E-2</v>
      </c>
      <c r="M38" s="10">
        <f t="shared" si="5"/>
        <v>5.0562143863026626E-2</v>
      </c>
      <c r="N38" s="20"/>
      <c r="O38" s="10">
        <f t="shared" si="1"/>
        <v>0.24761376011606076</v>
      </c>
      <c r="P38" s="10">
        <f t="shared" si="2"/>
        <v>1.2809650768311287</v>
      </c>
    </row>
    <row r="39" spans="1:16" x14ac:dyDescent="0.3">
      <c r="A39" s="8">
        <v>1984</v>
      </c>
      <c r="B39" s="21">
        <f>data!K39</f>
        <v>3924395.5</v>
      </c>
      <c r="C39" s="24">
        <f>data!AU39</f>
        <v>4.3738299999999999</v>
      </c>
      <c r="D39" s="14">
        <f t="shared" si="0"/>
        <v>897244.63456512941</v>
      </c>
      <c r="E39" s="10">
        <f>data!AB39</f>
        <v>4.85426</v>
      </c>
      <c r="F39" s="10">
        <f>data!AE39</f>
        <v>1.76894</v>
      </c>
      <c r="G39" s="19"/>
      <c r="H39" s="10">
        <f t="shared" si="3"/>
        <v>0.5635024285714284</v>
      </c>
      <c r="I39" s="19"/>
      <c r="J39" s="10">
        <f t="shared" si="7"/>
        <v>9.2132042478680259E-2</v>
      </c>
      <c r="K39" s="10">
        <f t="shared" si="7"/>
        <v>4.1818093636966036E-2</v>
      </c>
      <c r="L39" s="10">
        <f t="shared" si="4"/>
        <v>5.484199644044719E-2</v>
      </c>
      <c r="M39" s="10">
        <f t="shared" si="5"/>
        <v>4.2974947982474351E-2</v>
      </c>
      <c r="N39" s="20"/>
      <c r="O39" s="10">
        <f t="shared" si="1"/>
        <v>0.2905887080985351</v>
      </c>
      <c r="P39" s="10">
        <f t="shared" si="2"/>
        <v>1.3372144853438954</v>
      </c>
    </row>
    <row r="40" spans="1:16" x14ac:dyDescent="0.3">
      <c r="A40" s="8">
        <v>1985</v>
      </c>
      <c r="B40" s="21">
        <f>data!K40</f>
        <v>4225330.5</v>
      </c>
      <c r="C40" s="24">
        <f>data!AU40</f>
        <v>4.4317900000000003</v>
      </c>
      <c r="D40" s="14">
        <f t="shared" si="0"/>
        <v>953413.97042729903</v>
      </c>
      <c r="E40" s="10">
        <f>data!AB40</f>
        <v>5.0852199999999996</v>
      </c>
      <c r="F40" s="10">
        <f>data!AE40</f>
        <v>1.80694</v>
      </c>
      <c r="G40" s="19"/>
      <c r="H40" s="10">
        <f t="shared" si="3"/>
        <v>0.5635024285714284</v>
      </c>
      <c r="I40" s="19"/>
      <c r="J40" s="10">
        <f t="shared" si="7"/>
        <v>6.072064578930926E-2</v>
      </c>
      <c r="K40" s="10">
        <f t="shared" si="7"/>
        <v>4.6481623127307713E-2</v>
      </c>
      <c r="L40" s="10">
        <f t="shared" si="4"/>
        <v>2.1254309718011399E-2</v>
      </c>
      <c r="M40" s="10">
        <f t="shared" si="5"/>
        <v>2.8454675034472583E-2</v>
      </c>
      <c r="N40" s="20"/>
      <c r="O40" s="10">
        <f t="shared" si="1"/>
        <v>0.31904338313300767</v>
      </c>
      <c r="P40" s="10">
        <f t="shared" si="2"/>
        <v>1.3758110106034203</v>
      </c>
    </row>
    <row r="41" spans="1:16" x14ac:dyDescent="0.3">
      <c r="A41" s="8">
        <v>1986</v>
      </c>
      <c r="B41" s="21">
        <f>data!K41</f>
        <v>4466132.5</v>
      </c>
      <c r="C41" s="24">
        <f>data!AU41</f>
        <v>4.5179999999999998</v>
      </c>
      <c r="D41" s="14">
        <f t="shared" si="0"/>
        <v>988519.80965028773</v>
      </c>
      <c r="E41" s="10">
        <f>data!AB41</f>
        <v>5.3226000000000004</v>
      </c>
      <c r="F41" s="10">
        <f>data!AE41</f>
        <v>1.8209200000000001</v>
      </c>
      <c r="G41" s="19"/>
      <c r="H41" s="10">
        <f t="shared" si="3"/>
        <v>0.5635024285714284</v>
      </c>
      <c r="I41" s="19"/>
      <c r="J41" s="10">
        <f t="shared" si="7"/>
        <v>3.6159486588409485E-2</v>
      </c>
      <c r="K41" s="10">
        <f t="shared" si="7"/>
        <v>4.5623612704376093E-2</v>
      </c>
      <c r="L41" s="10">
        <f t="shared" si="4"/>
        <v>7.7070610219366811E-3</v>
      </c>
      <c r="M41" s="10">
        <f t="shared" si="5"/>
        <v>1.1901942840142083E-2</v>
      </c>
      <c r="N41" s="20"/>
      <c r="O41" s="10">
        <f t="shared" si="1"/>
        <v>0.33094532597314974</v>
      </c>
      <c r="P41" s="10">
        <f t="shared" si="2"/>
        <v>1.3922836684725417</v>
      </c>
    </row>
    <row r="42" spans="1:16" x14ac:dyDescent="0.3">
      <c r="A42" s="8">
        <v>1987</v>
      </c>
      <c r="B42" s="21">
        <f>data!K42</f>
        <v>4753138.5</v>
      </c>
      <c r="C42" s="24">
        <f>data!AU42</f>
        <v>4.5997199999999996</v>
      </c>
      <c r="D42" s="14">
        <f t="shared" si="0"/>
        <v>1033353.878062143</v>
      </c>
      <c r="E42" s="10">
        <f>data!AB42</f>
        <v>5.5711399999999998</v>
      </c>
      <c r="F42" s="10">
        <f>data!AE42</f>
        <v>1.8855500000000001</v>
      </c>
      <c r="G42" s="19"/>
      <c r="H42" s="10">
        <f t="shared" si="3"/>
        <v>0.5635024285714284</v>
      </c>
      <c r="I42" s="19"/>
      <c r="J42" s="10">
        <f t="shared" si="7"/>
        <v>4.435630108166385E-2</v>
      </c>
      <c r="K42" s="10">
        <f t="shared" si="7"/>
        <v>4.563779508867824E-2</v>
      </c>
      <c r="L42" s="10">
        <f t="shared" si="4"/>
        <v>3.4877687654727235E-2</v>
      </c>
      <c r="M42" s="10">
        <f t="shared" si="5"/>
        <v>4.7818526637064818E-3</v>
      </c>
      <c r="N42" s="20"/>
      <c r="O42" s="10">
        <f t="shared" si="1"/>
        <v>0.33572717863685619</v>
      </c>
      <c r="P42" s="10">
        <f t="shared" si="2"/>
        <v>1.3989573073033943</v>
      </c>
    </row>
    <row r="43" spans="1:16" x14ac:dyDescent="0.3">
      <c r="A43" s="8">
        <v>1988</v>
      </c>
      <c r="B43" s="21">
        <f>data!K43</f>
        <v>5129091.5</v>
      </c>
      <c r="C43" s="24">
        <f>data!AU43</f>
        <v>4.7255500000000001</v>
      </c>
      <c r="D43" s="14">
        <f t="shared" si="0"/>
        <v>1085395.6682290949</v>
      </c>
      <c r="E43" s="10">
        <f>data!AB43</f>
        <v>5.7736299999999998</v>
      </c>
      <c r="F43" s="10">
        <f>data!AE43</f>
        <v>1.9368700000000001</v>
      </c>
      <c r="G43" s="19"/>
      <c r="H43" s="10">
        <f t="shared" si="3"/>
        <v>0.5635024285714284</v>
      </c>
      <c r="I43" s="19"/>
      <c r="J43" s="10">
        <f t="shared" si="7"/>
        <v>4.9134887073969756E-2</v>
      </c>
      <c r="K43" s="10">
        <f t="shared" si="7"/>
        <v>3.5701297966136275E-2</v>
      </c>
      <c r="L43" s="10">
        <f t="shared" si="4"/>
        <v>2.6853712549030115E-2</v>
      </c>
      <c r="M43" s="10">
        <f t="shared" si="5"/>
        <v>1.8419224977365953E-2</v>
      </c>
      <c r="N43" s="20"/>
      <c r="O43" s="10">
        <f t="shared" si="1"/>
        <v>0.35414640361422217</v>
      </c>
      <c r="P43" s="10">
        <f t="shared" si="2"/>
        <v>1.4249637910584303</v>
      </c>
    </row>
    <row r="44" spans="1:16" x14ac:dyDescent="0.3">
      <c r="A44" s="8">
        <v>1989</v>
      </c>
      <c r="B44" s="21">
        <f>data!K44</f>
        <v>5519883.5</v>
      </c>
      <c r="C44" s="24">
        <f>data!AU44</f>
        <v>4.8467799999999999</v>
      </c>
      <c r="D44" s="14">
        <f t="shared" si="0"/>
        <v>1138876.4292994523</v>
      </c>
      <c r="E44" s="10">
        <f>data!AB44</f>
        <v>5.9772499999999997</v>
      </c>
      <c r="F44" s="10">
        <f>data!AE44</f>
        <v>1.98933</v>
      </c>
      <c r="G44" s="19"/>
      <c r="H44" s="10">
        <f t="shared" si="3"/>
        <v>0.5635024285714284</v>
      </c>
      <c r="I44" s="19"/>
      <c r="J44" s="10">
        <f t="shared" si="7"/>
        <v>4.8097596366105361E-2</v>
      </c>
      <c r="K44" s="10">
        <f t="shared" si="7"/>
        <v>3.4659597143632065E-2</v>
      </c>
      <c r="L44" s="10">
        <f t="shared" si="4"/>
        <v>2.6724630550081403E-2</v>
      </c>
      <c r="M44" s="10">
        <f t="shared" si="5"/>
        <v>1.7909372168572246E-2</v>
      </c>
      <c r="N44" s="20"/>
      <c r="O44" s="10">
        <f t="shared" si="1"/>
        <v>0.37205577578279442</v>
      </c>
      <c r="P44" s="10">
        <f t="shared" si="2"/>
        <v>1.4507138937396944</v>
      </c>
    </row>
    <row r="45" spans="1:16" x14ac:dyDescent="0.3">
      <c r="A45" s="8">
        <v>1990</v>
      </c>
      <c r="B45" s="21">
        <f>data!K45</f>
        <v>5835094.5</v>
      </c>
      <c r="C45" s="24">
        <f>data!AU45</f>
        <v>4.9566400000000002</v>
      </c>
      <c r="D45" s="14">
        <f t="shared" si="0"/>
        <v>1177227.8196520223</v>
      </c>
      <c r="E45" s="10">
        <f>data!AB45</f>
        <v>6.1940999999999997</v>
      </c>
      <c r="F45" s="10">
        <f>data!AE45</f>
        <v>2.0140199999999999</v>
      </c>
      <c r="G45" s="19"/>
      <c r="H45" s="10">
        <f t="shared" si="3"/>
        <v>0.5635024285714284</v>
      </c>
      <c r="I45" s="19"/>
      <c r="J45" s="10">
        <f t="shared" si="7"/>
        <v>3.3120181089250633E-2</v>
      </c>
      <c r="K45" s="10">
        <f t="shared" si="7"/>
        <v>3.5636630105900409E-2</v>
      </c>
      <c r="L45" s="10">
        <f t="shared" si="4"/>
        <v>1.2334826104928335E-2</v>
      </c>
      <c r="M45" s="10">
        <f t="shared" si="5"/>
        <v>1.0614174127993415E-2</v>
      </c>
      <c r="N45" s="20"/>
      <c r="O45" s="10">
        <f t="shared" si="1"/>
        <v>0.38266994991078784</v>
      </c>
      <c r="P45" s="10">
        <f t="shared" si="2"/>
        <v>1.4661940327298049</v>
      </c>
    </row>
    <row r="46" spans="1:16" x14ac:dyDescent="0.3">
      <c r="A46" s="8">
        <v>1991</v>
      </c>
      <c r="B46" s="21">
        <f>data!K46</f>
        <v>6013991.5</v>
      </c>
      <c r="C46" s="24">
        <f>data!AU46</f>
        <v>5.0449400000000004</v>
      </c>
      <c r="D46" s="14">
        <f t="shared" si="0"/>
        <v>1192083.850353027</v>
      </c>
      <c r="E46" s="10">
        <f>data!AB46</f>
        <v>6.3761599999999996</v>
      </c>
      <c r="F46" s="10">
        <f>data!AE46</f>
        <v>1.9877499999999999</v>
      </c>
      <c r="G46" s="19"/>
      <c r="H46" s="10">
        <f t="shared" si="3"/>
        <v>0.5635024285714284</v>
      </c>
      <c r="I46" s="19"/>
      <c r="J46" s="10">
        <f t="shared" si="7"/>
        <v>1.2540541274717447E-2</v>
      </c>
      <c r="K46" s="10">
        <f t="shared" si="7"/>
        <v>2.896880919914167E-2</v>
      </c>
      <c r="L46" s="10">
        <f t="shared" si="4"/>
        <v>-1.3129378934201593E-2</v>
      </c>
      <c r="M46" s="10">
        <f t="shared" si="5"/>
        <v>7.2941633271715938E-3</v>
      </c>
      <c r="N46" s="20"/>
      <c r="O46" s="10">
        <f t="shared" si="1"/>
        <v>0.38996411323795943</v>
      </c>
      <c r="P46" s="10">
        <f t="shared" si="2"/>
        <v>1.4769277907754146</v>
      </c>
    </row>
    <row r="47" spans="1:16" x14ac:dyDescent="0.3">
      <c r="A47" s="8">
        <v>1992</v>
      </c>
      <c r="B47" s="21">
        <f>data!K47</f>
        <v>6370092.5</v>
      </c>
      <c r="C47" s="24">
        <f>data!AU47</f>
        <v>5.0573800000000002</v>
      </c>
      <c r="D47" s="14">
        <f t="shared" si="0"/>
        <v>1259563.7464457881</v>
      </c>
      <c r="E47" s="10">
        <f>data!AB47</f>
        <v>6.5597200000000004</v>
      </c>
      <c r="F47" s="10">
        <f>data!AE47</f>
        <v>1.9932799999999999</v>
      </c>
      <c r="G47" s="19"/>
      <c r="H47" s="10">
        <f t="shared" si="3"/>
        <v>0.5635024285714284</v>
      </c>
      <c r="I47" s="19"/>
      <c r="J47" s="10">
        <f t="shared" si="7"/>
        <v>5.506251760636461E-2</v>
      </c>
      <c r="K47" s="10">
        <f t="shared" si="7"/>
        <v>2.8381883842278497E-2</v>
      </c>
      <c r="L47" s="10">
        <f t="shared" si="4"/>
        <v>2.7781772841878431E-3</v>
      </c>
      <c r="M47" s="10">
        <f t="shared" si="5"/>
        <v>4.1108384590000407E-2</v>
      </c>
      <c r="N47" s="20"/>
      <c r="O47" s="10">
        <f t="shared" si="1"/>
        <v>0.43107249782795987</v>
      </c>
      <c r="P47" s="10">
        <f t="shared" si="2"/>
        <v>1.5389071133359138</v>
      </c>
    </row>
    <row r="48" spans="1:16" x14ac:dyDescent="0.3">
      <c r="A48" s="8">
        <v>1993</v>
      </c>
      <c r="B48" s="21">
        <f>data!K48</f>
        <v>6699666</v>
      </c>
      <c r="C48" s="24">
        <f>data!AU48</f>
        <v>5.1289300000000004</v>
      </c>
      <c r="D48" s="14">
        <f t="shared" si="0"/>
        <v>1306250.2315297732</v>
      </c>
      <c r="E48" s="10">
        <f>data!AB48</f>
        <v>6.7839700000000001</v>
      </c>
      <c r="F48" s="10">
        <f>data!AE48</f>
        <v>2.0386099999999998</v>
      </c>
      <c r="G48" s="19"/>
      <c r="H48" s="10">
        <f t="shared" si="3"/>
        <v>0.5635024285714284</v>
      </c>
      <c r="I48" s="19"/>
      <c r="J48" s="10">
        <f t="shared" si="7"/>
        <v>3.6395185947265082E-2</v>
      </c>
      <c r="K48" s="10">
        <f t="shared" si="7"/>
        <v>3.3614557191786403E-2</v>
      </c>
      <c r="L48" s="10">
        <f t="shared" si="4"/>
        <v>2.2486679983685972E-2</v>
      </c>
      <c r="M48" s="10">
        <f t="shared" si="5"/>
        <v>9.0512145870879201E-3</v>
      </c>
      <c r="N48" s="20"/>
      <c r="O48" s="10">
        <f t="shared" si="1"/>
        <v>0.44012371241504777</v>
      </c>
      <c r="P48" s="10">
        <f t="shared" si="2"/>
        <v>1.5528993195535972</v>
      </c>
    </row>
    <row r="49" spans="1:16" x14ac:dyDescent="0.3">
      <c r="A49" s="8">
        <v>1994</v>
      </c>
      <c r="B49" s="21">
        <f>data!K49</f>
        <v>7110672</v>
      </c>
      <c r="C49" s="24">
        <f>data!AU49</f>
        <v>5.2161299999999997</v>
      </c>
      <c r="D49" s="14">
        <f t="shared" si="0"/>
        <v>1363208.3556199712</v>
      </c>
      <c r="E49" s="10">
        <f>data!AB49</f>
        <v>7.0274200000000002</v>
      </c>
      <c r="F49" s="10">
        <f>data!AE49</f>
        <v>2.0909</v>
      </c>
      <c r="G49" s="19"/>
      <c r="H49" s="10">
        <f t="shared" si="3"/>
        <v>0.5635024285714284</v>
      </c>
      <c r="I49" s="19"/>
      <c r="J49" s="10">
        <f t="shared" si="7"/>
        <v>4.2680392511546365E-2</v>
      </c>
      <c r="K49" s="10">
        <f t="shared" si="7"/>
        <v>3.5257163574576658E-2</v>
      </c>
      <c r="L49" s="10">
        <f t="shared" si="4"/>
        <v>2.5326392227910857E-2</v>
      </c>
      <c r="M49" s="10">
        <f t="shared" si="5"/>
        <v>1.3019242708403442E-2</v>
      </c>
      <c r="N49" s="20"/>
      <c r="O49" s="10">
        <f t="shared" si="1"/>
        <v>0.45314295512345121</v>
      </c>
      <c r="P49" s="10">
        <f t="shared" si="2"/>
        <v>1.5732490744550087</v>
      </c>
    </row>
    <row r="50" spans="1:16" x14ac:dyDescent="0.3">
      <c r="A50" s="8">
        <v>1995</v>
      </c>
      <c r="B50" s="21">
        <f>data!K50</f>
        <v>7465376.5</v>
      </c>
      <c r="C50" s="24">
        <f>data!AU50</f>
        <v>5.31778</v>
      </c>
      <c r="D50" s="14">
        <f t="shared" si="0"/>
        <v>1403852.0773706322</v>
      </c>
      <c r="E50" s="10">
        <f>data!AB50</f>
        <v>7.30091</v>
      </c>
      <c r="F50" s="10">
        <f>data!AE50</f>
        <v>2.14378</v>
      </c>
      <c r="G50" s="19"/>
      <c r="H50" s="10">
        <f t="shared" si="3"/>
        <v>0.5635024285714284</v>
      </c>
      <c r="I50" s="19"/>
      <c r="J50" s="10">
        <f t="shared" si="7"/>
        <v>2.9378935564762274E-2</v>
      </c>
      <c r="K50" s="10">
        <f t="shared" si="7"/>
        <v>3.8179358034897783E-2</v>
      </c>
      <c r="L50" s="10">
        <f t="shared" si="4"/>
        <v>2.4976030708051322E-2</v>
      </c>
      <c r="M50" s="10">
        <f t="shared" si="5"/>
        <v>-1.3603154562340253E-3</v>
      </c>
      <c r="N50" s="20"/>
      <c r="O50" s="10">
        <f t="shared" si="1"/>
        <v>0.45178263966721716</v>
      </c>
      <c r="P50" s="10">
        <f t="shared" si="2"/>
        <v>1.5711104143784922</v>
      </c>
    </row>
    <row r="51" spans="1:16" x14ac:dyDescent="0.3">
      <c r="A51" s="8">
        <v>1996</v>
      </c>
      <c r="B51" s="21">
        <f>data!K51</f>
        <v>7884917</v>
      </c>
      <c r="C51" s="24">
        <f>data!AU51</f>
        <v>5.3339400000000001</v>
      </c>
      <c r="D51" s="14">
        <f t="shared" si="0"/>
        <v>1478253.7861318274</v>
      </c>
      <c r="E51" s="10">
        <f>data!AB51</f>
        <v>7.6035500000000003</v>
      </c>
      <c r="F51" s="10">
        <f>data!AE51</f>
        <v>2.1777600000000001</v>
      </c>
      <c r="G51" s="19"/>
      <c r="H51" s="10">
        <f t="shared" si="3"/>
        <v>0.5635024285714284</v>
      </c>
      <c r="I51" s="19"/>
      <c r="J51" s="10">
        <f t="shared" si="7"/>
        <v>5.1641574886228878E-2</v>
      </c>
      <c r="K51" s="10">
        <f t="shared" si="7"/>
        <v>4.0616245576252819E-2</v>
      </c>
      <c r="L51" s="10">
        <f t="shared" si="4"/>
        <v>1.5726199598334743E-2</v>
      </c>
      <c r="M51" s="10">
        <f t="shared" si="5"/>
        <v>2.5050930665787407E-2</v>
      </c>
      <c r="N51" s="20"/>
      <c r="O51" s="10">
        <f t="shared" si="1"/>
        <v>0.47683357033300455</v>
      </c>
      <c r="P51" s="10">
        <f t="shared" si="2"/>
        <v>1.6109653093221008</v>
      </c>
    </row>
    <row r="52" spans="1:16" x14ac:dyDescent="0.3">
      <c r="A52" s="8">
        <v>1997</v>
      </c>
      <c r="B52" s="21">
        <f>data!K52</f>
        <v>8384974</v>
      </c>
      <c r="C52" s="24">
        <f>data!AU52</f>
        <v>5.3525799999999997</v>
      </c>
      <c r="D52" s="14">
        <f t="shared" si="0"/>
        <v>1566529.4119845009</v>
      </c>
      <c r="E52" s="10">
        <f>data!AB52</f>
        <v>7.9690099999999999</v>
      </c>
      <c r="F52" s="10">
        <f>data!AE52</f>
        <v>2.2414200000000002</v>
      </c>
      <c r="G52" s="19"/>
      <c r="H52" s="10">
        <f t="shared" si="3"/>
        <v>0.5635024285714284</v>
      </c>
      <c r="I52" s="19"/>
      <c r="J52" s="10">
        <f t="shared" si="7"/>
        <v>5.8001089897203727E-2</v>
      </c>
      <c r="K52" s="10">
        <f t="shared" si="7"/>
        <v>4.69450257816761E-2</v>
      </c>
      <c r="L52" s="10">
        <f t="shared" si="4"/>
        <v>2.881276798891148E-2</v>
      </c>
      <c r="M52" s="10">
        <f t="shared" si="5"/>
        <v>2.1273635417233698E-2</v>
      </c>
      <c r="N52" s="20"/>
      <c r="O52" s="10">
        <f t="shared" si="1"/>
        <v>0.49810720575023826</v>
      </c>
      <c r="P52" s="10">
        <f t="shared" si="2"/>
        <v>1.6456035321091447</v>
      </c>
    </row>
    <row r="53" spans="1:16" x14ac:dyDescent="0.3">
      <c r="A53" s="8">
        <v>1998</v>
      </c>
      <c r="B53" s="21">
        <f>data!K53</f>
        <v>8843244</v>
      </c>
      <c r="C53" s="24">
        <f>data!AU53</f>
        <v>5.3357200000000002</v>
      </c>
      <c r="D53" s="14">
        <f t="shared" si="0"/>
        <v>1657366.5784561408</v>
      </c>
      <c r="E53" s="10">
        <f>data!AB53</f>
        <v>8.4069199999999995</v>
      </c>
      <c r="F53" s="10">
        <f>data!AE53</f>
        <v>2.30654</v>
      </c>
      <c r="G53" s="19"/>
      <c r="H53" s="10">
        <f t="shared" si="3"/>
        <v>0.5635024285714284</v>
      </c>
      <c r="I53" s="19"/>
      <c r="J53" s="10">
        <f t="shared" si="7"/>
        <v>5.6367337347145011E-2</v>
      </c>
      <c r="K53" s="10">
        <f t="shared" si="7"/>
        <v>5.3494906950843024E-2</v>
      </c>
      <c r="L53" s="10">
        <f t="shared" si="4"/>
        <v>2.8638972568342694E-2</v>
      </c>
      <c r="M53" s="10">
        <f t="shared" si="5"/>
        <v>1.6878809785252989E-2</v>
      </c>
      <c r="N53" s="20"/>
      <c r="O53" s="10">
        <f t="shared" si="1"/>
        <v>0.51498601553549128</v>
      </c>
      <c r="P53" s="10">
        <f t="shared" si="2"/>
        <v>1.6736150970229526</v>
      </c>
    </row>
    <row r="54" spans="1:16" x14ac:dyDescent="0.3">
      <c r="A54" s="8">
        <v>1999</v>
      </c>
      <c r="B54" s="21">
        <f>data!K54</f>
        <v>9409659</v>
      </c>
      <c r="C54" s="24">
        <f>data!AU54</f>
        <v>5.3597999999999999</v>
      </c>
      <c r="D54" s="14">
        <f t="shared" si="0"/>
        <v>1755598.9029441397</v>
      </c>
      <c r="E54" s="10">
        <f>data!AB54</f>
        <v>8.9096700000000002</v>
      </c>
      <c r="F54" s="10">
        <f>data!AE54</f>
        <v>2.3501500000000002</v>
      </c>
      <c r="G54" s="19"/>
      <c r="H54" s="10">
        <f t="shared" si="3"/>
        <v>0.5635024285714284</v>
      </c>
      <c r="I54" s="19"/>
      <c r="J54" s="10">
        <f t="shared" si="7"/>
        <v>5.7580109756801744E-2</v>
      </c>
      <c r="K54" s="10">
        <f t="shared" si="7"/>
        <v>5.8082027531533582E-2</v>
      </c>
      <c r="L54" s="10">
        <f t="shared" si="4"/>
        <v>1.8730589747386787E-2</v>
      </c>
      <c r="M54" s="10">
        <f t="shared" si="5"/>
        <v>2.1672712984412347E-2</v>
      </c>
      <c r="N54" s="20"/>
      <c r="O54" s="10">
        <f t="shared" si="1"/>
        <v>0.53665872851990359</v>
      </c>
      <c r="P54" s="10">
        <f t="shared" si="2"/>
        <v>1.7102827855689076</v>
      </c>
    </row>
    <row r="55" spans="1:16" x14ac:dyDescent="0.3">
      <c r="A55" s="8">
        <v>2000</v>
      </c>
      <c r="B55" s="21">
        <f>data!K55</f>
        <v>10022643</v>
      </c>
      <c r="C55" s="24">
        <f>data!AU55</f>
        <v>5.4460899999999999</v>
      </c>
      <c r="D55" s="14">
        <f t="shared" si="0"/>
        <v>1840337.3796613717</v>
      </c>
      <c r="E55" s="10">
        <f>data!AB55</f>
        <v>9.4075500000000005</v>
      </c>
      <c r="F55" s="10">
        <f>data!AE55</f>
        <v>2.3958300000000001</v>
      </c>
      <c r="G55" s="19"/>
      <c r="H55" s="10">
        <f t="shared" si="3"/>
        <v>0.5635024285714284</v>
      </c>
      <c r="I55" s="19"/>
      <c r="J55" s="10">
        <f t="shared" si="7"/>
        <v>4.7138859382062318E-2</v>
      </c>
      <c r="K55" s="10">
        <f t="shared" si="7"/>
        <v>5.4375354619856202E-2</v>
      </c>
      <c r="L55" s="10">
        <f t="shared" si="4"/>
        <v>1.9250570243775949E-2</v>
      </c>
      <c r="M55" s="10">
        <f t="shared" si="5"/>
        <v>1.2556406061175104E-2</v>
      </c>
      <c r="N55" s="20"/>
      <c r="O55" s="10">
        <f t="shared" si="1"/>
        <v>0.54921513458107873</v>
      </c>
      <c r="P55" s="10">
        <f t="shared" si="2"/>
        <v>1.7318931812256144</v>
      </c>
    </row>
    <row r="56" spans="1:16" x14ac:dyDescent="0.3">
      <c r="A56" s="8">
        <v>2001</v>
      </c>
      <c r="B56" s="21">
        <f>data!K56</f>
        <v>10359473</v>
      </c>
      <c r="C56" s="24">
        <f>data!AU56</f>
        <v>5.4975500000000004</v>
      </c>
      <c r="D56" s="14">
        <f t="shared" si="0"/>
        <v>1884379.9510691124</v>
      </c>
      <c r="E56" s="10">
        <f>data!AB56</f>
        <v>9.8063400000000005</v>
      </c>
      <c r="F56" s="10">
        <f>data!AE56</f>
        <v>2.3863599999999998</v>
      </c>
      <c r="G56" s="19"/>
      <c r="H56" s="10">
        <f t="shared" si="3"/>
        <v>0.5635024285714284</v>
      </c>
      <c r="I56" s="19"/>
      <c r="J56" s="10">
        <f t="shared" si="7"/>
        <v>2.3649915038597574E-2</v>
      </c>
      <c r="K56" s="10">
        <f t="shared" si="7"/>
        <v>4.1516556897708473E-2</v>
      </c>
      <c r="L56" s="10">
        <f t="shared" si="4"/>
        <v>-3.960533721466139E-3</v>
      </c>
      <c r="M56" s="10">
        <f t="shared" si="5"/>
        <v>7.7598091491569189E-3</v>
      </c>
      <c r="N56" s="20"/>
      <c r="O56" s="10">
        <f t="shared" si="1"/>
        <v>0.55697494373023571</v>
      </c>
      <c r="P56" s="10">
        <f t="shared" si="2"/>
        <v>1.7453846195735769</v>
      </c>
    </row>
    <row r="57" spans="1:16" x14ac:dyDescent="0.3">
      <c r="A57" s="8">
        <v>2002</v>
      </c>
      <c r="B57" s="21">
        <f>data!K57</f>
        <v>10700323</v>
      </c>
      <c r="C57" s="24">
        <f>data!AU57</f>
        <v>5.5199400000000001</v>
      </c>
      <c r="D57" s="14">
        <f t="shared" si="0"/>
        <v>1938485.3820874863</v>
      </c>
      <c r="E57" s="10">
        <f>data!AB57</f>
        <v>10.08292</v>
      </c>
      <c r="F57" s="10">
        <f>data!AE57</f>
        <v>2.3727399999999998</v>
      </c>
      <c r="G57" s="19"/>
      <c r="H57" s="10">
        <f t="shared" si="3"/>
        <v>0.5635024285714284</v>
      </c>
      <c r="I57" s="19"/>
      <c r="J57" s="10">
        <f t="shared" si="7"/>
        <v>2.830810890043051E-2</v>
      </c>
      <c r="K57" s="10">
        <f t="shared" si="7"/>
        <v>2.7813787955661966E-2</v>
      </c>
      <c r="L57" s="10">
        <f t="shared" si="4"/>
        <v>-5.723786928011944E-3</v>
      </c>
      <c r="M57" s="10">
        <f t="shared" si="5"/>
        <v>1.9392825840114935E-2</v>
      </c>
      <c r="N57" s="20"/>
      <c r="O57" s="10">
        <f t="shared" si="1"/>
        <v>0.57636776957035063</v>
      </c>
      <c r="P57" s="10">
        <f t="shared" si="2"/>
        <v>1.7795628950516489</v>
      </c>
    </row>
    <row r="58" spans="1:16" x14ac:dyDescent="0.3">
      <c r="A58" s="8">
        <v>2003</v>
      </c>
      <c r="B58" s="21">
        <f>data!K58</f>
        <v>11220648</v>
      </c>
      <c r="C58" s="24">
        <f>data!AU58</f>
        <v>5.5724299999999998</v>
      </c>
      <c r="D58" s="14">
        <f t="shared" si="0"/>
        <v>2013600.5297509346</v>
      </c>
      <c r="E58" s="10">
        <f>data!AB58</f>
        <v>10.36509</v>
      </c>
      <c r="F58" s="10">
        <f>data!AE58</f>
        <v>2.36835</v>
      </c>
      <c r="G58" s="19"/>
      <c r="H58" s="10">
        <f t="shared" si="3"/>
        <v>0.5635024285714284</v>
      </c>
      <c r="I58" s="19"/>
      <c r="J58" s="10">
        <f t="shared" si="7"/>
        <v>3.8017490661993496E-2</v>
      </c>
      <c r="K58" s="10">
        <f t="shared" si="7"/>
        <v>2.760052568504321E-2</v>
      </c>
      <c r="L58" s="10">
        <f t="shared" si="4"/>
        <v>-1.8518953466950354E-3</v>
      </c>
      <c r="M58" s="10">
        <f t="shared" si="5"/>
        <v>2.7013475755643005E-2</v>
      </c>
      <c r="N58" s="20"/>
      <c r="O58" s="10">
        <f t="shared" si="1"/>
        <v>0.60338124532599369</v>
      </c>
      <c r="P58" s="10">
        <f t="shared" si="2"/>
        <v>1.8282902587954144</v>
      </c>
    </row>
    <row r="59" spans="1:16" x14ac:dyDescent="0.3">
      <c r="A59" s="8">
        <v>2004</v>
      </c>
      <c r="B59" s="21">
        <f>data!K59</f>
        <v>11964224</v>
      </c>
      <c r="C59" s="24">
        <f>data!AU59</f>
        <v>5.7374200000000002</v>
      </c>
      <c r="D59" s="14">
        <f t="shared" si="0"/>
        <v>2085296.8755991368</v>
      </c>
      <c r="E59" s="10">
        <f>data!AB59</f>
        <v>10.68078</v>
      </c>
      <c r="F59" s="10">
        <f>data!AE59</f>
        <v>2.3992300000000002</v>
      </c>
      <c r="G59" s="19"/>
      <c r="H59" s="10">
        <f t="shared" si="3"/>
        <v>0.5635024285714284</v>
      </c>
      <c r="I59" s="19"/>
      <c r="J59" s="10">
        <f t="shared" si="7"/>
        <v>3.4986803567855648E-2</v>
      </c>
      <c r="K59" s="10">
        <f t="shared" si="7"/>
        <v>3.0002435655019904E-2</v>
      </c>
      <c r="L59" s="10">
        <f t="shared" si="4"/>
        <v>1.2954342388671634E-2</v>
      </c>
      <c r="M59" s="10">
        <f t="shared" si="5"/>
        <v>1.459100987093521E-2</v>
      </c>
      <c r="N59" s="20"/>
      <c r="O59" s="10">
        <f t="shared" si="1"/>
        <v>0.61797225519692889</v>
      </c>
      <c r="P59" s="10">
        <f t="shared" si="2"/>
        <v>1.8551624293111004</v>
      </c>
    </row>
    <row r="60" spans="1:16" x14ac:dyDescent="0.3">
      <c r="A60" s="8">
        <v>2005</v>
      </c>
      <c r="B60" s="21">
        <f>data!K60</f>
        <v>12763681</v>
      </c>
      <c r="C60" s="24">
        <f>data!AU60</f>
        <v>5.9841699999999998</v>
      </c>
      <c r="D60" s="14">
        <f t="shared" si="0"/>
        <v>2132907.4875880866</v>
      </c>
      <c r="E60" s="10">
        <f>data!AB60</f>
        <v>11.027340000000001</v>
      </c>
      <c r="F60" s="10">
        <f>data!AE60</f>
        <v>2.4361999999999999</v>
      </c>
      <c r="G60" s="19"/>
      <c r="H60" s="10">
        <f t="shared" si="3"/>
        <v>0.5635024285714284</v>
      </c>
      <c r="I60" s="19"/>
      <c r="J60" s="10">
        <f t="shared" si="7"/>
        <v>2.2574835085398221E-2</v>
      </c>
      <c r="K60" s="10">
        <f t="shared" si="7"/>
        <v>3.1931779137024552E-2</v>
      </c>
      <c r="L60" s="10">
        <f t="shared" si="4"/>
        <v>1.5291595741179553E-2</v>
      </c>
      <c r="M60" s="10">
        <f t="shared" si="5"/>
        <v>1.9839703806284748E-5</v>
      </c>
      <c r="N60" s="20"/>
      <c r="O60" s="10">
        <f t="shared" si="1"/>
        <v>0.61799209490073514</v>
      </c>
      <c r="P60" s="10">
        <f t="shared" si="2"/>
        <v>1.8551992355493216</v>
      </c>
    </row>
    <row r="61" spans="1:16" x14ac:dyDescent="0.3">
      <c r="A61" s="8">
        <v>2006</v>
      </c>
      <c r="B61" s="21">
        <f>data!K61</f>
        <v>13497656</v>
      </c>
      <c r="C61" s="24">
        <f>data!AU61</f>
        <v>6.2032299999999996</v>
      </c>
      <c r="D61" s="14">
        <f t="shared" si="0"/>
        <v>2175907.71259489</v>
      </c>
      <c r="E61" s="10">
        <f>data!AB61</f>
        <v>11.39472</v>
      </c>
      <c r="F61" s="10">
        <f>data!AE61</f>
        <v>2.5070000000000001</v>
      </c>
      <c r="G61" s="19"/>
      <c r="H61" s="10">
        <f t="shared" si="3"/>
        <v>0.5635024285714284</v>
      </c>
      <c r="I61" s="19"/>
      <c r="J61" s="10">
        <f t="shared" si="7"/>
        <v>1.9959850024316866E-2</v>
      </c>
      <c r="K61" s="10">
        <f t="shared" si="7"/>
        <v>3.2772446504858284E-2</v>
      </c>
      <c r="L61" s="10">
        <f t="shared" si="4"/>
        <v>2.8647370892434926E-2</v>
      </c>
      <c r="M61" s="10">
        <f t="shared" si="5"/>
        <v>-1.0488106354900086E-2</v>
      </c>
      <c r="N61" s="20"/>
      <c r="O61" s="10">
        <f t="shared" si="1"/>
        <v>0.60750398854583509</v>
      </c>
      <c r="P61" s="10">
        <f t="shared" si="2"/>
        <v>1.8358433891739094</v>
      </c>
    </row>
    <row r="62" spans="1:16" x14ac:dyDescent="0.3">
      <c r="A62" s="8">
        <v>2007</v>
      </c>
      <c r="B62" s="21">
        <f>data!K62</f>
        <v>14117333</v>
      </c>
      <c r="C62" s="24">
        <f>data!AU62</f>
        <v>6.3338700000000001</v>
      </c>
      <c r="D62" s="14">
        <f t="shared" si="0"/>
        <v>2228863.7120749243</v>
      </c>
      <c r="E62" s="10">
        <f>data!AB62</f>
        <v>11.674239999999999</v>
      </c>
      <c r="F62" s="10">
        <f>data!AE62</f>
        <v>2.5516999999999999</v>
      </c>
      <c r="G62" s="19"/>
      <c r="H62" s="10">
        <f t="shared" si="3"/>
        <v>0.5635024285714284</v>
      </c>
      <c r="I62" s="19"/>
      <c r="J62" s="10">
        <f t="shared" si="7"/>
        <v>2.4045992851542516E-2</v>
      </c>
      <c r="K62" s="10">
        <f t="shared" si="7"/>
        <v>2.4234614861392459E-2</v>
      </c>
      <c r="L62" s="10">
        <f t="shared" si="4"/>
        <v>1.7672984537338839E-2</v>
      </c>
      <c r="M62" s="10">
        <f t="shared" si="5"/>
        <v>3.5088726131422016E-3</v>
      </c>
      <c r="N62" s="20"/>
      <c r="O62" s="10">
        <f t="shared" si="1"/>
        <v>0.61101286115897735</v>
      </c>
      <c r="P62" s="10">
        <f t="shared" si="2"/>
        <v>1.8422964446180254</v>
      </c>
    </row>
    <row r="63" spans="1:16" x14ac:dyDescent="0.3">
      <c r="A63" s="8">
        <v>2008</v>
      </c>
      <c r="B63" s="21">
        <f>data!K63</f>
        <v>14363465</v>
      </c>
      <c r="C63" s="24">
        <f>data!AU63</f>
        <v>6.4182600000000001</v>
      </c>
      <c r="D63" s="14">
        <f t="shared" si="0"/>
        <v>2237906.3796106731</v>
      </c>
      <c r="E63" s="10">
        <f>data!AB63</f>
        <v>11.99663</v>
      </c>
      <c r="F63" s="10">
        <f>data!AE63</f>
        <v>2.54284</v>
      </c>
      <c r="G63" s="19"/>
      <c r="H63" s="10">
        <f t="shared" si="3"/>
        <v>0.5635024285714284</v>
      </c>
      <c r="I63" s="19"/>
      <c r="J63" s="10">
        <f t="shared" si="7"/>
        <v>4.0488673934042157E-3</v>
      </c>
      <c r="K63" s="10">
        <f t="shared" si="7"/>
        <v>2.7241071937243951E-2</v>
      </c>
      <c r="L63" s="10">
        <f t="shared" si="4"/>
        <v>-3.4782370665273296E-3</v>
      </c>
      <c r="M63" s="10">
        <f t="shared" si="5"/>
        <v>-5.8817993161784723E-3</v>
      </c>
      <c r="N63" s="20"/>
      <c r="O63" s="10">
        <f t="shared" si="1"/>
        <v>0.60513106184279886</v>
      </c>
      <c r="P63" s="10">
        <f t="shared" si="2"/>
        <v>1.8314922319034852</v>
      </c>
    </row>
    <row r="64" spans="1:16" x14ac:dyDescent="0.3">
      <c r="A64" s="8">
        <v>2009</v>
      </c>
      <c r="B64" s="21">
        <f>data!K64</f>
        <v>14068688</v>
      </c>
      <c r="C64" s="24">
        <f>data!AU64</f>
        <v>6.3706699999999996</v>
      </c>
      <c r="D64" s="14">
        <f t="shared" si="0"/>
        <v>2208352.9675842575</v>
      </c>
      <c r="E64" s="10">
        <f>data!AB64</f>
        <v>12.125389999999999</v>
      </c>
      <c r="F64" s="10">
        <f>data!AE64</f>
        <v>2.4314399999999998</v>
      </c>
      <c r="G64" s="19"/>
      <c r="H64" s="10">
        <f t="shared" si="3"/>
        <v>0.5635024285714284</v>
      </c>
      <c r="I64" s="19"/>
      <c r="J64" s="10">
        <f t="shared" si="7"/>
        <v>-1.3293802701728983E-2</v>
      </c>
      <c r="K64" s="10">
        <f t="shared" si="7"/>
        <v>1.0675824241117664E-2</v>
      </c>
      <c r="L64" s="10">
        <f t="shared" si="4"/>
        <v>-4.4797892215573426E-2</v>
      </c>
      <c r="M64" s="10">
        <f t="shared" si="5"/>
        <v>7.2899470023815964E-3</v>
      </c>
      <c r="N64" s="20"/>
      <c r="O64" s="10">
        <f t="shared" si="1"/>
        <v>0.61242100884518047</v>
      </c>
      <c r="P64" s="10">
        <f t="shared" si="2"/>
        <v>1.8448924974777567</v>
      </c>
    </row>
    <row r="65" spans="1:16" x14ac:dyDescent="0.3">
      <c r="A65" s="8">
        <v>2010</v>
      </c>
      <c r="B65" s="21">
        <f>data!K65</f>
        <v>14610398</v>
      </c>
      <c r="C65" s="24">
        <f>data!AU65</f>
        <v>6.3064</v>
      </c>
      <c r="D65" s="14">
        <f t="shared" si="0"/>
        <v>2316757.2624635291</v>
      </c>
      <c r="E65" s="10">
        <f>data!AB65</f>
        <v>12.15888</v>
      </c>
      <c r="F65" s="10">
        <f>data!AE65</f>
        <v>2.43174</v>
      </c>
      <c r="G65" s="19"/>
      <c r="H65" s="10">
        <f t="shared" si="3"/>
        <v>0.5635024285714284</v>
      </c>
      <c r="I65" s="19"/>
      <c r="J65" s="10">
        <f t="shared" si="7"/>
        <v>4.7921502097130295E-2</v>
      </c>
      <c r="K65" s="10">
        <f t="shared" si="7"/>
        <v>2.7581657781931669E-3</v>
      </c>
      <c r="L65" s="10">
        <f t="shared" si="4"/>
        <v>1.2337606273288843E-4</v>
      </c>
      <c r="M65" s="10">
        <f t="shared" si="5"/>
        <v>4.664804672237402E-2</v>
      </c>
      <c r="N65" s="20"/>
      <c r="O65" s="10">
        <f t="shared" si="1"/>
        <v>0.65906905556755446</v>
      </c>
      <c r="P65" s="10">
        <f t="shared" si="2"/>
        <v>1.9329919883914528</v>
      </c>
    </row>
    <row r="66" spans="1:16" x14ac:dyDescent="0.3">
      <c r="A66" s="8">
        <v>2011</v>
      </c>
      <c r="B66" s="21">
        <f>data!K66</f>
        <v>15148135</v>
      </c>
      <c r="C66" s="24">
        <f>data!AU66</f>
        <v>6.3955200000000003</v>
      </c>
      <c r="D66" s="14">
        <f t="shared" si="0"/>
        <v>2368554.0816071248</v>
      </c>
      <c r="E66" s="10">
        <f>data!AB66</f>
        <v>12.27711</v>
      </c>
      <c r="F66" s="10">
        <f>data!AE66</f>
        <v>2.4856699999999998</v>
      </c>
      <c r="G66" s="19"/>
      <c r="H66" s="10">
        <f t="shared" si="3"/>
        <v>0.5635024285714284</v>
      </c>
      <c r="I66" s="19"/>
      <c r="J66" s="10">
        <f t="shared" si="7"/>
        <v>2.2111200572870356E-2</v>
      </c>
      <c r="K66" s="10">
        <f t="shared" si="7"/>
        <v>9.6767859692609131E-3</v>
      </c>
      <c r="L66" s="10">
        <f t="shared" si="4"/>
        <v>2.1935190420379995E-2</v>
      </c>
      <c r="M66" s="10">
        <f t="shared" si="5"/>
        <v>5.5267739249930323E-3</v>
      </c>
      <c r="N66" s="20"/>
      <c r="O66" s="10">
        <f t="shared" si="1"/>
        <v>0.66459582949254747</v>
      </c>
      <c r="P66" s="10">
        <f t="shared" si="2"/>
        <v>1.9437047744146481</v>
      </c>
    </row>
    <row r="67" spans="1:16" x14ac:dyDescent="0.3">
      <c r="A67" s="8">
        <v>2012</v>
      </c>
      <c r="B67" s="21">
        <f>data!K67</f>
        <v>15765227</v>
      </c>
      <c r="C67" s="24">
        <f>data!AU67</f>
        <v>6.4935099999999997</v>
      </c>
      <c r="D67" s="14">
        <f t="shared" ref="D67:D72" si="8">B67/C67</f>
        <v>2427843.6469644308</v>
      </c>
      <c r="E67" s="10">
        <f>data!AB67</f>
        <v>12.420249999999999</v>
      </c>
      <c r="F67" s="10">
        <f>data!AE67</f>
        <v>2.5379399999999999</v>
      </c>
      <c r="G67" s="19"/>
      <c r="H67" s="10">
        <f t="shared" si="3"/>
        <v>0.5635024285714284</v>
      </c>
      <c r="I67" s="19"/>
      <c r="J67" s="10">
        <f t="shared" si="7"/>
        <v>2.4723798493888373E-2</v>
      </c>
      <c r="K67" s="10">
        <f t="shared" si="7"/>
        <v>1.1591652125053521E-2</v>
      </c>
      <c r="L67" s="10">
        <f t="shared" si="4"/>
        <v>2.0810487436304922E-2</v>
      </c>
      <c r="M67" s="10">
        <f t="shared" si="5"/>
        <v>7.9373102823446489E-3</v>
      </c>
      <c r="N67" s="20"/>
      <c r="O67" s="10">
        <f t="shared" ref="O67:O71" si="9">O66+M67</f>
        <v>0.67253313977489215</v>
      </c>
      <c r="P67" s="10">
        <f t="shared" ref="P67:P71" si="10">EXP(O67)</f>
        <v>1.9591939521922188</v>
      </c>
    </row>
    <row r="68" spans="1:16" x14ac:dyDescent="0.3">
      <c r="A68" s="8">
        <v>2013</v>
      </c>
      <c r="B68" s="21">
        <f>data!K68</f>
        <v>16280440</v>
      </c>
      <c r="C68" s="24">
        <f>data!AU68</f>
        <v>6.5669500000000003</v>
      </c>
      <c r="D68" s="14">
        <f t="shared" si="8"/>
        <v>2479147.8540266026</v>
      </c>
      <c r="E68" s="10">
        <f>data!AB68</f>
        <v>12.610139999999999</v>
      </c>
      <c r="F68" s="10">
        <f>data!AE68</f>
        <v>2.59077</v>
      </c>
      <c r="G68" s="19"/>
      <c r="H68" s="10">
        <f t="shared" ref="H68:H72" si="11">H67</f>
        <v>0.5635024285714284</v>
      </c>
      <c r="I68" s="19"/>
      <c r="J68" s="10">
        <f t="shared" si="7"/>
        <v>2.0911418572965385E-2</v>
      </c>
      <c r="K68" s="10">
        <f t="shared" si="7"/>
        <v>1.5173047087732851E-2</v>
      </c>
      <c r="L68" s="10">
        <f t="shared" si="7"/>
        <v>2.0602400473846632E-2</v>
      </c>
      <c r="M68" s="10">
        <f t="shared" ref="M68:M71" si="12">J68-(1-H68)*K68-H68*L68</f>
        <v>2.6789176665849099E-3</v>
      </c>
      <c r="N68" s="20"/>
      <c r="O68" s="10">
        <f t="shared" si="9"/>
        <v>0.67521205744147705</v>
      </c>
      <c r="P68" s="10">
        <f t="shared" si="10"/>
        <v>1.9644495079404991</v>
      </c>
    </row>
    <row r="69" spans="1:16" x14ac:dyDescent="0.3">
      <c r="A69" s="8">
        <v>2014</v>
      </c>
      <c r="B69" s="21">
        <f>data!K69</f>
        <v>16964216</v>
      </c>
      <c r="C69" s="24">
        <f>data!AU69</f>
        <v>6.6992399999999996</v>
      </c>
      <c r="D69" s="14">
        <f t="shared" si="8"/>
        <v>2532259.7787211686</v>
      </c>
      <c r="E69" s="10">
        <f>data!AB69</f>
        <v>12.81054</v>
      </c>
      <c r="F69" s="10">
        <f>data!AE69</f>
        <v>2.6348699999999998</v>
      </c>
      <c r="G69" s="19"/>
      <c r="H69" s="10">
        <f t="shared" si="11"/>
        <v>0.5635024285714284</v>
      </c>
      <c r="I69" s="19"/>
      <c r="J69" s="10">
        <f t="shared" si="7"/>
        <v>2.1197203367143726E-2</v>
      </c>
      <c r="K69" s="10">
        <f t="shared" si="7"/>
        <v>1.5767017371948706E-2</v>
      </c>
      <c r="L69" s="10">
        <f t="shared" si="7"/>
        <v>1.6878716088235053E-2</v>
      </c>
      <c r="M69" s="10">
        <f t="shared" si="12"/>
        <v>4.8037410687279229E-3</v>
      </c>
      <c r="N69" s="20"/>
      <c r="O69" s="10">
        <f t="shared" si="9"/>
        <v>0.68001579851020499</v>
      </c>
      <c r="P69" s="10">
        <f t="shared" si="10"/>
        <v>1.9739089168042778</v>
      </c>
    </row>
    <row r="70" spans="1:16" x14ac:dyDescent="0.3">
      <c r="A70" s="8">
        <v>2015</v>
      </c>
      <c r="B70" s="21">
        <f>data!K70</f>
        <v>17565464</v>
      </c>
      <c r="C70" s="24">
        <f>data!AU70</f>
        <v>6.7538499999999999</v>
      </c>
      <c r="D70" s="14">
        <f t="shared" si="8"/>
        <v>2600807.5394034516</v>
      </c>
      <c r="E70" s="10">
        <f>data!AB70</f>
        <v>13.25835</v>
      </c>
      <c r="F70" s="10">
        <f>data!AE70</f>
        <v>2.69713</v>
      </c>
      <c r="G70" s="19"/>
      <c r="H70" s="10">
        <f t="shared" si="11"/>
        <v>0.5635024285714284</v>
      </c>
      <c r="I70" s="19"/>
      <c r="J70" s="10">
        <f t="shared" ref="J70:L72" si="13">LN(D70/D69)</f>
        <v>2.6709891631751938E-2</v>
      </c>
      <c r="K70" s="10">
        <f t="shared" si="13"/>
        <v>3.435927303906653E-2</v>
      </c>
      <c r="L70" s="10">
        <f t="shared" si="13"/>
        <v>2.3354399788632695E-2</v>
      </c>
      <c r="M70" s="10">
        <f t="shared" si="12"/>
        <v>-1.4481086045743767E-3</v>
      </c>
      <c r="N70" s="20"/>
      <c r="O70" s="10">
        <f t="shared" si="9"/>
        <v>0.67856768990563066</v>
      </c>
      <c r="P70" s="10">
        <f t="shared" si="10"/>
        <v>1.9710525509803256</v>
      </c>
    </row>
    <row r="71" spans="1:16" x14ac:dyDescent="0.3">
      <c r="A71" s="8">
        <v>2016</v>
      </c>
      <c r="B71" s="21">
        <f>data!K71</f>
        <v>18026634</v>
      </c>
      <c r="C71" s="24">
        <f>data!AU71</f>
        <v>6.7654100000000001</v>
      </c>
      <c r="D71" s="14">
        <f t="shared" si="8"/>
        <v>2664529.4224592447</v>
      </c>
      <c r="E71" s="10">
        <f>data!AB71</f>
        <v>13.81265</v>
      </c>
      <c r="F71" s="10">
        <f>data!AE71</f>
        <v>2.7511000000000001</v>
      </c>
      <c r="G71" s="19"/>
      <c r="H71" s="10">
        <f t="shared" si="11"/>
        <v>0.5635024285714284</v>
      </c>
      <c r="I71" s="19"/>
      <c r="J71" s="10">
        <f t="shared" si="13"/>
        <v>2.4205476205942628E-2</v>
      </c>
      <c r="K71" s="10">
        <f t="shared" si="13"/>
        <v>4.0957296321536593E-2</v>
      </c>
      <c r="L71" s="10">
        <f t="shared" si="13"/>
        <v>1.9812586998280052E-2</v>
      </c>
      <c r="M71" s="10">
        <f t="shared" si="12"/>
        <v>-4.8367250605019785E-3</v>
      </c>
      <c r="N71" s="20"/>
      <c r="O71" s="10">
        <f t="shared" si="9"/>
        <v>0.67373096484512862</v>
      </c>
      <c r="P71" s="10">
        <f t="shared" si="10"/>
        <v>1.9615421298979121</v>
      </c>
    </row>
    <row r="72" spans="1:16" x14ac:dyDescent="0.3">
      <c r="A72" s="8">
        <v>2017</v>
      </c>
      <c r="B72" s="21">
        <f>data!K72</f>
        <v>18810856</v>
      </c>
      <c r="C72" s="24">
        <f>data!AU72</f>
        <v>6.8795099999999998</v>
      </c>
      <c r="D72" s="14">
        <f t="shared" si="8"/>
        <v>2734330.7880939194</v>
      </c>
      <c r="E72" s="10">
        <f>data!AB72</f>
        <v>14.540050000000001</v>
      </c>
      <c r="F72" s="10">
        <f>data!AE72</f>
        <v>2.7782399999999998</v>
      </c>
      <c r="G72" s="19"/>
      <c r="H72" s="10">
        <f t="shared" si="11"/>
        <v>0.5635024285714284</v>
      </c>
      <c r="I72" s="19"/>
      <c r="J72" s="10">
        <f t="shared" si="13"/>
        <v>2.5859256419576131E-2</v>
      </c>
      <c r="K72" s="10">
        <f t="shared" si="13"/>
        <v>5.1322071941494886E-2</v>
      </c>
      <c r="L72" s="10">
        <f t="shared" si="13"/>
        <v>9.8168019892301006E-3</v>
      </c>
      <c r="M72" s="10">
        <f>J72-(1-H72)*K72-H72*L72</f>
        <v>-2.0744951053048126E-3</v>
      </c>
      <c r="N72" s="20"/>
      <c r="O72" s="10">
        <f>O71+M72</f>
        <v>0.67165646973982385</v>
      </c>
      <c r="P72" s="10">
        <f>EXP(O72)</f>
        <v>1.9574771382110863</v>
      </c>
    </row>
    <row r="74" spans="1:16" x14ac:dyDescent="0.3">
      <c r="D74" s="10"/>
      <c r="E74" s="10"/>
      <c r="F74" s="10"/>
      <c r="G74" s="10"/>
      <c r="I74" s="10"/>
      <c r="N74" s="6" t="s">
        <v>98</v>
      </c>
      <c r="P74" s="10">
        <f>LN(P72)-LN(P35)</f>
        <v>0.45347699063626734</v>
      </c>
    </row>
    <row r="75" spans="1:16" x14ac:dyDescent="0.3">
      <c r="D75" s="9"/>
      <c r="E75" s="9"/>
      <c r="F75" s="9"/>
      <c r="G75" s="9"/>
      <c r="H75" s="9"/>
      <c r="I75" s="9"/>
      <c r="N75" s="6" t="s">
        <v>99</v>
      </c>
      <c r="P75" s="10">
        <f>P74/($A$72-$A$35)</f>
        <v>1.225613488206128E-2</v>
      </c>
    </row>
    <row r="76" spans="1:16" x14ac:dyDescent="0.3">
      <c r="H76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0E7D-AC13-4130-8682-1A186DF6532B}">
  <sheetPr>
    <tabColor rgb="FFFFC000"/>
  </sheetPr>
  <dimension ref="A1:N76"/>
  <sheetViews>
    <sheetView workbookViewId="0">
      <pane xSplit="7" ySplit="14" topLeftCell="H64" activePane="bottomRight" state="frozen"/>
      <selection pane="topRight" activeCell="K1" sqref="K1"/>
      <selection pane="bottomLeft" activeCell="A15" sqref="A15"/>
      <selection pane="bottomRight" activeCell="N75" sqref="N75"/>
    </sheetView>
  </sheetViews>
  <sheetFormatPr defaultColWidth="8.77734375" defaultRowHeight="14.4" x14ac:dyDescent="0.3"/>
  <cols>
    <col min="1" max="1" width="8.77734375" style="8"/>
    <col min="2" max="2" width="13.33203125" style="8" customWidth="1"/>
    <col min="3" max="3" width="28" style="8" customWidth="1"/>
    <col min="4" max="4" width="13.33203125" style="6" customWidth="1"/>
    <col min="5" max="5" width="2.77734375" style="6" customWidth="1"/>
    <col min="6" max="6" width="15.44140625" style="6" bestFit="1" customWidth="1"/>
    <col min="7" max="7" width="2.77734375" style="6" customWidth="1"/>
    <col min="8" max="8" width="11.6640625" style="8" bestFit="1" customWidth="1"/>
    <col min="9" max="11" width="11.33203125" style="8" customWidth="1"/>
    <col min="12" max="12" width="8.77734375" style="6"/>
    <col min="13" max="13" width="12.44140625" style="6" bestFit="1" customWidth="1"/>
    <col min="14" max="14" width="10.44140625" style="6" bestFit="1" customWidth="1"/>
    <col min="15" max="16384" width="8.77734375" style="6"/>
  </cols>
  <sheetData>
    <row r="1" spans="1:14" x14ac:dyDescent="0.3">
      <c r="A1" s="8" t="s">
        <v>0</v>
      </c>
      <c r="B1" s="8" t="s">
        <v>25</v>
      </c>
      <c r="C1" s="8" t="s">
        <v>28</v>
      </c>
      <c r="D1" s="8" t="s">
        <v>31</v>
      </c>
      <c r="E1" s="7"/>
      <c r="F1" s="8" t="s">
        <v>100</v>
      </c>
      <c r="G1" s="7"/>
      <c r="H1" s="8" t="s">
        <v>103</v>
      </c>
      <c r="I1" s="8" t="s">
        <v>94</v>
      </c>
      <c r="J1" s="8" t="s">
        <v>101</v>
      </c>
      <c r="K1" s="8" t="s">
        <v>95</v>
      </c>
      <c r="M1" s="8" t="s">
        <v>96</v>
      </c>
      <c r="N1" s="8" t="s">
        <v>97</v>
      </c>
    </row>
    <row r="2" spans="1:14" x14ac:dyDescent="0.3">
      <c r="A2" s="8">
        <v>1947</v>
      </c>
      <c r="B2" s="10">
        <f>data!Z2</f>
        <v>1</v>
      </c>
      <c r="C2" s="10">
        <f>data!AC2</f>
        <v>1</v>
      </c>
      <c r="D2" s="10">
        <f>data!AF2</f>
        <v>1</v>
      </c>
      <c r="E2" s="19"/>
      <c r="F2" s="10">
        <f>data!X74</f>
        <v>0.5635024285714284</v>
      </c>
      <c r="G2" s="19"/>
      <c r="H2" s="10"/>
      <c r="I2" s="10"/>
      <c r="J2" s="10"/>
      <c r="K2" s="10"/>
      <c r="L2" s="20"/>
      <c r="M2" s="10">
        <v>0</v>
      </c>
      <c r="N2" s="10">
        <f>EXP(M2)</f>
        <v>1</v>
      </c>
    </row>
    <row r="3" spans="1:14" x14ac:dyDescent="0.3">
      <c r="A3" s="8">
        <v>1948</v>
      </c>
      <c r="B3" s="10">
        <f>data!Z3</f>
        <v>1.0894200000000001</v>
      </c>
      <c r="C3" s="10">
        <f>data!AC3</f>
        <v>1.06134</v>
      </c>
      <c r="D3" s="10">
        <f>data!AF3</f>
        <v>1.01999</v>
      </c>
      <c r="E3" s="19"/>
      <c r="F3" s="10">
        <f>F2</f>
        <v>0.5635024285714284</v>
      </c>
      <c r="G3" s="19"/>
      <c r="H3" s="10">
        <f>LN(B3/B2)</f>
        <v>8.5645444528493597E-2</v>
      </c>
      <c r="I3" s="10">
        <f>LN(C3/C2)</f>
        <v>5.9532260701334064E-2</v>
      </c>
      <c r="J3" s="10">
        <f>LN(D3/D2)</f>
        <v>1.9792823326552286E-2</v>
      </c>
      <c r="K3" s="10">
        <f>H3-(1-F3)*I3-F3*J3</f>
        <v>4.8506453297911256E-2</v>
      </c>
      <c r="L3" s="20"/>
      <c r="M3" s="10">
        <f>M2+K3</f>
        <v>4.8506453297911256E-2</v>
      </c>
      <c r="N3" s="10">
        <f t="shared" ref="N3:N66" si="0">EXP(M3)</f>
        <v>1.0497021458391329</v>
      </c>
    </row>
    <row r="4" spans="1:14" x14ac:dyDescent="0.3">
      <c r="A4" s="8">
        <v>1949</v>
      </c>
      <c r="B4" s="10">
        <f>data!Z4</f>
        <v>1.0591200000000001</v>
      </c>
      <c r="C4" s="10">
        <f>data!AC4</f>
        <v>1.08348</v>
      </c>
      <c r="D4" s="10">
        <f>data!AF4</f>
        <v>0.95074999999999998</v>
      </c>
      <c r="E4" s="19"/>
      <c r="F4" s="10">
        <f t="shared" ref="F4:F67" si="1">F3</f>
        <v>0.5635024285714284</v>
      </c>
      <c r="G4" s="19"/>
      <c r="H4" s="10">
        <f>LN(B4/B3)</f>
        <v>-2.8207069881229143E-2</v>
      </c>
      <c r="I4" s="10">
        <f>LN(C4/C3)</f>
        <v>2.0645822423917E-2</v>
      </c>
      <c r="J4" s="10">
        <f t="shared" ref="J4:J67" si="2">LN(D4/D3)</f>
        <v>-7.0296955500320266E-2</v>
      </c>
      <c r="K4" s="10">
        <f t="shared" ref="K4:K67" si="3">H4-(1-F4)*I4-F4*J4</f>
        <v>2.3935839161936395E-3</v>
      </c>
      <c r="L4" s="20"/>
      <c r="M4" s="10">
        <f t="shared" ref="M4:M67" si="4">M3+K4</f>
        <v>5.0900037214104896E-2</v>
      </c>
      <c r="N4" s="10">
        <f t="shared" si="0"/>
        <v>1.052217705412654</v>
      </c>
    </row>
    <row r="5" spans="1:14" x14ac:dyDescent="0.3">
      <c r="A5" s="8">
        <v>1950</v>
      </c>
      <c r="B5" s="10">
        <f>data!Z5</f>
        <v>1.1729000000000001</v>
      </c>
      <c r="C5" s="10">
        <f>data!AC5</f>
        <v>1.12103</v>
      </c>
      <c r="D5" s="10">
        <f>data!AF5</f>
        <v>1.0108999999999999</v>
      </c>
      <c r="E5" s="19"/>
      <c r="F5" s="10">
        <f t="shared" si="1"/>
        <v>0.5635024285714284</v>
      </c>
      <c r="G5" s="19"/>
      <c r="H5" s="10">
        <f>LN(B5/B4)</f>
        <v>0.10204093989805797</v>
      </c>
      <c r="I5" s="10">
        <f>LN(C5/C4)</f>
        <v>3.4069822426484472E-2</v>
      </c>
      <c r="J5" s="10">
        <f t="shared" si="2"/>
        <v>6.1345155351642817E-2</v>
      </c>
      <c r="K5" s="10">
        <f t="shared" si="3"/>
        <v>5.2601401128152536E-2</v>
      </c>
      <c r="L5" s="20"/>
      <c r="M5" s="10">
        <f t="shared" si="4"/>
        <v>0.10350143834225743</v>
      </c>
      <c r="N5" s="10">
        <f t="shared" si="0"/>
        <v>1.1090473885536452</v>
      </c>
    </row>
    <row r="6" spans="1:14" x14ac:dyDescent="0.3">
      <c r="A6" s="8">
        <v>1951</v>
      </c>
      <c r="B6" s="10">
        <f>data!Z6</f>
        <v>1.24522</v>
      </c>
      <c r="C6" s="10">
        <f>data!AC6</f>
        <v>1.1901299999999999</v>
      </c>
      <c r="D6" s="10">
        <f>data!AF6</f>
        <v>1.0784499999999999</v>
      </c>
      <c r="E6" s="19"/>
      <c r="F6" s="10">
        <f t="shared" si="1"/>
        <v>0.5635024285714284</v>
      </c>
      <c r="G6" s="19"/>
      <c r="H6" s="10">
        <f t="shared" ref="H6:I37" si="5">LN(B6/B5)</f>
        <v>5.9832906587845451E-2</v>
      </c>
      <c r="I6" s="10">
        <f t="shared" si="5"/>
        <v>5.9814639302523384E-2</v>
      </c>
      <c r="J6" s="10">
        <f t="shared" si="2"/>
        <v>6.4683801908371155E-2</v>
      </c>
      <c r="K6" s="10">
        <f t="shared" si="3"/>
        <v>-2.7255176681823395E-3</v>
      </c>
      <c r="L6" s="20"/>
      <c r="M6" s="10">
        <f t="shared" si="4"/>
        <v>0.10077592067407509</v>
      </c>
      <c r="N6" s="10">
        <f t="shared" si="0"/>
        <v>1.1060287758111056</v>
      </c>
    </row>
    <row r="7" spans="1:14" x14ac:dyDescent="0.3">
      <c r="A7" s="8">
        <v>1952</v>
      </c>
      <c r="B7" s="10">
        <f>data!Z7</f>
        <v>1.30071</v>
      </c>
      <c r="C7" s="10">
        <f>data!AC7</f>
        <v>1.2407999999999999</v>
      </c>
      <c r="D7" s="10">
        <f>data!AF7</f>
        <v>1.0965</v>
      </c>
      <c r="E7" s="19"/>
      <c r="F7" s="10">
        <f t="shared" si="1"/>
        <v>0.5635024285714284</v>
      </c>
      <c r="G7" s="19"/>
      <c r="H7" s="10">
        <f t="shared" si="5"/>
        <v>4.3598048092746033E-2</v>
      </c>
      <c r="I7" s="10">
        <f t="shared" si="5"/>
        <v>4.1693788025933265E-2</v>
      </c>
      <c r="J7" s="10">
        <f t="shared" si="2"/>
        <v>1.6598463789559811E-2</v>
      </c>
      <c r="K7" s="10">
        <f t="shared" si="3"/>
        <v>1.6045536219796635E-2</v>
      </c>
      <c r="L7" s="20"/>
      <c r="M7" s="10">
        <f t="shared" si="4"/>
        <v>0.11682145689387173</v>
      </c>
      <c r="N7" s="10">
        <f t="shared" si="0"/>
        <v>1.1239187438319722</v>
      </c>
    </row>
    <row r="8" spans="1:14" x14ac:dyDescent="0.3">
      <c r="A8" s="8">
        <v>1953</v>
      </c>
      <c r="B8" s="10">
        <f>data!Z8</f>
        <v>1.3923399999999999</v>
      </c>
      <c r="C8" s="10">
        <f>data!AC8</f>
        <v>1.2997099999999999</v>
      </c>
      <c r="D8" s="10">
        <f>data!AF8</f>
        <v>1.1255599999999999</v>
      </c>
      <c r="E8" s="19"/>
      <c r="F8" s="10">
        <f t="shared" si="1"/>
        <v>0.5635024285714284</v>
      </c>
      <c r="G8" s="19"/>
      <c r="H8" s="10">
        <f t="shared" si="5"/>
        <v>6.8075515735000508E-2</v>
      </c>
      <c r="I8" s="10">
        <f t="shared" si="5"/>
        <v>4.6384829778864364E-2</v>
      </c>
      <c r="J8" s="10">
        <f t="shared" si="2"/>
        <v>2.615740070809559E-2</v>
      </c>
      <c r="K8" s="10">
        <f t="shared" si="3"/>
        <v>3.3088891361270661E-2</v>
      </c>
      <c r="L8" s="20"/>
      <c r="M8" s="10">
        <f t="shared" si="4"/>
        <v>0.14991034825514238</v>
      </c>
      <c r="N8" s="10">
        <f t="shared" si="0"/>
        <v>1.1617300869301315</v>
      </c>
    </row>
    <row r="9" spans="1:14" x14ac:dyDescent="0.3">
      <c r="A9" s="8">
        <v>1954</v>
      </c>
      <c r="B9" s="10">
        <f>data!Z9</f>
        <v>1.35503</v>
      </c>
      <c r="C9" s="10">
        <f>data!AC9</f>
        <v>1.36591</v>
      </c>
      <c r="D9" s="10">
        <f>data!AF9</f>
        <v>1.0536799999999999</v>
      </c>
      <c r="E9" s="19"/>
      <c r="F9" s="10">
        <f t="shared" si="1"/>
        <v>0.5635024285714284</v>
      </c>
      <c r="G9" s="19"/>
      <c r="H9" s="10">
        <f t="shared" si="5"/>
        <v>-2.7162190652939074E-2</v>
      </c>
      <c r="I9" s="10">
        <f t="shared" si="5"/>
        <v>4.9679710521027327E-2</v>
      </c>
      <c r="J9" s="10">
        <f t="shared" si="2"/>
        <v>-6.5991890875247372E-2</v>
      </c>
      <c r="K9" s="10">
        <f t="shared" si="3"/>
        <v>-1.1660672870419379E-2</v>
      </c>
      <c r="L9" s="20"/>
      <c r="M9" s="10">
        <f t="shared" si="4"/>
        <v>0.13824967538472299</v>
      </c>
      <c r="N9" s="10">
        <f t="shared" si="0"/>
        <v>1.1482622072954578</v>
      </c>
    </row>
    <row r="10" spans="1:14" x14ac:dyDescent="0.3">
      <c r="A10" s="8">
        <v>1955</v>
      </c>
      <c r="B10" s="10">
        <f>data!Z10</f>
        <v>1.4808300000000001</v>
      </c>
      <c r="C10" s="10">
        <f>data!AC10</f>
        <v>1.4175599999999999</v>
      </c>
      <c r="D10" s="10">
        <f>data!AF10</f>
        <v>1.1026400000000001</v>
      </c>
      <c r="E10" s="19"/>
      <c r="F10" s="10">
        <f t="shared" si="1"/>
        <v>0.5635024285714284</v>
      </c>
      <c r="G10" s="19"/>
      <c r="H10" s="10">
        <f t="shared" si="5"/>
        <v>8.8779147083244983E-2</v>
      </c>
      <c r="I10" s="10">
        <f t="shared" si="5"/>
        <v>3.7116210586208231E-2</v>
      </c>
      <c r="J10" s="10">
        <f t="shared" si="2"/>
        <v>4.5418505695392367E-2</v>
      </c>
      <c r="K10" s="10">
        <f t="shared" si="3"/>
        <v>4.6984573040294797E-2</v>
      </c>
      <c r="L10" s="20"/>
      <c r="M10" s="10">
        <f t="shared" si="4"/>
        <v>0.18523424842501779</v>
      </c>
      <c r="N10" s="10">
        <f t="shared" si="0"/>
        <v>1.2035003251665219</v>
      </c>
    </row>
    <row r="11" spans="1:14" x14ac:dyDescent="0.3">
      <c r="A11" s="8">
        <v>1956</v>
      </c>
      <c r="B11" s="10">
        <f>data!Z11</f>
        <v>1.4807399999999999</v>
      </c>
      <c r="C11" s="10">
        <f>data!AC11</f>
        <v>1.4920800000000001</v>
      </c>
      <c r="D11" s="10">
        <f>data!AF11</f>
        <v>1.1195999999999999</v>
      </c>
      <c r="E11" s="19"/>
      <c r="F11" s="10">
        <f t="shared" si="1"/>
        <v>0.5635024285714284</v>
      </c>
      <c r="G11" s="19"/>
      <c r="H11" s="10">
        <f t="shared" si="5"/>
        <v>-6.0778573545652086E-5</v>
      </c>
      <c r="I11" s="10">
        <f t="shared" si="5"/>
        <v>5.1234035880763029E-2</v>
      </c>
      <c r="J11" s="10">
        <f t="shared" si="2"/>
        <v>1.5264174255114962E-2</v>
      </c>
      <c r="K11" s="10">
        <f t="shared" si="3"/>
        <v>-3.1025710072877771E-2</v>
      </c>
      <c r="L11" s="20"/>
      <c r="M11" s="10">
        <f t="shared" si="4"/>
        <v>0.15420853835214002</v>
      </c>
      <c r="N11" s="10">
        <f t="shared" si="0"/>
        <v>1.1667341702318381</v>
      </c>
    </row>
    <row r="12" spans="1:14" x14ac:dyDescent="0.3">
      <c r="A12" s="8">
        <v>1957</v>
      </c>
      <c r="B12" s="10">
        <f>data!Z12</f>
        <v>1.4855499999999999</v>
      </c>
      <c r="C12" s="10">
        <f>data!AC12</f>
        <v>1.56315</v>
      </c>
      <c r="D12" s="10">
        <f>data!AF12</f>
        <v>1.1003400000000001</v>
      </c>
      <c r="E12" s="19"/>
      <c r="F12" s="10">
        <f t="shared" si="1"/>
        <v>0.5635024285714284</v>
      </c>
      <c r="G12" s="19"/>
      <c r="H12" s="10">
        <f t="shared" si="5"/>
        <v>3.2431112371834043E-3</v>
      </c>
      <c r="I12" s="10">
        <f t="shared" si="5"/>
        <v>4.6531896477354354E-2</v>
      </c>
      <c r="J12" s="10">
        <f t="shared" si="2"/>
        <v>-1.7352255704499588E-2</v>
      </c>
      <c r="K12" s="10">
        <f t="shared" si="3"/>
        <v>-7.2899103384695355E-3</v>
      </c>
      <c r="L12" s="20"/>
      <c r="M12" s="10">
        <f t="shared" si="4"/>
        <v>0.14691862801367048</v>
      </c>
      <c r="N12" s="10">
        <f t="shared" si="0"/>
        <v>1.1582597093018694</v>
      </c>
    </row>
    <row r="13" spans="1:14" x14ac:dyDescent="0.3">
      <c r="A13" s="8">
        <v>1958</v>
      </c>
      <c r="B13" s="10">
        <f>data!Z13</f>
        <v>1.42265</v>
      </c>
      <c r="C13" s="10">
        <f>data!AC13</f>
        <v>1.6031299999999999</v>
      </c>
      <c r="D13" s="10">
        <f>data!AF13</f>
        <v>1.0229699999999999</v>
      </c>
      <c r="E13" s="19"/>
      <c r="F13" s="10">
        <f t="shared" si="1"/>
        <v>0.5635024285714284</v>
      </c>
      <c r="G13" s="19"/>
      <c r="H13" s="10">
        <f t="shared" si="5"/>
        <v>-4.3263744441117642E-2</v>
      </c>
      <c r="I13" s="10">
        <f t="shared" si="5"/>
        <v>2.5254952156106465E-2</v>
      </c>
      <c r="J13" s="10">
        <f t="shared" si="2"/>
        <v>-7.29090619283701E-2</v>
      </c>
      <c r="K13" s="10">
        <f t="shared" si="3"/>
        <v>-1.3203036262301661E-2</v>
      </c>
      <c r="L13" s="20"/>
      <c r="M13" s="10">
        <f t="shared" si="4"/>
        <v>0.13371559175136882</v>
      </c>
      <c r="N13" s="10">
        <f t="shared" si="0"/>
        <v>1.1430676755343394</v>
      </c>
    </row>
    <row r="14" spans="1:14" x14ac:dyDescent="0.3">
      <c r="A14" s="8">
        <v>1959</v>
      </c>
      <c r="B14" s="10">
        <f>data!Z14</f>
        <v>1.5250999999999999</v>
      </c>
      <c r="C14" s="10">
        <f>data!AC14</f>
        <v>1.6388100000000001</v>
      </c>
      <c r="D14" s="10">
        <f>data!AF14</f>
        <v>1.0798399999999999</v>
      </c>
      <c r="E14" s="19"/>
      <c r="F14" s="10">
        <f t="shared" si="1"/>
        <v>0.5635024285714284</v>
      </c>
      <c r="G14" s="19"/>
      <c r="H14" s="10">
        <f t="shared" si="5"/>
        <v>6.9538652066260545E-2</v>
      </c>
      <c r="I14" s="10">
        <f t="shared" si="5"/>
        <v>2.2012400417318782E-2</v>
      </c>
      <c r="J14" s="10">
        <f t="shared" si="2"/>
        <v>5.4102720986667643E-2</v>
      </c>
      <c r="K14" s="10">
        <f t="shared" si="3"/>
        <v>2.9443278074478014E-2</v>
      </c>
      <c r="L14" s="20"/>
      <c r="M14" s="10">
        <f t="shared" si="4"/>
        <v>0.16315886982584685</v>
      </c>
      <c r="N14" s="10">
        <f t="shared" si="0"/>
        <v>1.1772237001571402</v>
      </c>
    </row>
    <row r="15" spans="1:14" x14ac:dyDescent="0.3">
      <c r="A15" s="8">
        <v>1960</v>
      </c>
      <c r="B15" s="10">
        <f>data!Z15</f>
        <v>1.5572299999999999</v>
      </c>
      <c r="C15" s="10">
        <f>data!AC15</f>
        <v>1.6794899999999999</v>
      </c>
      <c r="D15" s="10">
        <f>data!AF15</f>
        <v>1.0785899999999999</v>
      </c>
      <c r="E15" s="19"/>
      <c r="F15" s="10">
        <f t="shared" si="1"/>
        <v>0.5635024285714284</v>
      </c>
      <c r="G15" s="19"/>
      <c r="H15" s="10">
        <f t="shared" si="5"/>
        <v>2.0848620236648813E-2</v>
      </c>
      <c r="I15" s="10">
        <f t="shared" si="5"/>
        <v>2.4519807201628212E-2</v>
      </c>
      <c r="J15" s="10">
        <f t="shared" si="2"/>
        <v>-1.1582494125303528E-3</v>
      </c>
      <c r="K15" s="10">
        <f t="shared" si="3"/>
        <v>1.0798460298093582E-2</v>
      </c>
      <c r="L15" s="20"/>
      <c r="M15" s="10">
        <f t="shared" si="4"/>
        <v>0.17395733012394043</v>
      </c>
      <c r="N15" s="10">
        <f t="shared" si="0"/>
        <v>1.1900047873802277</v>
      </c>
    </row>
    <row r="16" spans="1:14" x14ac:dyDescent="0.3">
      <c r="A16" s="8">
        <v>1961</v>
      </c>
      <c r="B16" s="10">
        <f>data!Z16</f>
        <v>1.57253</v>
      </c>
      <c r="C16" s="10">
        <f>data!AC16</f>
        <v>1.7218100000000001</v>
      </c>
      <c r="D16" s="10">
        <f>data!AF16</f>
        <v>1.0630200000000001</v>
      </c>
      <c r="E16" s="19"/>
      <c r="F16" s="10">
        <f t="shared" si="1"/>
        <v>0.5635024285714284</v>
      </c>
      <c r="G16" s="19"/>
      <c r="H16" s="10">
        <f t="shared" si="5"/>
        <v>9.7771853952587154E-3</v>
      </c>
      <c r="I16" s="10">
        <f t="shared" si="5"/>
        <v>2.4885887200868286E-2</v>
      </c>
      <c r="J16" s="10">
        <f t="shared" si="2"/>
        <v>-1.4540718742164874E-2</v>
      </c>
      <c r="K16" s="10">
        <f t="shared" si="3"/>
        <v>7.1082863936183273E-3</v>
      </c>
      <c r="L16" s="20"/>
      <c r="M16" s="10">
        <f t="shared" si="4"/>
        <v>0.18106561651755876</v>
      </c>
      <c r="N16" s="10">
        <f t="shared" si="0"/>
        <v>1.1984938177038156</v>
      </c>
    </row>
    <row r="17" spans="1:14" x14ac:dyDescent="0.3">
      <c r="A17" s="8">
        <v>1962</v>
      </c>
      <c r="B17" s="10">
        <f>data!Z17</f>
        <v>1.69706</v>
      </c>
      <c r="C17" s="10">
        <f>data!AC17</f>
        <v>1.7723199999999999</v>
      </c>
      <c r="D17" s="10">
        <f>data!AF17</f>
        <v>1.10392</v>
      </c>
      <c r="E17" s="19"/>
      <c r="F17" s="10">
        <f t="shared" si="1"/>
        <v>0.5635024285714284</v>
      </c>
      <c r="G17" s="19"/>
      <c r="H17" s="10">
        <f t="shared" si="5"/>
        <v>7.6211554826644892E-2</v>
      </c>
      <c r="I17" s="10">
        <f t="shared" si="5"/>
        <v>2.8913359686154834E-2</v>
      </c>
      <c r="J17" s="10">
        <f t="shared" si="2"/>
        <v>3.7753567602897845E-2</v>
      </c>
      <c r="K17" s="10">
        <f t="shared" si="3"/>
        <v>4.2316716510328999E-2</v>
      </c>
      <c r="L17" s="20"/>
      <c r="M17" s="10">
        <f t="shared" si="4"/>
        <v>0.22338233302788776</v>
      </c>
      <c r="N17" s="10">
        <f t="shared" si="0"/>
        <v>1.2502985127803758</v>
      </c>
    </row>
    <row r="18" spans="1:14" x14ac:dyDescent="0.3">
      <c r="A18" s="8">
        <v>1963</v>
      </c>
      <c r="B18" s="10">
        <f>data!Z18</f>
        <v>1.7844500000000001</v>
      </c>
      <c r="C18" s="10">
        <f>data!AC18</f>
        <v>1.8388199999999999</v>
      </c>
      <c r="D18" s="10">
        <f>data!AF18</f>
        <v>1.1186700000000001</v>
      </c>
      <c r="E18" s="19"/>
      <c r="F18" s="10">
        <f t="shared" si="1"/>
        <v>0.5635024285714284</v>
      </c>
      <c r="G18" s="19"/>
      <c r="H18" s="10">
        <f t="shared" si="5"/>
        <v>5.0212902364027701E-2</v>
      </c>
      <c r="I18" s="10">
        <f t="shared" si="5"/>
        <v>3.6834638762990167E-2</v>
      </c>
      <c r="J18" s="10">
        <f t="shared" si="2"/>
        <v>1.3272998209031706E-2</v>
      </c>
      <c r="K18" s="10">
        <f t="shared" si="3"/>
        <v>2.6655305274320182E-2</v>
      </c>
      <c r="L18" s="20"/>
      <c r="M18" s="10">
        <f t="shared" si="4"/>
        <v>0.25003763830220793</v>
      </c>
      <c r="N18" s="10">
        <f t="shared" si="0"/>
        <v>1.2840737461339309</v>
      </c>
    </row>
    <row r="19" spans="1:14" x14ac:dyDescent="0.3">
      <c r="A19" s="8">
        <v>1964</v>
      </c>
      <c r="B19" s="10">
        <f>data!Z19</f>
        <v>1.8940399999999999</v>
      </c>
      <c r="C19" s="10">
        <f>data!AC19</f>
        <v>1.91442</v>
      </c>
      <c r="D19" s="10">
        <f>data!AF19</f>
        <v>1.1389100000000001</v>
      </c>
      <c r="E19" s="19"/>
      <c r="F19" s="10">
        <f t="shared" si="1"/>
        <v>0.5635024285714284</v>
      </c>
      <c r="G19" s="19"/>
      <c r="H19" s="10">
        <f t="shared" si="5"/>
        <v>5.9601869362477279E-2</v>
      </c>
      <c r="I19" s="10">
        <f t="shared" si="5"/>
        <v>4.0290643145464107E-2</v>
      </c>
      <c r="J19" s="10">
        <f t="shared" si="2"/>
        <v>1.7931184991569558E-2</v>
      </c>
      <c r="K19" s="10">
        <f t="shared" si="3"/>
        <v>3.1910835188273978E-2</v>
      </c>
      <c r="L19" s="20"/>
      <c r="M19" s="10">
        <f t="shared" si="4"/>
        <v>0.28194847349048191</v>
      </c>
      <c r="N19" s="10">
        <f t="shared" si="0"/>
        <v>1.3257104089968863</v>
      </c>
    </row>
    <row r="20" spans="1:14" x14ac:dyDescent="0.3">
      <c r="A20" s="8">
        <v>1965</v>
      </c>
      <c r="B20" s="10">
        <f>data!Z20</f>
        <v>2.0490499999999998</v>
      </c>
      <c r="C20" s="10">
        <f>data!AC20</f>
        <v>2.0143599999999999</v>
      </c>
      <c r="D20" s="10">
        <f>data!AF20</f>
        <v>1.19459</v>
      </c>
      <c r="E20" s="19"/>
      <c r="F20" s="10">
        <f t="shared" si="1"/>
        <v>0.5635024285714284</v>
      </c>
      <c r="G20" s="19"/>
      <c r="H20" s="10">
        <f t="shared" si="5"/>
        <v>7.8664157241365648E-2</v>
      </c>
      <c r="I20" s="10">
        <f t="shared" si="5"/>
        <v>5.0886822386464019E-2</v>
      </c>
      <c r="J20" s="10">
        <f t="shared" si="2"/>
        <v>4.7731365616422099E-2</v>
      </c>
      <c r="K20" s="10">
        <f t="shared" si="3"/>
        <v>2.955544240807241E-2</v>
      </c>
      <c r="L20" s="20"/>
      <c r="M20" s="10">
        <f t="shared" si="4"/>
        <v>0.31150391589855431</v>
      </c>
      <c r="N20" s="10">
        <f t="shared" si="0"/>
        <v>1.3654771334833073</v>
      </c>
    </row>
    <row r="21" spans="1:14" x14ac:dyDescent="0.3">
      <c r="A21" s="8">
        <v>1966</v>
      </c>
      <c r="B21" s="10">
        <f>data!Z21</f>
        <v>2.1841699999999999</v>
      </c>
      <c r="C21" s="10">
        <f>data!AC21</f>
        <v>2.15848</v>
      </c>
      <c r="D21" s="10">
        <f>data!AF21</f>
        <v>1.25139</v>
      </c>
      <c r="E21" s="19"/>
      <c r="F21" s="10">
        <f t="shared" si="1"/>
        <v>0.5635024285714284</v>
      </c>
      <c r="G21" s="19"/>
      <c r="H21" s="10">
        <f t="shared" si="5"/>
        <v>6.3859622574789096E-2</v>
      </c>
      <c r="I21" s="10">
        <f t="shared" si="5"/>
        <v>6.910274319529576E-2</v>
      </c>
      <c r="J21" s="10">
        <f t="shared" si="2"/>
        <v>4.6451903221988042E-2</v>
      </c>
      <c r="K21" s="10">
        <f t="shared" si="3"/>
        <v>7.5206827136350199E-3</v>
      </c>
      <c r="L21" s="20"/>
      <c r="M21" s="10">
        <f t="shared" si="4"/>
        <v>0.31902459861218935</v>
      </c>
      <c r="N21" s="10">
        <f t="shared" si="0"/>
        <v>1.3757851668955809</v>
      </c>
    </row>
    <row r="22" spans="1:14" x14ac:dyDescent="0.3">
      <c r="A22" s="8">
        <v>1967</v>
      </c>
      <c r="B22" s="10">
        <f>data!Z22</f>
        <v>2.21197</v>
      </c>
      <c r="C22" s="10">
        <f>data!AC22</f>
        <v>2.3094899999999998</v>
      </c>
      <c r="D22" s="10">
        <f>data!AF22</f>
        <v>1.2463</v>
      </c>
      <c r="E22" s="19"/>
      <c r="F22" s="10">
        <f t="shared" si="1"/>
        <v>0.5635024285714284</v>
      </c>
      <c r="G22" s="19"/>
      <c r="H22" s="10">
        <f t="shared" si="5"/>
        <v>1.264762749992519E-2</v>
      </c>
      <c r="I22" s="10">
        <f t="shared" si="5"/>
        <v>6.762245066090343E-2</v>
      </c>
      <c r="J22" s="10">
        <f t="shared" si="2"/>
        <v>-4.0757716499793878E-3</v>
      </c>
      <c r="K22" s="10">
        <f t="shared" si="3"/>
        <v>-1.4572700764541601E-2</v>
      </c>
      <c r="L22" s="20"/>
      <c r="M22" s="10">
        <f t="shared" si="4"/>
        <v>0.30445189784764776</v>
      </c>
      <c r="N22" s="10">
        <f t="shared" si="0"/>
        <v>1.3558816376608243</v>
      </c>
    </row>
    <row r="23" spans="1:14" x14ac:dyDescent="0.3">
      <c r="A23" s="8">
        <v>1968</v>
      </c>
      <c r="B23" s="10">
        <f>data!Z23</f>
        <v>2.3360300000000001</v>
      </c>
      <c r="C23" s="10">
        <f>data!AC23</f>
        <v>2.4442900000000001</v>
      </c>
      <c r="D23" s="10">
        <f>data!AF23</f>
        <v>1.24949</v>
      </c>
      <c r="E23" s="19"/>
      <c r="F23" s="10">
        <f t="shared" si="1"/>
        <v>0.5635024285714284</v>
      </c>
      <c r="G23" s="19"/>
      <c r="H23" s="10">
        <f t="shared" si="5"/>
        <v>5.4569386168131999E-2</v>
      </c>
      <c r="I23" s="10">
        <f t="shared" si="5"/>
        <v>5.67279712702565E-2</v>
      </c>
      <c r="J23" s="10">
        <f t="shared" si="2"/>
        <v>2.5563062093695134E-3</v>
      </c>
      <c r="K23" s="10">
        <f t="shared" si="3"/>
        <v>2.8367279719443309E-2</v>
      </c>
      <c r="L23" s="20"/>
      <c r="M23" s="10">
        <f t="shared" si="4"/>
        <v>0.33281917756709106</v>
      </c>
      <c r="N23" s="10">
        <f t="shared" si="0"/>
        <v>1.3948950473480461</v>
      </c>
    </row>
    <row r="24" spans="1:14" x14ac:dyDescent="0.3">
      <c r="A24" s="8">
        <v>1969</v>
      </c>
      <c r="B24" s="10">
        <f>data!Z24</f>
        <v>2.40198</v>
      </c>
      <c r="C24" s="10">
        <f>data!AC24</f>
        <v>2.5789200000000001</v>
      </c>
      <c r="D24" s="10">
        <f>data!AF24</f>
        <v>1.2720800000000001</v>
      </c>
      <c r="E24" s="19"/>
      <c r="F24" s="10">
        <f t="shared" si="1"/>
        <v>0.5635024285714284</v>
      </c>
      <c r="G24" s="19"/>
      <c r="H24" s="10">
        <f t="shared" si="5"/>
        <v>2.7840489879185814E-2</v>
      </c>
      <c r="I24" s="10">
        <f t="shared" si="5"/>
        <v>5.3616014435118493E-2</v>
      </c>
      <c r="J24" s="10">
        <f t="shared" si="2"/>
        <v>1.7917887962440766E-2</v>
      </c>
      <c r="K24" s="10">
        <f t="shared" si="3"/>
        <v>-5.6595435931287817E-3</v>
      </c>
      <c r="L24" s="20"/>
      <c r="M24" s="10">
        <f t="shared" si="4"/>
        <v>0.3271596339739623</v>
      </c>
      <c r="N24" s="10">
        <f t="shared" si="0"/>
        <v>1.3870228754820764</v>
      </c>
    </row>
    <row r="25" spans="1:14" x14ac:dyDescent="0.3">
      <c r="A25" s="8">
        <v>1970</v>
      </c>
      <c r="B25" s="10">
        <f>data!Z25</f>
        <v>2.3420299999999998</v>
      </c>
      <c r="C25" s="10">
        <f>data!AC25</f>
        <v>2.6910400000000001</v>
      </c>
      <c r="D25" s="10">
        <f>data!AF25</f>
        <v>1.20566</v>
      </c>
      <c r="E25" s="19"/>
      <c r="F25" s="10">
        <f t="shared" si="1"/>
        <v>0.5635024285714284</v>
      </c>
      <c r="G25" s="19"/>
      <c r="H25" s="10">
        <f t="shared" si="5"/>
        <v>-2.5275322570497534E-2</v>
      </c>
      <c r="I25" s="10">
        <f t="shared" si="5"/>
        <v>4.2557029354007771E-2</v>
      </c>
      <c r="J25" s="10">
        <f t="shared" si="2"/>
        <v>-5.3626221179731669E-2</v>
      </c>
      <c r="K25" s="10">
        <f t="shared" si="3"/>
        <v>-1.3632856660848996E-2</v>
      </c>
      <c r="L25" s="20"/>
      <c r="M25" s="10">
        <f t="shared" si="4"/>
        <v>0.31352677731311329</v>
      </c>
      <c r="N25" s="10">
        <f t="shared" si="0"/>
        <v>1.3682421001184064</v>
      </c>
    </row>
    <row r="26" spans="1:14" x14ac:dyDescent="0.3">
      <c r="A26" s="8">
        <v>1971</v>
      </c>
      <c r="B26" s="10">
        <f>data!Z26</f>
        <v>2.4110800000000001</v>
      </c>
      <c r="C26" s="10">
        <f>data!AC26</f>
        <v>2.8003300000000002</v>
      </c>
      <c r="D26" s="10">
        <f>data!AF26</f>
        <v>1.17838</v>
      </c>
      <c r="E26" s="19"/>
      <c r="F26" s="10">
        <f t="shared" si="1"/>
        <v>0.5635024285714284</v>
      </c>
      <c r="G26" s="19"/>
      <c r="H26" s="10">
        <f t="shared" si="5"/>
        <v>2.9056705243182202E-2</v>
      </c>
      <c r="I26" s="10">
        <f t="shared" si="5"/>
        <v>3.9809531382422429E-2</v>
      </c>
      <c r="J26" s="10">
        <f t="shared" si="2"/>
        <v>-2.2886520985666552E-2</v>
      </c>
      <c r="K26" s="10">
        <f t="shared" si="3"/>
        <v>2.4576551632019369E-2</v>
      </c>
      <c r="L26" s="20"/>
      <c r="M26" s="10">
        <f t="shared" si="4"/>
        <v>0.33810332894513268</v>
      </c>
      <c r="N26" s="10">
        <f t="shared" si="0"/>
        <v>1.4022853925899597</v>
      </c>
    </row>
    <row r="27" spans="1:14" x14ac:dyDescent="0.3">
      <c r="A27" s="8">
        <v>1972</v>
      </c>
      <c r="B27" s="10">
        <f>data!Z27</f>
        <v>2.5701100000000001</v>
      </c>
      <c r="C27" s="10">
        <f>data!AC27</f>
        <v>2.8997099999999998</v>
      </c>
      <c r="D27" s="10">
        <f>data!AF27</f>
        <v>1.2160599999999999</v>
      </c>
      <c r="E27" s="19"/>
      <c r="F27" s="10">
        <f t="shared" si="1"/>
        <v>0.5635024285714284</v>
      </c>
      <c r="G27" s="19"/>
      <c r="H27" s="10">
        <f t="shared" si="5"/>
        <v>6.3873919646447383E-2</v>
      </c>
      <c r="I27" s="10">
        <f t="shared" si="5"/>
        <v>3.4873464612686811E-2</v>
      </c>
      <c r="J27" s="10">
        <f t="shared" si="2"/>
        <v>3.1475510575350543E-2</v>
      </c>
      <c r="K27" s="10">
        <f t="shared" si="3"/>
        <v>3.0915210385973651E-2</v>
      </c>
      <c r="L27" s="20"/>
      <c r="M27" s="10">
        <f t="shared" si="4"/>
        <v>0.36901853933110634</v>
      </c>
      <c r="N27" s="10">
        <f t="shared" si="0"/>
        <v>1.4463144171280502</v>
      </c>
    </row>
    <row r="28" spans="1:14" x14ac:dyDescent="0.3">
      <c r="A28" s="8">
        <v>1973</v>
      </c>
      <c r="B28" s="10">
        <f>data!Z28</f>
        <v>2.72255</v>
      </c>
      <c r="C28" s="10">
        <f>data!AC28</f>
        <v>3.0202300000000002</v>
      </c>
      <c r="D28" s="10">
        <f>data!AF28</f>
        <v>1.2814000000000001</v>
      </c>
      <c r="E28" s="19"/>
      <c r="F28" s="10">
        <f t="shared" si="1"/>
        <v>0.5635024285714284</v>
      </c>
      <c r="G28" s="19"/>
      <c r="H28" s="10">
        <f t="shared" si="5"/>
        <v>5.7620241581657954E-2</v>
      </c>
      <c r="I28" s="10">
        <f t="shared" si="5"/>
        <v>4.0722255435135968E-2</v>
      </c>
      <c r="J28" s="10">
        <f t="shared" si="2"/>
        <v>5.233710579082744E-2</v>
      </c>
      <c r="K28" s="10">
        <f t="shared" si="3"/>
        <v>1.035298976359612E-2</v>
      </c>
      <c r="L28" s="20"/>
      <c r="M28" s="10">
        <f t="shared" si="4"/>
        <v>0.37937152909470245</v>
      </c>
      <c r="N28" s="10">
        <f t="shared" si="0"/>
        <v>1.4613658748374365</v>
      </c>
    </row>
    <row r="29" spans="1:14" x14ac:dyDescent="0.3">
      <c r="A29" s="8">
        <v>1974</v>
      </c>
      <c r="B29" s="10">
        <f>data!Z29</f>
        <v>2.5641699999999998</v>
      </c>
      <c r="C29" s="10">
        <f>data!AC29</f>
        <v>3.1576399999999998</v>
      </c>
      <c r="D29" s="10">
        <f>data!AF29</f>
        <v>1.2593799999999999</v>
      </c>
      <c r="E29" s="19"/>
      <c r="F29" s="10">
        <f t="shared" si="1"/>
        <v>0.5635024285714284</v>
      </c>
      <c r="G29" s="19"/>
      <c r="H29" s="10">
        <f t="shared" si="5"/>
        <v>-5.9934101616640277E-2</v>
      </c>
      <c r="I29" s="10">
        <f t="shared" si="5"/>
        <v>4.4491925708032225E-2</v>
      </c>
      <c r="J29" s="10">
        <f t="shared" si="2"/>
        <v>-1.7333693854429729E-2</v>
      </c>
      <c r="K29" s="10">
        <f t="shared" si="3"/>
        <v>-6.9587140553291973E-2</v>
      </c>
      <c r="L29" s="20"/>
      <c r="M29" s="10">
        <f t="shared" si="4"/>
        <v>0.30978438854141049</v>
      </c>
      <c r="N29" s="10">
        <f t="shared" si="0"/>
        <v>1.3631311757440232</v>
      </c>
    </row>
    <row r="30" spans="1:14" x14ac:dyDescent="0.3">
      <c r="A30" s="8">
        <v>1975</v>
      </c>
      <c r="B30" s="10">
        <f>data!Z30</f>
        <v>2.4448400000000001</v>
      </c>
      <c r="C30" s="10">
        <f>data!AC30</f>
        <v>3.2863000000000002</v>
      </c>
      <c r="D30" s="10">
        <f>data!AF30</f>
        <v>1.1641699999999999</v>
      </c>
      <c r="E30" s="19"/>
      <c r="F30" s="10">
        <f t="shared" si="1"/>
        <v>0.5635024285714284</v>
      </c>
      <c r="G30" s="19"/>
      <c r="H30" s="10">
        <f t="shared" si="5"/>
        <v>-4.7655158399840997E-2</v>
      </c>
      <c r="I30" s="10">
        <f t="shared" si="5"/>
        <v>3.9937398721557903E-2</v>
      </c>
      <c r="J30" s="10">
        <f t="shared" si="2"/>
        <v>-7.8611149613129677E-2</v>
      </c>
      <c r="K30" s="10">
        <f t="shared" si="3"/>
        <v>-2.0790162231185079E-2</v>
      </c>
      <c r="L30" s="20"/>
      <c r="M30" s="10">
        <f t="shared" si="4"/>
        <v>0.28899422631022542</v>
      </c>
      <c r="N30" s="10">
        <f t="shared" si="0"/>
        <v>1.3350840201453003</v>
      </c>
    </row>
    <row r="31" spans="1:14" x14ac:dyDescent="0.3">
      <c r="A31" s="8">
        <v>1976</v>
      </c>
      <c r="B31" s="10">
        <f>data!Z31</f>
        <v>2.621</v>
      </c>
      <c r="C31" s="10">
        <f>data!AC31</f>
        <v>3.40232</v>
      </c>
      <c r="D31" s="10">
        <f>data!AF31</f>
        <v>1.2079500000000001</v>
      </c>
      <c r="E31" s="19"/>
      <c r="F31" s="10">
        <f t="shared" si="1"/>
        <v>0.5635024285714284</v>
      </c>
      <c r="G31" s="19"/>
      <c r="H31" s="10">
        <f t="shared" si="5"/>
        <v>6.9576243228504281E-2</v>
      </c>
      <c r="I31" s="10">
        <f t="shared" si="5"/>
        <v>3.469524000955139E-2</v>
      </c>
      <c r="J31" s="10">
        <f t="shared" si="2"/>
        <v>3.69163211723018E-2</v>
      </c>
      <c r="K31" s="10">
        <f t="shared" si="3"/>
        <v>3.3629418589688778E-2</v>
      </c>
      <c r="L31" s="20"/>
      <c r="M31" s="10">
        <f t="shared" si="4"/>
        <v>0.32262364489991419</v>
      </c>
      <c r="N31" s="10">
        <f t="shared" si="0"/>
        <v>1.3807456024573694</v>
      </c>
    </row>
    <row r="32" spans="1:14" x14ac:dyDescent="0.3">
      <c r="A32" s="8">
        <v>1977</v>
      </c>
      <c r="B32" s="10">
        <f>data!Z32</f>
        <v>2.7403599999999999</v>
      </c>
      <c r="C32" s="10">
        <f>data!AC32</f>
        <v>3.5186299999999999</v>
      </c>
      <c r="D32" s="10">
        <f>data!AF32</f>
        <v>1.26125</v>
      </c>
      <c r="E32" s="19"/>
      <c r="F32" s="10">
        <f t="shared" si="1"/>
        <v>0.5635024285714284</v>
      </c>
      <c r="G32" s="19"/>
      <c r="H32" s="10">
        <f t="shared" si="5"/>
        <v>4.4533374289525758E-2</v>
      </c>
      <c r="I32" s="10">
        <f t="shared" si="5"/>
        <v>3.3614157438431699E-2</v>
      </c>
      <c r="J32" s="10">
        <f t="shared" si="2"/>
        <v>4.3178584758155086E-2</v>
      </c>
      <c r="K32" s="10">
        <f t="shared" si="3"/>
        <v>5.5296388285350113E-3</v>
      </c>
      <c r="L32" s="20"/>
      <c r="M32" s="10">
        <f t="shared" si="4"/>
        <v>0.32815328372844921</v>
      </c>
      <c r="N32" s="10">
        <f t="shared" si="0"/>
        <v>1.3884017753800859</v>
      </c>
    </row>
    <row r="33" spans="1:14" x14ac:dyDescent="0.3">
      <c r="A33" s="8">
        <v>1978</v>
      </c>
      <c r="B33" s="10">
        <f>data!Z33</f>
        <v>2.8520500000000002</v>
      </c>
      <c r="C33" s="10">
        <f>data!AC33</f>
        <v>3.6835</v>
      </c>
      <c r="D33" s="10">
        <f>data!AF33</f>
        <v>1.33036</v>
      </c>
      <c r="E33" s="19"/>
      <c r="F33" s="10">
        <f t="shared" si="1"/>
        <v>0.5635024285714284</v>
      </c>
      <c r="G33" s="19"/>
      <c r="H33" s="10">
        <f t="shared" si="5"/>
        <v>3.9948735324380966E-2</v>
      </c>
      <c r="I33" s="10">
        <f t="shared" si="5"/>
        <v>4.5791677835927212E-2</v>
      </c>
      <c r="J33" s="10">
        <f t="shared" si="2"/>
        <v>5.3346289613383405E-2</v>
      </c>
      <c r="K33" s="10">
        <f t="shared" si="3"/>
        <v>-1.0099984595057124E-2</v>
      </c>
      <c r="L33" s="20"/>
      <c r="M33" s="10">
        <f t="shared" si="4"/>
        <v>0.31805329913339209</v>
      </c>
      <c r="N33" s="10">
        <f t="shared" si="0"/>
        <v>1.3744495162434365</v>
      </c>
    </row>
    <row r="34" spans="1:14" x14ac:dyDescent="0.3">
      <c r="A34" s="8">
        <v>1979</v>
      </c>
      <c r="B34" s="10">
        <f>data!Z34</f>
        <v>2.8714599999999999</v>
      </c>
      <c r="C34" s="10">
        <f>data!AC34</f>
        <v>3.8551700000000002</v>
      </c>
      <c r="D34" s="10">
        <f>data!AF34</f>
        <v>1.3723099999999999</v>
      </c>
      <c r="E34" s="19"/>
      <c r="F34" s="10">
        <f t="shared" si="1"/>
        <v>0.5635024285714284</v>
      </c>
      <c r="G34" s="19"/>
      <c r="H34" s="10">
        <f t="shared" si="5"/>
        <v>6.7825772682736018E-3</v>
      </c>
      <c r="I34" s="10">
        <f t="shared" si="5"/>
        <v>4.5551717475529656E-2</v>
      </c>
      <c r="J34" s="10">
        <f t="shared" si="2"/>
        <v>3.1045869004197344E-2</v>
      </c>
      <c r="K34" s="10">
        <f t="shared" si="3"/>
        <v>-3.0595059365171155E-2</v>
      </c>
      <c r="L34" s="20"/>
      <c r="M34" s="10">
        <f t="shared" si="4"/>
        <v>0.28745823976822094</v>
      </c>
      <c r="N34" s="10">
        <f t="shared" si="0"/>
        <v>1.3330349231534748</v>
      </c>
    </row>
    <row r="35" spans="1:14" x14ac:dyDescent="0.3">
      <c r="A35" s="8">
        <v>1980</v>
      </c>
      <c r="B35" s="10">
        <f>data!Z35</f>
        <v>2.7331599999999998</v>
      </c>
      <c r="C35" s="10">
        <f>data!AC35</f>
        <v>4.0397699999999999</v>
      </c>
      <c r="D35" s="10">
        <f>data!AF35</f>
        <v>1.32013</v>
      </c>
      <c r="E35" s="19"/>
      <c r="F35" s="10">
        <f t="shared" si="1"/>
        <v>0.5635024285714284</v>
      </c>
      <c r="G35" s="19"/>
      <c r="H35" s="10">
        <f t="shared" si="5"/>
        <v>-4.9362162266291101E-2</v>
      </c>
      <c r="I35" s="10">
        <f t="shared" si="5"/>
        <v>4.6772655043115126E-2</v>
      </c>
      <c r="J35" s="10">
        <f t="shared" si="2"/>
        <v>-3.8765234705812279E-2</v>
      </c>
      <c r="K35" s="10">
        <f t="shared" si="3"/>
        <v>-4.7934008701010541E-2</v>
      </c>
      <c r="L35" s="20"/>
      <c r="M35" s="10">
        <f t="shared" si="4"/>
        <v>0.23952423106721038</v>
      </c>
      <c r="N35" s="10">
        <f t="shared" si="0"/>
        <v>1.2706444733245172</v>
      </c>
    </row>
    <row r="36" spans="1:14" x14ac:dyDescent="0.3">
      <c r="A36" s="8">
        <v>1981</v>
      </c>
      <c r="B36" s="10">
        <f>data!Z36</f>
        <v>2.7829700000000002</v>
      </c>
      <c r="C36" s="10">
        <f>data!AC36</f>
        <v>4.1842600000000001</v>
      </c>
      <c r="D36" s="10">
        <f>data!AF36</f>
        <v>1.32179</v>
      </c>
      <c r="E36" s="19"/>
      <c r="F36" s="10">
        <f t="shared" si="1"/>
        <v>0.5635024285714284</v>
      </c>
      <c r="G36" s="19"/>
      <c r="H36" s="10">
        <f t="shared" si="5"/>
        <v>1.8060253794393799E-2</v>
      </c>
      <c r="I36" s="10">
        <f t="shared" si="5"/>
        <v>3.5142106663939097E-2</v>
      </c>
      <c r="J36" s="10">
        <f t="shared" si="2"/>
        <v>1.2566619870819362E-3</v>
      </c>
      <c r="K36" s="10">
        <f t="shared" si="3"/>
        <v>2.0126774990864935E-3</v>
      </c>
      <c r="L36" s="20"/>
      <c r="M36" s="10">
        <f t="shared" si="4"/>
        <v>0.24153690856629687</v>
      </c>
      <c r="N36" s="10">
        <f t="shared" si="0"/>
        <v>1.273204446201043</v>
      </c>
    </row>
    <row r="37" spans="1:14" x14ac:dyDescent="0.3">
      <c r="A37" s="8">
        <v>1982</v>
      </c>
      <c r="B37" s="10">
        <f>data!Z37</f>
        <v>2.6431900000000002</v>
      </c>
      <c r="C37" s="10">
        <f>data!AC37</f>
        <v>4.3826499999999999</v>
      </c>
      <c r="D37" s="10">
        <f>data!AF37</f>
        <v>1.2284600000000001</v>
      </c>
      <c r="E37" s="19"/>
      <c r="F37" s="10">
        <f t="shared" si="1"/>
        <v>0.5635024285714284</v>
      </c>
      <c r="G37" s="19"/>
      <c r="H37" s="10">
        <f t="shared" si="5"/>
        <v>-5.1532181707165114E-2</v>
      </c>
      <c r="I37" s="10">
        <f t="shared" si="5"/>
        <v>4.6323697943566722E-2</v>
      </c>
      <c r="J37" s="10">
        <f t="shared" si="2"/>
        <v>-7.3225526168084684E-2</v>
      </c>
      <c r="K37" s="10">
        <f t="shared" si="3"/>
        <v>-3.0489601529986303E-2</v>
      </c>
      <c r="L37" s="20"/>
      <c r="M37" s="10">
        <f t="shared" si="4"/>
        <v>0.21104730703631056</v>
      </c>
      <c r="N37" s="10">
        <f t="shared" si="0"/>
        <v>1.2349707764868769</v>
      </c>
    </row>
    <row r="38" spans="1:14" x14ac:dyDescent="0.3">
      <c r="A38" s="8">
        <v>1983</v>
      </c>
      <c r="B38" s="10">
        <f>data!Z38</f>
        <v>2.75786</v>
      </c>
      <c r="C38" s="10">
        <f>data!AC38</f>
        <v>4.5598299999999998</v>
      </c>
      <c r="D38" s="10">
        <f>data!AF38</f>
        <v>1.2419</v>
      </c>
      <c r="E38" s="19"/>
      <c r="F38" s="10">
        <f t="shared" si="1"/>
        <v>0.5635024285714284</v>
      </c>
      <c r="G38" s="19"/>
      <c r="H38" s="10">
        <f t="shared" ref="H38:J69" si="6">LN(B38/B37)</f>
        <v>4.2468495616998593E-2</v>
      </c>
      <c r="I38" s="10">
        <f t="shared" si="6"/>
        <v>3.9631777862715829E-2</v>
      </c>
      <c r="J38" s="10">
        <f t="shared" si="2"/>
        <v>1.0881112555402287E-2</v>
      </c>
      <c r="K38" s="10">
        <f t="shared" si="3"/>
        <v>1.9037787477998256E-2</v>
      </c>
      <c r="L38" s="20"/>
      <c r="M38" s="10">
        <f t="shared" si="4"/>
        <v>0.23008509451430881</v>
      </c>
      <c r="N38" s="10">
        <f t="shared" si="0"/>
        <v>1.2587071144429705</v>
      </c>
    </row>
    <row r="39" spans="1:14" x14ac:dyDescent="0.3">
      <c r="A39" s="8">
        <v>1984</v>
      </c>
      <c r="B39" s="10">
        <f>data!Z39</f>
        <v>3.03254</v>
      </c>
      <c r="C39" s="10">
        <f>data!AC39</f>
        <v>4.6733399999999996</v>
      </c>
      <c r="D39" s="10">
        <f>data!AF39</f>
        <v>1.3339000000000001</v>
      </c>
      <c r="E39" s="19"/>
      <c r="F39" s="10">
        <f t="shared" si="1"/>
        <v>0.5635024285714284</v>
      </c>
      <c r="G39" s="19"/>
      <c r="H39" s="10">
        <f t="shared" si="6"/>
        <v>9.4945535524622593E-2</v>
      </c>
      <c r="I39" s="10">
        <f t="shared" si="6"/>
        <v>2.4588677341242572E-2</v>
      </c>
      <c r="J39" s="10">
        <f t="shared" si="2"/>
        <v>7.1464517193011529E-2</v>
      </c>
      <c r="K39" s="10">
        <f t="shared" si="3"/>
        <v>4.394220858558287E-2</v>
      </c>
      <c r="L39" s="20"/>
      <c r="M39" s="10">
        <f t="shared" si="4"/>
        <v>0.27402730309989165</v>
      </c>
      <c r="N39" s="10">
        <f t="shared" si="0"/>
        <v>1.3152507121700729</v>
      </c>
    </row>
    <row r="40" spans="1:14" x14ac:dyDescent="0.3">
      <c r="A40" s="8">
        <v>1985</v>
      </c>
      <c r="B40" s="10">
        <f>data!Z40</f>
        <v>3.1846999999999999</v>
      </c>
      <c r="C40" s="10">
        <f>data!AC40</f>
        <v>4.8268800000000001</v>
      </c>
      <c r="D40" s="10">
        <f>data!AF40</f>
        <v>1.3505499999999999</v>
      </c>
      <c r="E40" s="19"/>
      <c r="F40" s="10">
        <f t="shared" si="1"/>
        <v>0.5635024285714284</v>
      </c>
      <c r="G40" s="19"/>
      <c r="H40" s="10">
        <f t="shared" si="6"/>
        <v>4.8957540879055357E-2</v>
      </c>
      <c r="I40" s="10">
        <f t="shared" si="6"/>
        <v>3.2326276736905676E-2</v>
      </c>
      <c r="J40" s="10">
        <f t="shared" si="2"/>
        <v>1.240493472501996E-2</v>
      </c>
      <c r="K40" s="10">
        <f t="shared" si="3"/>
        <v>2.7856988746249308E-2</v>
      </c>
      <c r="L40" s="20"/>
      <c r="M40" s="10">
        <f t="shared" si="4"/>
        <v>0.30188429184614096</v>
      </c>
      <c r="N40" s="10">
        <f t="shared" si="0"/>
        <v>1.3524047334009088</v>
      </c>
    </row>
    <row r="41" spans="1:14" x14ac:dyDescent="0.3">
      <c r="A41" s="8">
        <v>1986</v>
      </c>
      <c r="B41" s="10">
        <f>data!Z41</f>
        <v>3.2635100000000001</v>
      </c>
      <c r="C41" s="10">
        <f>data!AC41</f>
        <v>4.9581499999999998</v>
      </c>
      <c r="D41" s="10">
        <f>data!AF41</f>
        <v>1.32504</v>
      </c>
      <c r="E41" s="19"/>
      <c r="F41" s="10">
        <f t="shared" si="1"/>
        <v>0.5635024285714284</v>
      </c>
      <c r="G41" s="19"/>
      <c r="H41" s="10">
        <f t="shared" si="6"/>
        <v>2.4445210218259673E-2</v>
      </c>
      <c r="I41" s="10">
        <f t="shared" si="6"/>
        <v>2.683239108233753E-2</v>
      </c>
      <c r="J41" s="10">
        <f t="shared" si="2"/>
        <v>-1.9069269228119561E-2</v>
      </c>
      <c r="K41" s="10">
        <f t="shared" si="3"/>
        <v>2.3478516196325461E-2</v>
      </c>
      <c r="L41" s="20"/>
      <c r="M41" s="10">
        <f t="shared" si="4"/>
        <v>0.32536280804246642</v>
      </c>
      <c r="N41" s="10">
        <f t="shared" si="0"/>
        <v>1.3845328745309029</v>
      </c>
    </row>
    <row r="42" spans="1:14" x14ac:dyDescent="0.3">
      <c r="A42" s="8">
        <v>1987</v>
      </c>
      <c r="B42" s="10">
        <f>data!Z42</f>
        <v>3.4411999999999998</v>
      </c>
      <c r="C42" s="10">
        <f>data!AC42</f>
        <v>5.0682700000000001</v>
      </c>
      <c r="D42" s="10">
        <f>data!AF42</f>
        <v>1.3492999999999999</v>
      </c>
      <c r="E42" s="19"/>
      <c r="F42" s="10">
        <f t="shared" si="1"/>
        <v>0.5635024285714284</v>
      </c>
      <c r="G42" s="19"/>
      <c r="H42" s="10">
        <f t="shared" si="6"/>
        <v>5.3016944481732685E-2</v>
      </c>
      <c r="I42" s="10">
        <f t="shared" si="6"/>
        <v>2.1966849203550517E-2</v>
      </c>
      <c r="J42" s="10">
        <f t="shared" si="2"/>
        <v>1.8143291792842773E-2</v>
      </c>
      <c r="K42" s="10">
        <f t="shared" si="3"/>
        <v>3.3204679164898269E-2</v>
      </c>
      <c r="L42" s="20"/>
      <c r="M42" s="10">
        <f t="shared" si="4"/>
        <v>0.3585674872073647</v>
      </c>
      <c r="N42" s="10">
        <f t="shared" si="0"/>
        <v>1.4312776217984842</v>
      </c>
    </row>
    <row r="43" spans="1:14" x14ac:dyDescent="0.3">
      <c r="A43" s="8">
        <v>1988</v>
      </c>
      <c r="B43" s="10">
        <f>data!Z43</f>
        <v>3.5917599999999998</v>
      </c>
      <c r="C43" s="10">
        <f>data!AC43</f>
        <v>5.0646699999999996</v>
      </c>
      <c r="D43" s="10">
        <f>data!AF43</f>
        <v>1.4036599999999999</v>
      </c>
      <c r="E43" s="19"/>
      <c r="F43" s="10">
        <f t="shared" si="1"/>
        <v>0.5635024285714284</v>
      </c>
      <c r="G43" s="19"/>
      <c r="H43" s="10">
        <f t="shared" si="6"/>
        <v>4.2822085297899742E-2</v>
      </c>
      <c r="I43" s="10">
        <f t="shared" si="6"/>
        <v>-7.1055392639576603E-4</v>
      </c>
      <c r="J43" s="10">
        <f t="shared" si="2"/>
        <v>3.9497171580112643E-2</v>
      </c>
      <c r="K43" s="10">
        <f t="shared" si="3"/>
        <v>2.0875488254044654E-2</v>
      </c>
      <c r="L43" s="20"/>
      <c r="M43" s="10">
        <f t="shared" si="4"/>
        <v>0.37944297546140937</v>
      </c>
      <c r="N43" s="10">
        <f t="shared" si="0"/>
        <v>1.4614702878495438</v>
      </c>
    </row>
    <row r="44" spans="1:14" x14ac:dyDescent="0.3">
      <c r="A44" s="8">
        <v>1989</v>
      </c>
      <c r="B44" s="10">
        <f>data!Z44</f>
        <v>3.6445699999999999</v>
      </c>
      <c r="C44" s="10">
        <f>data!AC44</f>
        <v>5.149</v>
      </c>
      <c r="D44" s="10">
        <f>data!AF44</f>
        <v>1.4126399999999999</v>
      </c>
      <c r="E44" s="19"/>
      <c r="F44" s="10">
        <f t="shared" si="1"/>
        <v>0.5635024285714284</v>
      </c>
      <c r="G44" s="19"/>
      <c r="H44" s="10">
        <f t="shared" si="6"/>
        <v>1.4596055617005358E-2</v>
      </c>
      <c r="I44" s="10">
        <f t="shared" si="6"/>
        <v>1.6513538496766109E-2</v>
      </c>
      <c r="J44" s="10">
        <f t="shared" si="2"/>
        <v>6.3771831364181188E-3</v>
      </c>
      <c r="K44" s="10">
        <f t="shared" si="3"/>
        <v>3.7943779826583586E-3</v>
      </c>
      <c r="L44" s="20"/>
      <c r="M44" s="10">
        <f t="shared" si="4"/>
        <v>0.38323735344406773</v>
      </c>
      <c r="N44" s="10">
        <f t="shared" si="0"/>
        <v>1.4670261924673114</v>
      </c>
    </row>
    <row r="45" spans="1:14" x14ac:dyDescent="0.3">
      <c r="A45" s="8">
        <v>1990</v>
      </c>
      <c r="B45" s="10">
        <f>data!Z45</f>
        <v>3.6505100000000001</v>
      </c>
      <c r="C45" s="10">
        <f>data!AC45</f>
        <v>5.2593199999999998</v>
      </c>
      <c r="D45" s="10">
        <f>data!AF45</f>
        <v>1.40269</v>
      </c>
      <c r="E45" s="19"/>
      <c r="F45" s="10">
        <f t="shared" si="1"/>
        <v>0.5635024285714284</v>
      </c>
      <c r="G45" s="19"/>
      <c r="H45" s="10">
        <f t="shared" si="6"/>
        <v>1.6284951810641682E-3</v>
      </c>
      <c r="I45" s="10">
        <f t="shared" si="6"/>
        <v>2.1199219762009346E-2</v>
      </c>
      <c r="J45" s="10">
        <f t="shared" si="2"/>
        <v>-7.068472561207309E-3</v>
      </c>
      <c r="K45" s="10">
        <f t="shared" si="3"/>
        <v>-3.6418113067026711E-3</v>
      </c>
      <c r="L45" s="20"/>
      <c r="M45" s="10">
        <f t="shared" si="4"/>
        <v>0.37959554213736507</v>
      </c>
      <c r="N45" s="10">
        <f t="shared" si="0"/>
        <v>1.4616932765232569</v>
      </c>
    </row>
    <row r="46" spans="1:14" x14ac:dyDescent="0.3">
      <c r="A46" s="8">
        <v>1991</v>
      </c>
      <c r="B46" s="10">
        <f>data!Z46</f>
        <v>3.58127</v>
      </c>
      <c r="C46" s="10">
        <f>data!AC46</f>
        <v>5.3583400000000001</v>
      </c>
      <c r="D46" s="10">
        <f>data!AF46</f>
        <v>1.3529100000000001</v>
      </c>
      <c r="E46" s="19"/>
      <c r="F46" s="10">
        <f t="shared" si="1"/>
        <v>0.5635024285714284</v>
      </c>
      <c r="G46" s="19"/>
      <c r="H46" s="10">
        <f t="shared" si="6"/>
        <v>-1.9149397753472824E-2</v>
      </c>
      <c r="I46" s="10">
        <f t="shared" si="6"/>
        <v>1.8652484796748404E-2</v>
      </c>
      <c r="J46" s="10">
        <f t="shared" si="2"/>
        <v>-3.613399348076015E-2</v>
      </c>
      <c r="K46" s="10">
        <f t="shared" si="3"/>
        <v>-6.9295689879693527E-3</v>
      </c>
      <c r="L46" s="20"/>
      <c r="M46" s="10">
        <f t="shared" si="4"/>
        <v>0.3726659731493957</v>
      </c>
      <c r="N46" s="10">
        <f t="shared" si="0"/>
        <v>1.4515993856722935</v>
      </c>
    </row>
    <row r="47" spans="1:14" x14ac:dyDescent="0.3">
      <c r="A47" s="8">
        <v>1992</v>
      </c>
      <c r="B47" s="10">
        <f>data!Z47</f>
        <v>3.6973600000000002</v>
      </c>
      <c r="C47" s="10">
        <f>data!AC47</f>
        <v>5.4644500000000003</v>
      </c>
      <c r="D47" s="10">
        <f>data!AF47</f>
        <v>1.3496699999999999</v>
      </c>
      <c r="E47" s="19"/>
      <c r="F47" s="10">
        <f t="shared" si="1"/>
        <v>0.5635024285714284</v>
      </c>
      <c r="G47" s="19"/>
      <c r="H47" s="10">
        <f t="shared" si="6"/>
        <v>3.190156535719748E-2</v>
      </c>
      <c r="I47" s="10">
        <f t="shared" si="6"/>
        <v>1.9609250501992675E-2</v>
      </c>
      <c r="J47" s="10">
        <f t="shared" si="2"/>
        <v>-2.3977100046871E-3</v>
      </c>
      <c r="K47" s="10">
        <f t="shared" si="3"/>
        <v>2.4693290546194374E-2</v>
      </c>
      <c r="L47" s="20"/>
      <c r="M47" s="10">
        <f t="shared" si="4"/>
        <v>0.39735926369559005</v>
      </c>
      <c r="N47" s="10">
        <f t="shared" si="0"/>
        <v>1.4878903790377052</v>
      </c>
    </row>
    <row r="48" spans="1:14" x14ac:dyDescent="0.3">
      <c r="A48" s="8">
        <v>1993</v>
      </c>
      <c r="B48" s="10">
        <f>data!Z48</f>
        <v>3.7805200000000001</v>
      </c>
      <c r="C48" s="10">
        <f>data!AC48</f>
        <v>5.5819400000000003</v>
      </c>
      <c r="D48" s="10">
        <f>data!AF48</f>
        <v>1.3728400000000001</v>
      </c>
      <c r="E48" s="19"/>
      <c r="F48" s="10">
        <f t="shared" si="1"/>
        <v>0.5635024285714284</v>
      </c>
      <c r="G48" s="19"/>
      <c r="H48" s="10">
        <f t="shared" si="6"/>
        <v>2.224251484295928E-2</v>
      </c>
      <c r="I48" s="10">
        <f t="shared" si="6"/>
        <v>2.1272910096063618E-2</v>
      </c>
      <c r="J48" s="10">
        <f t="shared" si="2"/>
        <v>1.7021468731728027E-2</v>
      </c>
      <c r="K48" s="10">
        <f t="shared" si="3"/>
        <v>3.3653022806277941E-3</v>
      </c>
      <c r="L48" s="20"/>
      <c r="M48" s="10">
        <f t="shared" si="4"/>
        <v>0.40072456597621786</v>
      </c>
      <c r="N48" s="10">
        <f t="shared" si="0"/>
        <v>1.4929060147551505</v>
      </c>
    </row>
    <row r="49" spans="1:14" x14ac:dyDescent="0.3">
      <c r="A49" s="8">
        <v>1994</v>
      </c>
      <c r="B49" s="10">
        <f>data!Z49</f>
        <v>4.0222100000000003</v>
      </c>
      <c r="C49" s="10">
        <f>data!AC49</f>
        <v>5.7040800000000003</v>
      </c>
      <c r="D49" s="10">
        <f>data!AF49</f>
        <v>1.41401</v>
      </c>
      <c r="E49" s="19"/>
      <c r="F49" s="10">
        <f t="shared" si="1"/>
        <v>0.5635024285714284</v>
      </c>
      <c r="G49" s="19"/>
      <c r="H49" s="10">
        <f t="shared" si="6"/>
        <v>6.1969936509147068E-2</v>
      </c>
      <c r="I49" s="10">
        <f t="shared" si="6"/>
        <v>2.1645322038265309E-2</v>
      </c>
      <c r="J49" s="10">
        <f t="shared" si="2"/>
        <v>2.9548052728949798E-2</v>
      </c>
      <c r="K49" s="10">
        <f t="shared" si="3"/>
        <v>3.5871406534335092E-2</v>
      </c>
      <c r="L49" s="20"/>
      <c r="M49" s="10">
        <f t="shared" si="4"/>
        <v>0.43659597251055293</v>
      </c>
      <c r="N49" s="10">
        <f t="shared" si="0"/>
        <v>1.5474307461799424</v>
      </c>
    </row>
    <row r="50" spans="1:14" x14ac:dyDescent="0.3">
      <c r="A50" s="8">
        <v>1995</v>
      </c>
      <c r="B50" s="10">
        <f>data!Z50</f>
        <v>4.1044400000000003</v>
      </c>
      <c r="C50" s="10">
        <f>data!AC50</f>
        <v>5.87662</v>
      </c>
      <c r="D50" s="10">
        <f>data!AF50</f>
        <v>1.4318299999999999</v>
      </c>
      <c r="E50" s="19"/>
      <c r="F50" s="10">
        <f t="shared" si="1"/>
        <v>0.5635024285714284</v>
      </c>
      <c r="G50" s="19"/>
      <c r="H50" s="10">
        <f t="shared" si="6"/>
        <v>2.023781178039925E-2</v>
      </c>
      <c r="I50" s="10">
        <f t="shared" si="6"/>
        <v>2.9800058441412647E-2</v>
      </c>
      <c r="J50" s="10">
        <f t="shared" si="2"/>
        <v>1.2523706822303153E-2</v>
      </c>
      <c r="K50" s="10">
        <f t="shared" si="3"/>
        <v>1.7301943320873186E-4</v>
      </c>
      <c r="L50" s="20"/>
      <c r="M50" s="10">
        <f t="shared" si="4"/>
        <v>0.43676899194376168</v>
      </c>
      <c r="N50" s="10">
        <f t="shared" si="0"/>
        <v>1.547698504933642</v>
      </c>
    </row>
    <row r="51" spans="1:14" x14ac:dyDescent="0.3">
      <c r="A51" s="8">
        <v>1996</v>
      </c>
      <c r="B51" s="10">
        <f>data!Z51</f>
        <v>4.2611600000000003</v>
      </c>
      <c r="C51" s="10">
        <f>data!AC51</f>
        <v>6.0986000000000002</v>
      </c>
      <c r="D51" s="10">
        <f>data!AF51</f>
        <v>1.45495</v>
      </c>
      <c r="E51" s="19"/>
      <c r="F51" s="10">
        <f t="shared" si="1"/>
        <v>0.5635024285714284</v>
      </c>
      <c r="G51" s="19"/>
      <c r="H51" s="10">
        <f t="shared" si="6"/>
        <v>3.7472109086463229E-2</v>
      </c>
      <c r="I51" s="10">
        <f t="shared" si="6"/>
        <v>3.7077469941011194E-2</v>
      </c>
      <c r="J51" s="10">
        <f t="shared" si="2"/>
        <v>1.6018189364361068E-2</v>
      </c>
      <c r="K51" s="10">
        <f t="shared" si="3"/>
        <v>1.2261594894361492E-2</v>
      </c>
      <c r="L51" s="20"/>
      <c r="M51" s="10">
        <f t="shared" si="4"/>
        <v>0.44903058683812319</v>
      </c>
      <c r="N51" s="10">
        <f t="shared" si="0"/>
        <v>1.5667925796975566</v>
      </c>
    </row>
    <row r="52" spans="1:14" x14ac:dyDescent="0.3">
      <c r="A52" s="8">
        <v>1997</v>
      </c>
      <c r="B52" s="10">
        <f>data!Z52</f>
        <v>4.4793799999999999</v>
      </c>
      <c r="C52" s="10">
        <f>data!AC52</f>
        <v>6.3500699999999997</v>
      </c>
      <c r="D52" s="10">
        <f>data!AF52</f>
        <v>1.48705</v>
      </c>
      <c r="E52" s="19"/>
      <c r="F52" s="10">
        <f t="shared" si="1"/>
        <v>0.5635024285714284</v>
      </c>
      <c r="G52" s="19"/>
      <c r="H52" s="10">
        <f t="shared" si="6"/>
        <v>4.9943220308857179E-2</v>
      </c>
      <c r="I52" s="10">
        <f t="shared" si="6"/>
        <v>4.0406599824380024E-2</v>
      </c>
      <c r="J52" s="10">
        <f t="shared" si="2"/>
        <v>2.1822755888710656E-2</v>
      </c>
      <c r="K52" s="10">
        <f t="shared" si="3"/>
        <v>2.0008661674419261E-2</v>
      </c>
      <c r="L52" s="20"/>
      <c r="M52" s="10">
        <f t="shared" si="4"/>
        <v>0.46903924851254247</v>
      </c>
      <c r="N52" s="10">
        <f t="shared" si="0"/>
        <v>1.5984577346119333</v>
      </c>
    </row>
    <row r="53" spans="1:14" x14ac:dyDescent="0.3">
      <c r="A53" s="8">
        <v>1998</v>
      </c>
      <c r="B53" s="10">
        <f>data!Z53</f>
        <v>4.6318700000000002</v>
      </c>
      <c r="C53" s="10">
        <f>data!AC53</f>
        <v>6.6430400000000001</v>
      </c>
      <c r="D53" s="10">
        <f>data!AF53</f>
        <v>1.4984</v>
      </c>
      <c r="E53" s="19"/>
      <c r="F53" s="10">
        <f t="shared" si="1"/>
        <v>0.5635024285714284</v>
      </c>
      <c r="G53" s="19"/>
      <c r="H53" s="10">
        <f t="shared" si="6"/>
        <v>3.3476030253873933E-2</v>
      </c>
      <c r="I53" s="10">
        <f t="shared" si="6"/>
        <v>4.5103853574972319E-2</v>
      </c>
      <c r="J53" s="10">
        <f t="shared" si="2"/>
        <v>7.603580487208393E-3</v>
      </c>
      <c r="K53" s="10">
        <f t="shared" si="3"/>
        <v>9.5036716359483617E-3</v>
      </c>
      <c r="L53" s="20"/>
      <c r="M53" s="10">
        <f t="shared" si="4"/>
        <v>0.47854292014849081</v>
      </c>
      <c r="N53" s="10">
        <f t="shared" si="0"/>
        <v>1.6137213674389903</v>
      </c>
    </row>
    <row r="54" spans="1:14" x14ac:dyDescent="0.3">
      <c r="A54" s="8">
        <v>1999</v>
      </c>
      <c r="B54" s="10">
        <f>data!Z54</f>
        <v>4.8693400000000002</v>
      </c>
      <c r="C54" s="10">
        <f>data!AC54</f>
        <v>6.9041899999999998</v>
      </c>
      <c r="D54" s="10">
        <f>data!AF54</f>
        <v>1.51017</v>
      </c>
      <c r="E54" s="19"/>
      <c r="F54" s="10">
        <f t="shared" si="1"/>
        <v>0.5635024285714284</v>
      </c>
      <c r="G54" s="19"/>
      <c r="H54" s="10">
        <f t="shared" si="6"/>
        <v>4.9997730049930959E-2</v>
      </c>
      <c r="I54" s="10">
        <f t="shared" si="6"/>
        <v>3.8558783639690411E-2</v>
      </c>
      <c r="J54" s="10">
        <f t="shared" si="2"/>
        <v>7.8243551235824965E-3</v>
      </c>
      <c r="K54" s="10">
        <f t="shared" si="3"/>
        <v>2.8757871519822321E-2</v>
      </c>
      <c r="L54" s="20"/>
      <c r="M54" s="10">
        <f t="shared" si="4"/>
        <v>0.5073007916683131</v>
      </c>
      <c r="N54" s="10">
        <f t="shared" si="0"/>
        <v>1.660802288050661</v>
      </c>
    </row>
    <row r="55" spans="1:14" x14ac:dyDescent="0.3">
      <c r="A55" s="8">
        <v>2000</v>
      </c>
      <c r="B55" s="10">
        <f>data!Z55</f>
        <v>5.1124000000000001</v>
      </c>
      <c r="C55" s="10">
        <f>data!AC55</f>
        <v>7.0885800000000003</v>
      </c>
      <c r="D55" s="10">
        <f>data!AF55</f>
        <v>1.51519</v>
      </c>
      <c r="E55" s="19"/>
      <c r="F55" s="10">
        <f t="shared" si="1"/>
        <v>0.5635024285714284</v>
      </c>
      <c r="G55" s="19"/>
      <c r="H55" s="10">
        <f t="shared" si="6"/>
        <v>4.8710556979041635E-2</v>
      </c>
      <c r="I55" s="10">
        <f t="shared" si="6"/>
        <v>2.6356564716902876E-2</v>
      </c>
      <c r="J55" s="10">
        <f t="shared" si="2"/>
        <v>3.3186163677671569E-3</v>
      </c>
      <c r="K55" s="10">
        <f t="shared" si="3"/>
        <v>3.5335932106179864E-2</v>
      </c>
      <c r="L55" s="20"/>
      <c r="M55" s="10">
        <f t="shared" si="4"/>
        <v>0.54263672377449301</v>
      </c>
      <c r="N55" s="10">
        <f t="shared" si="0"/>
        <v>1.7205374686295885</v>
      </c>
    </row>
    <row r="56" spans="1:14" x14ac:dyDescent="0.3">
      <c r="A56" s="8">
        <v>2001</v>
      </c>
      <c r="B56" s="10">
        <f>data!Z56</f>
        <v>4.9205699999999997</v>
      </c>
      <c r="C56" s="10">
        <f>data!AC56</f>
        <v>7.2298600000000004</v>
      </c>
      <c r="D56" s="10">
        <f>data!AF56</f>
        <v>1.46811</v>
      </c>
      <c r="E56" s="19"/>
      <c r="F56" s="10">
        <f t="shared" si="1"/>
        <v>0.5635024285714284</v>
      </c>
      <c r="G56" s="19"/>
      <c r="H56" s="10">
        <f t="shared" si="6"/>
        <v>-3.8244583823185872E-2</v>
      </c>
      <c r="I56" s="10">
        <f t="shared" si="6"/>
        <v>1.9734633823637646E-2</v>
      </c>
      <c r="J56" s="10">
        <f t="shared" si="2"/>
        <v>-3.1564984373911607E-2</v>
      </c>
      <c r="K56" s="10">
        <f t="shared" si="3"/>
        <v>-2.9071758207717475E-2</v>
      </c>
      <c r="L56" s="20"/>
      <c r="M56" s="10">
        <f t="shared" si="4"/>
        <v>0.51356496556677556</v>
      </c>
      <c r="N56" s="10">
        <f t="shared" si="0"/>
        <v>1.6712384953764727</v>
      </c>
    </row>
    <row r="57" spans="1:14" x14ac:dyDescent="0.3">
      <c r="A57" s="8">
        <v>2002</v>
      </c>
      <c r="B57" s="10">
        <f>data!Z57</f>
        <v>4.9539499999999999</v>
      </c>
      <c r="C57" s="10">
        <f>data!AC57</f>
        <v>7.3315799999999998</v>
      </c>
      <c r="D57" s="10">
        <f>data!AF57</f>
        <v>1.40394</v>
      </c>
      <c r="E57" s="19"/>
      <c r="F57" s="10">
        <f t="shared" si="1"/>
        <v>0.5635024285714284</v>
      </c>
      <c r="G57" s="19"/>
      <c r="H57" s="10">
        <f t="shared" si="6"/>
        <v>6.7608607097389478E-3</v>
      </c>
      <c r="I57" s="10">
        <f t="shared" si="6"/>
        <v>1.3971372973236137E-2</v>
      </c>
      <c r="J57" s="10">
        <f t="shared" si="2"/>
        <v>-4.4693289617463383E-2</v>
      </c>
      <c r="K57" s="10">
        <f t="shared" si="3"/>
        <v>2.5847167577685418E-2</v>
      </c>
      <c r="L57" s="20"/>
      <c r="M57" s="10">
        <f t="shared" si="4"/>
        <v>0.53941213314446101</v>
      </c>
      <c r="N57" s="10">
        <f t="shared" si="0"/>
        <v>1.7149983750838165</v>
      </c>
    </row>
    <row r="58" spans="1:14" x14ac:dyDescent="0.3">
      <c r="A58" s="8">
        <v>2003</v>
      </c>
      <c r="B58" s="10">
        <f>data!Z58</f>
        <v>5.1064600000000002</v>
      </c>
      <c r="C58" s="10">
        <f>data!AC58</f>
        <v>7.38232</v>
      </c>
      <c r="D58" s="10">
        <f>data!AF58</f>
        <v>1.35686</v>
      </c>
      <c r="E58" s="19"/>
      <c r="F58" s="10">
        <f t="shared" si="1"/>
        <v>0.5635024285714284</v>
      </c>
      <c r="G58" s="19"/>
      <c r="H58" s="10">
        <f t="shared" si="6"/>
        <v>3.0321166689538298E-2</v>
      </c>
      <c r="I58" s="10">
        <f t="shared" si="6"/>
        <v>6.8969071599455853E-3</v>
      </c>
      <c r="J58" s="10">
        <f t="shared" si="2"/>
        <v>-3.4109362871852067E-2</v>
      </c>
      <c r="K58" s="10">
        <f t="shared" si="3"/>
        <v>4.6531392279166472E-2</v>
      </c>
      <c r="L58" s="20"/>
      <c r="M58" s="10">
        <f t="shared" si="4"/>
        <v>0.58594352542362749</v>
      </c>
      <c r="N58" s="10">
        <f t="shared" si="0"/>
        <v>1.7966854045079703</v>
      </c>
    </row>
    <row r="59" spans="1:14" x14ac:dyDescent="0.3">
      <c r="A59" s="8">
        <v>2004</v>
      </c>
      <c r="B59" s="10">
        <f>data!Z59</f>
        <v>5.3833299999999999</v>
      </c>
      <c r="C59" s="10">
        <f>data!AC59</f>
        <v>7.45322</v>
      </c>
      <c r="D59" s="10">
        <f>data!AF59</f>
        <v>1.37876</v>
      </c>
      <c r="E59" s="19"/>
      <c r="F59" s="10">
        <f t="shared" si="1"/>
        <v>0.5635024285714284</v>
      </c>
      <c r="G59" s="19"/>
      <c r="H59" s="10">
        <f t="shared" si="6"/>
        <v>5.2800736953803953E-2</v>
      </c>
      <c r="I59" s="10">
        <f t="shared" si="6"/>
        <v>9.5582014243997329E-3</v>
      </c>
      <c r="J59" s="10">
        <f t="shared" si="2"/>
        <v>1.6011337729917977E-2</v>
      </c>
      <c r="K59" s="10">
        <f t="shared" si="3"/>
        <v>3.9606177549342238E-2</v>
      </c>
      <c r="L59" s="20"/>
      <c r="M59" s="10">
        <f t="shared" si="4"/>
        <v>0.62554970297296975</v>
      </c>
      <c r="N59" s="10">
        <f t="shared" si="0"/>
        <v>1.8692732201080675</v>
      </c>
    </row>
    <row r="60" spans="1:14" x14ac:dyDescent="0.3">
      <c r="A60" s="8">
        <v>2005</v>
      </c>
      <c r="B60" s="10">
        <f>data!Z60</f>
        <v>5.4302999999999999</v>
      </c>
      <c r="C60" s="10">
        <f>data!AC60</f>
        <v>7.5717299999999996</v>
      </c>
      <c r="D60" s="10">
        <f>data!AF60</f>
        <v>1.4021999999999999</v>
      </c>
      <c r="E60" s="19"/>
      <c r="F60" s="10">
        <f t="shared" si="1"/>
        <v>0.5635024285714284</v>
      </c>
      <c r="G60" s="19"/>
      <c r="H60" s="10">
        <f t="shared" si="6"/>
        <v>8.6872392331620602E-3</v>
      </c>
      <c r="I60" s="10">
        <f t="shared" si="6"/>
        <v>1.577542124644107E-2</v>
      </c>
      <c r="J60" s="10">
        <f t="shared" si="2"/>
        <v>1.6857887284947935E-2</v>
      </c>
      <c r="K60" s="10">
        <f t="shared" si="3"/>
        <v>-7.6981542548237225E-3</v>
      </c>
      <c r="L60" s="20"/>
      <c r="M60" s="10">
        <f t="shared" si="4"/>
        <v>0.61785154871814607</v>
      </c>
      <c r="N60" s="10">
        <f t="shared" si="0"/>
        <v>1.8549385127010527</v>
      </c>
    </row>
    <row r="61" spans="1:14" x14ac:dyDescent="0.3">
      <c r="A61" s="8">
        <v>2006</v>
      </c>
      <c r="B61" s="10">
        <f>data!Z61</f>
        <v>5.6408199999999997</v>
      </c>
      <c r="C61" s="10">
        <f>data!AC61</f>
        <v>7.7608899999999998</v>
      </c>
      <c r="D61" s="10">
        <f>data!AF61</f>
        <v>1.4398299999999999</v>
      </c>
      <c r="E61" s="19"/>
      <c r="F61" s="10">
        <f t="shared" si="1"/>
        <v>0.5635024285714284</v>
      </c>
      <c r="G61" s="19"/>
      <c r="H61" s="10">
        <f t="shared" si="6"/>
        <v>3.8035063974297574E-2</v>
      </c>
      <c r="I61" s="10">
        <f t="shared" si="6"/>
        <v>2.4675443315185324E-2</v>
      </c>
      <c r="J61" s="10">
        <f t="shared" si="2"/>
        <v>2.648261927251792E-2</v>
      </c>
      <c r="K61" s="10">
        <f t="shared" si="3"/>
        <v>1.2341272618299438E-2</v>
      </c>
      <c r="L61" s="20"/>
      <c r="M61" s="10">
        <f t="shared" si="4"/>
        <v>0.6301928213364455</v>
      </c>
      <c r="N61" s="10">
        <f t="shared" si="0"/>
        <v>1.877972657552649</v>
      </c>
    </row>
    <row r="62" spans="1:14" x14ac:dyDescent="0.3">
      <c r="A62" s="8">
        <v>2007</v>
      </c>
      <c r="B62" s="10">
        <f>data!Z62</f>
        <v>5.7021699999999997</v>
      </c>
      <c r="C62" s="10">
        <f>data!AC62</f>
        <v>7.9950999999999999</v>
      </c>
      <c r="D62" s="10">
        <f>data!AF62</f>
        <v>1.4242900000000001</v>
      </c>
      <c r="E62" s="19"/>
      <c r="F62" s="10">
        <f t="shared" si="1"/>
        <v>0.5635024285714284</v>
      </c>
      <c r="G62" s="19"/>
      <c r="H62" s="10">
        <f t="shared" si="6"/>
        <v>1.0817359133586902E-2</v>
      </c>
      <c r="I62" s="10">
        <f t="shared" si="6"/>
        <v>2.9731835684782375E-2</v>
      </c>
      <c r="J62" s="10">
        <f t="shared" si="2"/>
        <v>-1.0851607122260231E-2</v>
      </c>
      <c r="K62" s="10">
        <f t="shared" si="3"/>
        <v>3.9543920303627038E-3</v>
      </c>
      <c r="L62" s="20"/>
      <c r="M62" s="10">
        <f t="shared" si="4"/>
        <v>0.63414721336680824</v>
      </c>
      <c r="N62" s="10">
        <f t="shared" si="0"/>
        <v>1.8854136001687041</v>
      </c>
    </row>
    <row r="63" spans="1:14" x14ac:dyDescent="0.3">
      <c r="A63" s="8">
        <v>2008</v>
      </c>
      <c r="B63" s="10">
        <f>data!Z63</f>
        <v>5.5270700000000001</v>
      </c>
      <c r="C63" s="10">
        <f>data!AC63</f>
        <v>8.2383100000000002</v>
      </c>
      <c r="D63" s="10">
        <f>data!AF63</f>
        <v>1.39537</v>
      </c>
      <c r="E63" s="19"/>
      <c r="F63" s="10">
        <f t="shared" si="1"/>
        <v>0.5635024285714284</v>
      </c>
      <c r="G63" s="19"/>
      <c r="H63" s="10">
        <f t="shared" si="6"/>
        <v>-3.1188966276833367E-2</v>
      </c>
      <c r="I63" s="10">
        <f t="shared" si="6"/>
        <v>2.9966371773636452E-2</v>
      </c>
      <c r="J63" s="10">
        <f t="shared" si="2"/>
        <v>-2.0513830860795633E-2</v>
      </c>
      <c r="K63" s="10">
        <f t="shared" si="3"/>
        <v>-3.2709621271189523E-2</v>
      </c>
      <c r="L63" s="20"/>
      <c r="M63" s="10">
        <f t="shared" si="4"/>
        <v>0.60143759209561876</v>
      </c>
      <c r="N63" s="10">
        <f t="shared" si="0"/>
        <v>1.8247401477378866</v>
      </c>
    </row>
    <row r="64" spans="1:14" x14ac:dyDescent="0.3">
      <c r="A64" s="8">
        <v>2009</v>
      </c>
      <c r="B64" s="10">
        <f>data!Z64</f>
        <v>5.2170699999999997</v>
      </c>
      <c r="C64" s="10">
        <f>data!AC64</f>
        <v>8.3436000000000003</v>
      </c>
      <c r="D64" s="10">
        <f>data!AF64</f>
        <v>1.2373700000000001</v>
      </c>
      <c r="E64" s="19"/>
      <c r="F64" s="10">
        <f t="shared" si="1"/>
        <v>0.5635024285714284</v>
      </c>
      <c r="G64" s="19"/>
      <c r="H64" s="10">
        <f t="shared" si="6"/>
        <v>-5.7721896246299538E-2</v>
      </c>
      <c r="I64" s="10">
        <f t="shared" si="6"/>
        <v>1.2699552112117492E-2</v>
      </c>
      <c r="J64" s="10">
        <f t="shared" si="2"/>
        <v>-0.12017145364272511</v>
      </c>
      <c r="K64" s="10">
        <f t="shared" si="3"/>
        <v>4.4516860711650147E-3</v>
      </c>
      <c r="L64" s="20"/>
      <c r="M64" s="10">
        <f t="shared" si="4"/>
        <v>0.60588927816678373</v>
      </c>
      <c r="N64" s="10">
        <f t="shared" si="0"/>
        <v>1.8328814257991572</v>
      </c>
    </row>
    <row r="65" spans="1:14" x14ac:dyDescent="0.3">
      <c r="A65" s="8">
        <v>2010</v>
      </c>
      <c r="B65" s="10">
        <f>data!Z65</f>
        <v>5.3481199999999998</v>
      </c>
      <c r="C65" s="10">
        <f>data!AC65</f>
        <v>8.3235899999999994</v>
      </c>
      <c r="D65" s="10">
        <f>data!AF65</f>
        <v>1.22373</v>
      </c>
      <c r="E65" s="19"/>
      <c r="F65" s="10">
        <f t="shared" si="1"/>
        <v>0.5635024285714284</v>
      </c>
      <c r="G65" s="19"/>
      <c r="H65" s="10">
        <f t="shared" si="6"/>
        <v>2.4809155659419959E-2</v>
      </c>
      <c r="I65" s="10">
        <f t="shared" si="6"/>
        <v>-2.4011257583087453E-3</v>
      </c>
      <c r="J65" s="10">
        <f t="shared" si="2"/>
        <v>-1.1084587915790187E-2</v>
      </c>
      <c r="K65" s="10">
        <f t="shared" si="3"/>
        <v>3.210343343187759E-2</v>
      </c>
      <c r="L65" s="20"/>
      <c r="M65" s="10">
        <f t="shared" si="4"/>
        <v>0.63799271159866133</v>
      </c>
      <c r="N65" s="10">
        <f t="shared" si="0"/>
        <v>1.8926779133342151</v>
      </c>
    </row>
    <row r="66" spans="1:14" x14ac:dyDescent="0.3">
      <c r="A66" s="8">
        <v>2011</v>
      </c>
      <c r="B66" s="10">
        <f>data!Z66</f>
        <v>5.3872299999999997</v>
      </c>
      <c r="C66" s="10">
        <f>data!AC66</f>
        <v>8.4123099999999997</v>
      </c>
      <c r="D66" s="10">
        <f>data!AF66</f>
        <v>1.2480500000000001</v>
      </c>
      <c r="E66" s="19"/>
      <c r="F66" s="10">
        <f t="shared" si="1"/>
        <v>0.5635024285714284</v>
      </c>
      <c r="G66" s="19"/>
      <c r="H66" s="10">
        <f t="shared" si="6"/>
        <v>7.2862408820847657E-3</v>
      </c>
      <c r="I66" s="10">
        <f t="shared" si="6"/>
        <v>1.0602457124928844E-2</v>
      </c>
      <c r="J66" s="10">
        <f t="shared" si="2"/>
        <v>1.9678761725578472E-2</v>
      </c>
      <c r="K66" s="10">
        <f t="shared" si="3"/>
        <v>-8.4307359277641727E-3</v>
      </c>
      <c r="L66" s="20"/>
      <c r="M66" s="10">
        <f t="shared" si="4"/>
        <v>0.62956197567089711</v>
      </c>
      <c r="N66" s="10">
        <f t="shared" si="0"/>
        <v>1.8767883202479183</v>
      </c>
    </row>
    <row r="67" spans="1:14" x14ac:dyDescent="0.3">
      <c r="A67" s="8">
        <v>2012</v>
      </c>
      <c r="B67" s="10">
        <f>data!Z67</f>
        <v>5.4642299999999997</v>
      </c>
      <c r="C67" s="10">
        <f>data!AC67</f>
        <v>8.5398499999999995</v>
      </c>
      <c r="D67" s="10">
        <f>data!AF67</f>
        <v>1.28234</v>
      </c>
      <c r="E67" s="19"/>
      <c r="F67" s="10">
        <f t="shared" si="1"/>
        <v>0.5635024285714284</v>
      </c>
      <c r="G67" s="19"/>
      <c r="H67" s="10">
        <f t="shared" si="6"/>
        <v>1.4191876922083544E-2</v>
      </c>
      <c r="I67" s="10">
        <f t="shared" si="6"/>
        <v>1.5047333965956715E-2</v>
      </c>
      <c r="J67" s="10">
        <f t="shared" si="2"/>
        <v>2.7104200697530733E-2</v>
      </c>
      <c r="K67" s="10">
        <f t="shared" si="3"/>
        <v>-7.6495307280771913E-3</v>
      </c>
      <c r="L67" s="20"/>
      <c r="M67" s="10">
        <f t="shared" si="4"/>
        <v>0.62191244494281994</v>
      </c>
      <c r="N67" s="10">
        <f t="shared" ref="N67:N71" si="7">EXP(M67)</f>
        <v>1.8624865410113185</v>
      </c>
    </row>
    <row r="68" spans="1:14" x14ac:dyDescent="0.3">
      <c r="A68" s="8">
        <v>2013</v>
      </c>
      <c r="B68" s="10">
        <f>data!Z68</f>
        <v>5.6457699999999997</v>
      </c>
      <c r="C68" s="10">
        <f>data!AC68</f>
        <v>8.7107700000000001</v>
      </c>
      <c r="D68" s="10">
        <f>data!AF68</f>
        <v>1.3157300000000001</v>
      </c>
      <c r="E68" s="19"/>
      <c r="F68" s="10">
        <f t="shared" ref="F68:F72" si="8">F67</f>
        <v>0.5635024285714284</v>
      </c>
      <c r="G68" s="19"/>
      <c r="H68" s="10">
        <f t="shared" si="6"/>
        <v>3.2683377109894073E-2</v>
      </c>
      <c r="I68" s="10">
        <f t="shared" si="6"/>
        <v>1.9816747846764501E-2</v>
      </c>
      <c r="J68" s="10">
        <f t="shared" si="6"/>
        <v>2.5705110735423621E-2</v>
      </c>
      <c r="K68" s="10">
        <f t="shared" ref="K68:K72" si="9">H68-(1-F68)*I68-F68*J68</f>
        <v>9.5485224750602848E-3</v>
      </c>
      <c r="L68" s="20"/>
      <c r="M68" s="10">
        <f t="shared" ref="M68:M72" si="10">M67+K68</f>
        <v>0.63146096741788027</v>
      </c>
      <c r="N68" s="10">
        <f t="shared" si="7"/>
        <v>1.8803557119305336</v>
      </c>
    </row>
    <row r="69" spans="1:14" x14ac:dyDescent="0.3">
      <c r="A69" s="8">
        <v>2014</v>
      </c>
      <c r="B69" s="10">
        <f>data!Z69</f>
        <v>5.7472399999999997</v>
      </c>
      <c r="C69" s="10">
        <f>data!AC69</f>
        <v>8.9021600000000003</v>
      </c>
      <c r="D69" s="10">
        <f>data!AF69</f>
        <v>1.34518</v>
      </c>
      <c r="E69" s="19"/>
      <c r="F69" s="10">
        <f t="shared" si="8"/>
        <v>0.5635024285714284</v>
      </c>
      <c r="G69" s="19"/>
      <c r="H69" s="10">
        <f t="shared" si="6"/>
        <v>1.7813147375668022E-2</v>
      </c>
      <c r="I69" s="10">
        <f t="shared" si="6"/>
        <v>2.173375283106847E-2</v>
      </c>
      <c r="J69" s="10">
        <f t="shared" si="6"/>
        <v>2.2136188415574135E-2</v>
      </c>
      <c r="K69" s="10">
        <f t="shared" si="9"/>
        <v>-4.1473788846129525E-3</v>
      </c>
      <c r="L69" s="20"/>
      <c r="M69" s="10">
        <f t="shared" si="10"/>
        <v>0.62731358853326735</v>
      </c>
      <c r="N69" s="10">
        <f t="shared" si="7"/>
        <v>1.8725733137874319</v>
      </c>
    </row>
    <row r="70" spans="1:14" x14ac:dyDescent="0.3">
      <c r="A70" s="8">
        <v>2015</v>
      </c>
      <c r="B70" s="10">
        <f>data!Z70</f>
        <v>5.8926299999999996</v>
      </c>
      <c r="C70" s="10">
        <f>data!AC70</f>
        <v>8.9749400000000001</v>
      </c>
      <c r="D70" s="10">
        <f>data!AF70</f>
        <v>1.3633299999999999</v>
      </c>
      <c r="E70" s="19"/>
      <c r="F70" s="10">
        <f t="shared" si="8"/>
        <v>0.5635024285714284</v>
      </c>
      <c r="G70" s="19"/>
      <c r="H70" s="10">
        <f t="shared" ref="H70:J72" si="11">LN(B70/B69)</f>
        <v>2.4982677955554315E-2</v>
      </c>
      <c r="I70" s="10">
        <f t="shared" si="11"/>
        <v>8.1423051939826224E-3</v>
      </c>
      <c r="J70" s="10">
        <f t="shared" si="11"/>
        <v>1.3402403300052837E-2</v>
      </c>
      <c r="K70" s="10">
        <f t="shared" si="9"/>
        <v>1.3876294704277157E-2</v>
      </c>
      <c r="L70" s="20"/>
      <c r="M70" s="10">
        <f t="shared" si="10"/>
        <v>0.64118988323754456</v>
      </c>
      <c r="N70" s="10">
        <f t="shared" si="7"/>
        <v>1.8987388131859957</v>
      </c>
    </row>
    <row r="71" spans="1:14" x14ac:dyDescent="0.3">
      <c r="A71" s="8">
        <v>2016</v>
      </c>
      <c r="B71" s="10">
        <f>data!Z71</f>
        <v>5.9103199999999996</v>
      </c>
      <c r="C71" s="10">
        <f>data!AC71</f>
        <v>9.0388800000000007</v>
      </c>
      <c r="D71" s="10">
        <f>data!AF71</f>
        <v>1.3773299999999999</v>
      </c>
      <c r="E71" s="19"/>
      <c r="F71" s="10">
        <f t="shared" si="8"/>
        <v>0.5635024285714284</v>
      </c>
      <c r="G71" s="19"/>
      <c r="H71" s="10">
        <f t="shared" si="11"/>
        <v>2.9975579403296979E-3</v>
      </c>
      <c r="I71" s="10">
        <f t="shared" si="11"/>
        <v>7.0990238080765392E-3</v>
      </c>
      <c r="J71" s="10">
        <f t="shared" si="11"/>
        <v>1.0216606054989762E-2</v>
      </c>
      <c r="K71" s="10">
        <f t="shared" si="9"/>
        <v>-5.8582310351536129E-3</v>
      </c>
      <c r="L71" s="20"/>
      <c r="M71" s="10">
        <f t="shared" si="10"/>
        <v>0.63533165220239096</v>
      </c>
      <c r="N71" s="10">
        <f t="shared" si="7"/>
        <v>1.8876480802991731</v>
      </c>
    </row>
    <row r="72" spans="1:14" x14ac:dyDescent="0.3">
      <c r="A72" s="8">
        <v>2017</v>
      </c>
      <c r="B72" s="10">
        <f>data!Z72</f>
        <v>5.99038</v>
      </c>
      <c r="C72" s="10">
        <f>data!AC72</f>
        <v>9.0580599999999993</v>
      </c>
      <c r="D72" s="10">
        <f>data!AF72</f>
        <v>1.3913</v>
      </c>
      <c r="E72" s="19"/>
      <c r="F72" s="10">
        <f t="shared" si="8"/>
        <v>0.5635024285714284</v>
      </c>
      <c r="G72" s="19"/>
      <c r="H72" s="10">
        <f t="shared" si="11"/>
        <v>1.345487371202842E-2</v>
      </c>
      <c r="I72" s="10">
        <f t="shared" si="11"/>
        <v>2.1196961675828256E-3</v>
      </c>
      <c r="J72" s="10">
        <f t="shared" si="11"/>
        <v>1.0091719414867856E-2</v>
      </c>
      <c r="K72" s="10">
        <f t="shared" si="9"/>
        <v>6.8429230839725944E-3</v>
      </c>
      <c r="L72" s="20"/>
      <c r="M72" s="10">
        <f t="shared" si="10"/>
        <v>0.64217457528636357</v>
      </c>
      <c r="N72" s="10">
        <f>EXP(M72)</f>
        <v>1.9006094070264177</v>
      </c>
    </row>
    <row r="74" spans="1:14" x14ac:dyDescent="0.3">
      <c r="B74" s="10"/>
      <c r="D74" s="10"/>
      <c r="E74" s="10"/>
      <c r="G74" s="10"/>
      <c r="I74" s="6"/>
      <c r="J74" s="6"/>
      <c r="K74" s="10"/>
      <c r="L74" s="6" t="s">
        <v>98</v>
      </c>
      <c r="N74" s="10">
        <f>LN(N72/N35)</f>
        <v>0.40265034421915324</v>
      </c>
    </row>
    <row r="75" spans="1:14" x14ac:dyDescent="0.3">
      <c r="B75" s="9"/>
      <c r="D75" s="9"/>
      <c r="E75" s="9"/>
      <c r="F75" s="9"/>
      <c r="G75" s="9"/>
      <c r="I75" s="6"/>
      <c r="J75" s="6"/>
      <c r="K75" s="10"/>
      <c r="L75" s="6" t="s">
        <v>99</v>
      </c>
      <c r="N75" s="10">
        <f>N74/($A$72-$A$35)</f>
        <v>1.088244173565279E-2</v>
      </c>
    </row>
    <row r="76" spans="1:14" x14ac:dyDescent="0.3">
      <c r="F76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9616-A536-44F0-A33E-DDB8C3C24D8A}">
  <sheetPr>
    <tabColor rgb="FFFFC000"/>
  </sheetPr>
  <dimension ref="A1:Q76"/>
  <sheetViews>
    <sheetView workbookViewId="0">
      <pane xSplit="7" ySplit="14" topLeftCell="H64" activePane="bottomRight" state="frozen"/>
      <selection pane="topRight" activeCell="K1" sqref="K1"/>
      <selection pane="bottomLeft" activeCell="A15" sqref="A15"/>
      <selection pane="bottomRight" activeCell="N76" sqref="N76"/>
    </sheetView>
  </sheetViews>
  <sheetFormatPr defaultColWidth="8.77734375" defaultRowHeight="14.4" x14ac:dyDescent="0.3"/>
  <cols>
    <col min="1" max="1" width="8.77734375" style="16"/>
    <col min="2" max="2" width="12.109375" style="6" bestFit="1" customWidth="1"/>
    <col min="3" max="4" width="13.33203125" style="6" bestFit="1" customWidth="1"/>
    <col min="5" max="5" width="2.77734375" style="6" customWidth="1"/>
    <col min="6" max="6" width="14.44140625" style="6" bestFit="1" customWidth="1"/>
    <col min="7" max="7" width="2.77734375" style="6" customWidth="1"/>
    <col min="8" max="11" width="11.33203125" style="8" customWidth="1"/>
    <col min="12" max="12" width="8.77734375" style="6"/>
    <col min="13" max="13" width="12.44140625" style="6" bestFit="1" customWidth="1"/>
    <col min="14" max="15" width="10.44140625" style="6" bestFit="1" customWidth="1"/>
    <col min="16" max="16384" width="8.77734375" style="6"/>
  </cols>
  <sheetData>
    <row r="1" spans="1:17" x14ac:dyDescent="0.3">
      <c r="A1" s="16" t="s">
        <v>0</v>
      </c>
      <c r="B1" s="6" t="s">
        <v>26</v>
      </c>
      <c r="C1" s="6" t="s">
        <v>29</v>
      </c>
      <c r="D1" s="6" t="s">
        <v>32</v>
      </c>
      <c r="E1" s="7"/>
      <c r="F1" s="8" t="s">
        <v>100</v>
      </c>
      <c r="G1" s="7"/>
      <c r="H1" s="8" t="s">
        <v>93</v>
      </c>
      <c r="I1" s="8" t="s">
        <v>94</v>
      </c>
      <c r="J1" s="8" t="s">
        <v>101</v>
      </c>
      <c r="K1" s="8" t="s">
        <v>95</v>
      </c>
      <c r="M1" s="8" t="s">
        <v>96</v>
      </c>
      <c r="N1" s="8" t="s">
        <v>97</v>
      </c>
    </row>
    <row r="2" spans="1:17" x14ac:dyDescent="0.3">
      <c r="A2" s="16">
        <v>1947</v>
      </c>
      <c r="B2" s="10">
        <f>data!AA2</f>
        <v>1</v>
      </c>
      <c r="C2" s="10">
        <f>data!AD2</f>
        <v>1</v>
      </c>
      <c r="D2" s="10">
        <f>data!AG2</f>
        <v>1</v>
      </c>
      <c r="E2" s="15"/>
      <c r="F2" s="10">
        <f>data!X74</f>
        <v>0.5635024285714284</v>
      </c>
      <c r="G2" s="15"/>
      <c r="H2" s="10"/>
      <c r="I2" s="10"/>
      <c r="J2" s="10"/>
      <c r="K2" s="10"/>
      <c r="L2" s="20"/>
      <c r="M2" s="10">
        <v>0</v>
      </c>
      <c r="N2" s="10">
        <f>EXP(M2)</f>
        <v>1</v>
      </c>
      <c r="O2" s="10"/>
      <c r="Q2" s="20"/>
    </row>
    <row r="3" spans="1:17" x14ac:dyDescent="0.3">
      <c r="A3" s="16">
        <v>1948</v>
      </c>
      <c r="B3" s="10">
        <f>data!AA3</f>
        <v>1.0060100000000001</v>
      </c>
      <c r="C3" s="10">
        <f>data!AD3</f>
        <v>1.0219</v>
      </c>
      <c r="D3" s="10">
        <f>data!AG3</f>
        <v>1.0287200000000001</v>
      </c>
      <c r="E3" s="15"/>
      <c r="F3" s="10">
        <f>F2</f>
        <v>0.5635024285714284</v>
      </c>
      <c r="G3" s="15"/>
      <c r="H3" s="10">
        <f>LN(B3/B2)</f>
        <v>5.9920119859953871E-3</v>
      </c>
      <c r="I3" s="10">
        <f>LN(C3/C2)</f>
        <v>2.1663639636026355E-2</v>
      </c>
      <c r="J3" s="10">
        <f>LN(D3/D2)</f>
        <v>2.831531098004654E-2</v>
      </c>
      <c r="K3" s="10">
        <f>H3-(1-F3)*I3-F3*J3</f>
        <v>-1.9419860606445322E-2</v>
      </c>
      <c r="L3" s="20"/>
      <c r="M3" s="10">
        <f>M2+K3</f>
        <v>-1.9419860606445322E-2</v>
      </c>
      <c r="N3" s="10">
        <f t="shared" ref="N3:N66" si="0">EXP(M3)</f>
        <v>0.98076749015122666</v>
      </c>
      <c r="O3" s="10"/>
      <c r="Q3" s="20"/>
    </row>
    <row r="4" spans="1:17" x14ac:dyDescent="0.3">
      <c r="A4" s="16">
        <v>1949</v>
      </c>
      <c r="B4" s="10">
        <f>data!AA4</f>
        <v>1.0156799999999999</v>
      </c>
      <c r="C4" s="10">
        <f>data!AD4</f>
        <v>1.0503100000000001</v>
      </c>
      <c r="D4" s="10">
        <f>data!AG4</f>
        <v>1.02515</v>
      </c>
      <c r="E4" s="15"/>
      <c r="F4" s="10">
        <f t="shared" ref="F4:F67" si="1">F3</f>
        <v>0.5635024285714284</v>
      </c>
      <c r="G4" s="15"/>
      <c r="H4" s="10">
        <f>LN(B4/B3)</f>
        <v>9.5663269298570941E-3</v>
      </c>
      <c r="I4" s="10">
        <f>LN(C4/C3)</f>
        <v>2.7421719054453623E-2</v>
      </c>
      <c r="J4" s="10">
        <f t="shared" ref="J4:J67" si="2">LN(D4/D3)</f>
        <v>-3.4763676331278012E-3</v>
      </c>
      <c r="K4" s="10">
        <f t="shared" ref="K4:K67" si="3">H4-(1-F4)*I4-F4*J4</f>
        <v>-4.4424523793387509E-4</v>
      </c>
      <c r="L4" s="20"/>
      <c r="M4" s="10">
        <f>M3+K4</f>
        <v>-1.9864105844379198E-2</v>
      </c>
      <c r="N4" s="10">
        <f t="shared" si="0"/>
        <v>0.98033188562898799</v>
      </c>
      <c r="O4" s="10"/>
      <c r="Q4" s="20"/>
    </row>
    <row r="5" spans="1:17" x14ac:dyDescent="0.3">
      <c r="A5" s="16">
        <v>1950</v>
      </c>
      <c r="B5" s="10">
        <f>data!AA5</f>
        <v>1.07752</v>
      </c>
      <c r="C5" s="10">
        <f>data!AD5</f>
        <v>1.0881099999999999</v>
      </c>
      <c r="D5" s="10">
        <f>data!AG5</f>
        <v>1.0472900000000001</v>
      </c>
      <c r="E5" s="15"/>
      <c r="F5" s="10">
        <f t="shared" si="1"/>
        <v>0.5635024285714284</v>
      </c>
      <c r="G5" s="15"/>
      <c r="H5" s="10">
        <f>LN(B5/B4)</f>
        <v>5.9103765392569924E-2</v>
      </c>
      <c r="I5" s="10">
        <f>LN(C5/C4)</f>
        <v>3.5356887573889426E-2</v>
      </c>
      <c r="J5" s="10">
        <f t="shared" si="2"/>
        <v>2.1366932042002539E-2</v>
      </c>
      <c r="K5" s="10">
        <f t="shared" si="3"/>
        <v>3.163025173650505E-2</v>
      </c>
      <c r="L5" s="20"/>
      <c r="M5" s="10">
        <f>M4+K5</f>
        <v>1.1766145892125851E-2</v>
      </c>
      <c r="N5" s="10">
        <f t="shared" si="0"/>
        <v>1.0118356392756787</v>
      </c>
      <c r="O5" s="10"/>
      <c r="Q5" s="20"/>
    </row>
    <row r="6" spans="1:17" x14ac:dyDescent="0.3">
      <c r="A6" s="16">
        <v>1951</v>
      </c>
      <c r="B6" s="10">
        <f>data!AA6</f>
        <v>1.1529199999999999</v>
      </c>
      <c r="C6" s="10">
        <f>data!AD6</f>
        <v>1.1305799999999999</v>
      </c>
      <c r="D6" s="10">
        <f>data!AG6</f>
        <v>1.1203399999999999</v>
      </c>
      <c r="E6" s="15"/>
      <c r="F6" s="10">
        <f t="shared" si="1"/>
        <v>0.5635024285714284</v>
      </c>
      <c r="G6" s="15"/>
      <c r="H6" s="10">
        <f t="shared" ref="H6:I37" si="4">LN(B6/B5)</f>
        <v>6.7635750356212498E-2</v>
      </c>
      <c r="I6" s="10">
        <f t="shared" si="4"/>
        <v>3.8288529115947642E-2</v>
      </c>
      <c r="J6" s="10">
        <f t="shared" si="2"/>
        <v>6.7426335278170241E-2</v>
      </c>
      <c r="K6" s="10">
        <f t="shared" si="3"/>
        <v>1.2927996704608889E-2</v>
      </c>
      <c r="L6" s="20"/>
      <c r="M6" s="10">
        <f t="shared" ref="M6:M67" si="5">M5+K6</f>
        <v>2.469414259673474E-2</v>
      </c>
      <c r="N6" s="10">
        <f t="shared" si="0"/>
        <v>1.025001568257722</v>
      </c>
      <c r="O6" s="10"/>
      <c r="Q6" s="20"/>
    </row>
    <row r="7" spans="1:17" x14ac:dyDescent="0.3">
      <c r="A7" s="16">
        <v>1952</v>
      </c>
      <c r="B7" s="10">
        <f>data!AA7</f>
        <v>1.19085</v>
      </c>
      <c r="C7" s="10">
        <f>data!AD7</f>
        <v>1.177</v>
      </c>
      <c r="D7" s="10">
        <f>data!AG7</f>
        <v>1.1484700000000001</v>
      </c>
      <c r="E7" s="15"/>
      <c r="F7" s="10">
        <f t="shared" si="1"/>
        <v>0.5635024285714284</v>
      </c>
      <c r="G7" s="15"/>
      <c r="H7" s="10">
        <f t="shared" si="4"/>
        <v>3.2369483192460163E-2</v>
      </c>
      <c r="I7" s="10">
        <f t="shared" si="4"/>
        <v>4.023805289782284E-2</v>
      </c>
      <c r="J7" s="10">
        <f t="shared" si="2"/>
        <v>2.4798411111337421E-2</v>
      </c>
      <c r="K7" s="10">
        <f t="shared" si="3"/>
        <v>8.3170593759476427E-4</v>
      </c>
      <c r="L7" s="20"/>
      <c r="M7" s="10">
        <f>M6+K7</f>
        <v>2.5525848534329505E-2</v>
      </c>
      <c r="N7" s="10">
        <f t="shared" si="0"/>
        <v>1.0258544227610007</v>
      </c>
      <c r="O7" s="10"/>
      <c r="Q7" s="20"/>
    </row>
    <row r="8" spans="1:17" x14ac:dyDescent="0.3">
      <c r="A8" s="16">
        <v>1953</v>
      </c>
      <c r="B8" s="10">
        <f>data!AA8</f>
        <v>1.2333499999999999</v>
      </c>
      <c r="C8" s="10">
        <f>data!AD8</f>
        <v>1.2272700000000001</v>
      </c>
      <c r="D8" s="10">
        <f>data!AG8</f>
        <v>1.1696500000000001</v>
      </c>
      <c r="E8" s="15"/>
      <c r="F8" s="10">
        <f t="shared" si="1"/>
        <v>0.5635024285714284</v>
      </c>
      <c r="G8" s="15"/>
      <c r="H8" s="10">
        <f t="shared" si="4"/>
        <v>3.5066706547180748E-2</v>
      </c>
      <c r="I8" s="10">
        <f t="shared" si="4"/>
        <v>4.182336214318215E-2</v>
      </c>
      <c r="J8" s="10">
        <f t="shared" si="2"/>
        <v>1.827393697921036E-2</v>
      </c>
      <c r="K8" s="10">
        <f t="shared" si="3"/>
        <v>6.5135026753578122E-3</v>
      </c>
      <c r="L8" s="20"/>
      <c r="M8" s="10">
        <f t="shared" si="5"/>
        <v>3.2039351209687317E-2</v>
      </c>
      <c r="N8" s="10">
        <f t="shared" si="0"/>
        <v>1.0325581369174217</v>
      </c>
      <c r="O8" s="10"/>
      <c r="Q8" s="20"/>
    </row>
    <row r="9" spans="1:17" x14ac:dyDescent="0.3">
      <c r="A9" s="16">
        <v>1954</v>
      </c>
      <c r="B9" s="10">
        <f>data!AA9</f>
        <v>1.2526999999999999</v>
      </c>
      <c r="C9" s="10">
        <f>data!AD9</f>
        <v>1.28423</v>
      </c>
      <c r="D9" s="10">
        <f>data!AG9</f>
        <v>1.1657500000000001</v>
      </c>
      <c r="E9" s="15"/>
      <c r="F9" s="10">
        <f t="shared" si="1"/>
        <v>0.5635024285714284</v>
      </c>
      <c r="G9" s="15"/>
      <c r="H9" s="10">
        <f t="shared" si="4"/>
        <v>1.5567177463733251E-2</v>
      </c>
      <c r="I9" s="10">
        <f t="shared" si="4"/>
        <v>4.5367126530848637E-2</v>
      </c>
      <c r="J9" s="10">
        <f t="shared" si="2"/>
        <v>-3.3399020513460225E-3</v>
      </c>
      <c r="K9" s="10">
        <f t="shared" si="3"/>
        <v>-2.3534201725507187E-3</v>
      </c>
      <c r="L9" s="20"/>
      <c r="M9" s="10">
        <f t="shared" si="5"/>
        <v>2.9685931037136598E-2</v>
      </c>
      <c r="N9" s="10">
        <f t="shared" si="0"/>
        <v>1.030130950983104</v>
      </c>
      <c r="O9" s="10"/>
      <c r="Q9" s="20"/>
    </row>
    <row r="10" spans="1:17" x14ac:dyDescent="0.3">
      <c r="A10" s="16">
        <v>1955</v>
      </c>
      <c r="B10" s="10">
        <f>data!AA10</f>
        <v>1.3262100000000001</v>
      </c>
      <c r="C10" s="10">
        <f>data!AD10</f>
        <v>1.3420799999999999</v>
      </c>
      <c r="D10" s="10">
        <f>data!AG10</f>
        <v>1.1927099999999999</v>
      </c>
      <c r="E10" s="15"/>
      <c r="F10" s="10">
        <f t="shared" si="1"/>
        <v>0.5635024285714284</v>
      </c>
      <c r="G10" s="15"/>
      <c r="H10" s="10">
        <f t="shared" si="4"/>
        <v>5.7024028397016251E-2</v>
      </c>
      <c r="I10" s="10">
        <f t="shared" si="4"/>
        <v>4.4061332339192669E-2</v>
      </c>
      <c r="J10" s="10">
        <f t="shared" si="2"/>
        <v>2.2863372199101135E-2</v>
      </c>
      <c r="K10" s="10">
        <f t="shared" si="3"/>
        <v>2.4907798077525495E-2</v>
      </c>
      <c r="L10" s="20"/>
      <c r="M10" s="10">
        <f t="shared" si="5"/>
        <v>5.4593729114662093E-2</v>
      </c>
      <c r="N10" s="10">
        <f t="shared" si="0"/>
        <v>1.0561114601669686</v>
      </c>
      <c r="O10" s="10"/>
      <c r="Q10" s="20"/>
    </row>
    <row r="11" spans="1:17" x14ac:dyDescent="0.3">
      <c r="A11" s="16">
        <v>1956</v>
      </c>
      <c r="B11" s="10">
        <f>data!AA11</f>
        <v>1.363</v>
      </c>
      <c r="C11" s="10">
        <f>data!AD11</f>
        <v>1.4044000000000001</v>
      </c>
      <c r="D11" s="10">
        <f>data!AG11</f>
        <v>1.22733</v>
      </c>
      <c r="E11" s="15"/>
      <c r="F11" s="10">
        <f t="shared" si="1"/>
        <v>0.5635024285714284</v>
      </c>
      <c r="G11" s="15"/>
      <c r="H11" s="10">
        <f t="shared" si="4"/>
        <v>2.7362902449370018E-2</v>
      </c>
      <c r="I11" s="10">
        <f t="shared" si="4"/>
        <v>4.5389516020776878E-2</v>
      </c>
      <c r="J11" s="10">
        <f t="shared" si="2"/>
        <v>2.8613049318430513E-2</v>
      </c>
      <c r="K11" s="10">
        <f t="shared" si="3"/>
        <v>-8.5730338417869811E-3</v>
      </c>
      <c r="L11" s="20"/>
      <c r="M11" s="10">
        <f t="shared" si="5"/>
        <v>4.6020695272875112E-2</v>
      </c>
      <c r="N11" s="10">
        <f t="shared" si="0"/>
        <v>1.0470960806718221</v>
      </c>
      <c r="O11" s="10"/>
      <c r="Q11" s="20"/>
    </row>
    <row r="12" spans="1:17" x14ac:dyDescent="0.3">
      <c r="A12" s="16">
        <v>1957</v>
      </c>
      <c r="B12" s="10">
        <f>data!AA12</f>
        <v>1.4055500000000001</v>
      </c>
      <c r="C12" s="10">
        <f>data!AD12</f>
        <v>1.46516</v>
      </c>
      <c r="D12" s="10">
        <f>data!AG12</f>
        <v>1.24481</v>
      </c>
      <c r="E12" s="15"/>
      <c r="F12" s="10">
        <f t="shared" si="1"/>
        <v>0.5635024285714284</v>
      </c>
      <c r="G12" s="15"/>
      <c r="H12" s="10">
        <f t="shared" si="4"/>
        <v>3.0740532545933071E-2</v>
      </c>
      <c r="I12" s="10">
        <f t="shared" si="4"/>
        <v>4.2354286210429602E-2</v>
      </c>
      <c r="J12" s="10">
        <f t="shared" si="2"/>
        <v>1.4141829604920492E-2</v>
      </c>
      <c r="K12" s="10">
        <f t="shared" si="3"/>
        <v>4.2840341486738882E-3</v>
      </c>
      <c r="L12" s="20"/>
      <c r="M12" s="10">
        <f t="shared" si="5"/>
        <v>5.0304729421548997E-2</v>
      </c>
      <c r="N12" s="10">
        <f t="shared" si="0"/>
        <v>1.0515914984246</v>
      </c>
      <c r="O12" s="10"/>
      <c r="Q12" s="20"/>
    </row>
    <row r="13" spans="1:17" x14ac:dyDescent="0.3">
      <c r="A13" s="16">
        <v>1958</v>
      </c>
      <c r="B13" s="10">
        <f>data!AA13</f>
        <v>1.4282699999999999</v>
      </c>
      <c r="C13" s="10">
        <f>data!AD13</f>
        <v>1.5260400000000001</v>
      </c>
      <c r="D13" s="10">
        <f>data!AG13</f>
        <v>1.23952</v>
      </c>
      <c r="E13" s="15"/>
      <c r="F13" s="10">
        <f t="shared" si="1"/>
        <v>0.5635024285714284</v>
      </c>
      <c r="G13" s="15"/>
      <c r="H13" s="10">
        <f t="shared" si="4"/>
        <v>1.6035236414772041E-2</v>
      </c>
      <c r="I13" s="10">
        <f t="shared" si="4"/>
        <v>4.0711693315948996E-2</v>
      </c>
      <c r="J13" s="10">
        <f t="shared" si="2"/>
        <v>-4.2586999272902059E-3</v>
      </c>
      <c r="K13" s="10">
        <f t="shared" si="3"/>
        <v>6.6446890520048931E-4</v>
      </c>
      <c r="L13" s="20"/>
      <c r="M13" s="10">
        <f t="shared" si="5"/>
        <v>5.0969198326749489E-2</v>
      </c>
      <c r="N13" s="10">
        <f t="shared" si="0"/>
        <v>1.0522904804764779</v>
      </c>
      <c r="O13" s="10"/>
      <c r="Q13" s="20"/>
    </row>
    <row r="14" spans="1:17" x14ac:dyDescent="0.3">
      <c r="A14" s="16">
        <v>1959</v>
      </c>
      <c r="B14" s="10">
        <f>data!AA14</f>
        <v>1.5122800000000001</v>
      </c>
      <c r="C14" s="10">
        <f>data!AD14</f>
        <v>1.59466</v>
      </c>
      <c r="D14" s="10">
        <f>data!AG14</f>
        <v>1.26179</v>
      </c>
      <c r="E14" s="15"/>
      <c r="F14" s="10">
        <f t="shared" si="1"/>
        <v>0.5635024285714284</v>
      </c>
      <c r="G14" s="15"/>
      <c r="H14" s="10">
        <f t="shared" si="4"/>
        <v>5.7154524122766247E-2</v>
      </c>
      <c r="I14" s="10">
        <f t="shared" si="4"/>
        <v>4.3984402530956743E-2</v>
      </c>
      <c r="J14" s="10">
        <f t="shared" si="2"/>
        <v>1.78071398354703E-2</v>
      </c>
      <c r="K14" s="10">
        <f t="shared" si="3"/>
        <v>2.792107269406837E-2</v>
      </c>
      <c r="L14" s="20"/>
      <c r="M14" s="10">
        <f t="shared" si="5"/>
        <v>7.8890271020817859E-2</v>
      </c>
      <c r="N14" s="10">
        <f t="shared" si="0"/>
        <v>1.082085579409662</v>
      </c>
      <c r="O14" s="10"/>
      <c r="Q14" s="20"/>
    </row>
    <row r="15" spans="1:17" x14ac:dyDescent="0.3">
      <c r="A15" s="16">
        <v>1960</v>
      </c>
      <c r="B15" s="10">
        <f>data!AA15</f>
        <v>1.5580000000000001</v>
      </c>
      <c r="C15" s="10">
        <f>data!AD15</f>
        <v>1.67204</v>
      </c>
      <c r="D15" s="10">
        <f>data!AG15</f>
        <v>1.2936799999999999</v>
      </c>
      <c r="E15" s="15"/>
      <c r="F15" s="10">
        <f t="shared" si="1"/>
        <v>0.5635024285714284</v>
      </c>
      <c r="G15" s="15"/>
      <c r="H15" s="10">
        <f t="shared" si="4"/>
        <v>2.9784501650689882E-2</v>
      </c>
      <c r="I15" s="10">
        <f t="shared" si="4"/>
        <v>4.738389045184941E-2</v>
      </c>
      <c r="J15" s="10">
        <f t="shared" si="2"/>
        <v>2.4959522550625668E-2</v>
      </c>
      <c r="K15" s="10">
        <f t="shared" si="3"/>
        <v>-4.9632030296407649E-3</v>
      </c>
      <c r="L15" s="20"/>
      <c r="M15" s="10">
        <f t="shared" si="5"/>
        <v>7.3927067991177098E-2</v>
      </c>
      <c r="N15" s="10">
        <f t="shared" si="0"/>
        <v>1.076728274676521</v>
      </c>
      <c r="O15" s="10"/>
      <c r="Q15" s="20"/>
    </row>
    <row r="16" spans="1:17" x14ac:dyDescent="0.3">
      <c r="A16" s="16">
        <v>1961</v>
      </c>
      <c r="B16" s="10">
        <f>data!AA16</f>
        <v>1.6108800000000001</v>
      </c>
      <c r="C16" s="10">
        <f>data!AD16</f>
        <v>1.7488999999999999</v>
      </c>
      <c r="D16" s="10">
        <f>data!AG16</f>
        <v>1.30955</v>
      </c>
      <c r="E16" s="15"/>
      <c r="F16" s="10">
        <f t="shared" si="1"/>
        <v>0.5635024285714284</v>
      </c>
      <c r="G16" s="15"/>
      <c r="H16" s="10">
        <f t="shared" si="4"/>
        <v>3.3377666076202836E-2</v>
      </c>
      <c r="I16" s="10">
        <f t="shared" si="4"/>
        <v>4.4942581051683611E-2</v>
      </c>
      <c r="J16" s="10">
        <f t="shared" si="2"/>
        <v>1.2192696461553897E-2</v>
      </c>
      <c r="K16" s="10">
        <f t="shared" si="3"/>
        <v>6.8897245264913165E-3</v>
      </c>
      <c r="L16" s="20"/>
      <c r="M16" s="10">
        <f t="shared" si="5"/>
        <v>8.081679251766842E-2</v>
      </c>
      <c r="N16" s="10">
        <f t="shared" si="0"/>
        <v>1.0841722499022199</v>
      </c>
      <c r="O16" s="10"/>
      <c r="Q16" s="20"/>
    </row>
    <row r="17" spans="1:17" x14ac:dyDescent="0.3">
      <c r="A17" s="16">
        <v>1962</v>
      </c>
      <c r="B17" s="10">
        <f>data!AA17</f>
        <v>1.6984399999999999</v>
      </c>
      <c r="C17" s="10">
        <f>data!AD17</f>
        <v>1.83612</v>
      </c>
      <c r="D17" s="10">
        <f>data!AG17</f>
        <v>1.3367800000000001</v>
      </c>
      <c r="E17" s="15"/>
      <c r="F17" s="10">
        <f t="shared" si="1"/>
        <v>0.5635024285714284</v>
      </c>
      <c r="G17" s="15"/>
      <c r="H17" s="10">
        <f t="shared" si="4"/>
        <v>5.2929569182771564E-2</v>
      </c>
      <c r="I17" s="10">
        <f t="shared" si="4"/>
        <v>4.8667630666576936E-2</v>
      </c>
      <c r="J17" s="10">
        <f t="shared" si="2"/>
        <v>2.0580170336886201E-2</v>
      </c>
      <c r="K17" s="10">
        <f t="shared" si="3"/>
        <v>2.0089290624379013E-2</v>
      </c>
      <c r="L17" s="20"/>
      <c r="M17" s="10">
        <f t="shared" si="5"/>
        <v>0.10090608314204744</v>
      </c>
      <c r="N17" s="10">
        <f t="shared" si="0"/>
        <v>1.1061727486159381</v>
      </c>
      <c r="O17" s="10"/>
      <c r="Q17" s="20"/>
    </row>
    <row r="18" spans="1:17" x14ac:dyDescent="0.3">
      <c r="A18" s="16">
        <v>1963</v>
      </c>
      <c r="B18" s="10">
        <f>data!AA18</f>
        <v>1.7706</v>
      </c>
      <c r="C18" s="10">
        <f>data!AD18</f>
        <v>1.92832</v>
      </c>
      <c r="D18" s="10">
        <f>data!AG18</f>
        <v>1.3520399999999999</v>
      </c>
      <c r="E18" s="15"/>
      <c r="F18" s="10">
        <f t="shared" si="1"/>
        <v>0.5635024285714284</v>
      </c>
      <c r="G18" s="15"/>
      <c r="H18" s="10">
        <f t="shared" si="4"/>
        <v>4.160828948728075E-2</v>
      </c>
      <c r="I18" s="10">
        <f t="shared" si="4"/>
        <v>4.899450798015928E-2</v>
      </c>
      <c r="J18" s="10">
        <f t="shared" si="2"/>
        <v>1.1350825895946293E-2</v>
      </c>
      <c r="K18" s="10">
        <f t="shared" si="3"/>
        <v>1.3826087781946257E-2</v>
      </c>
      <c r="L18" s="20"/>
      <c r="M18" s="10">
        <f t="shared" si="5"/>
        <v>0.1147321709239937</v>
      </c>
      <c r="N18" s="10">
        <f t="shared" si="0"/>
        <v>1.1215730074795103</v>
      </c>
      <c r="O18" s="10"/>
      <c r="Q18" s="20"/>
    </row>
    <row r="19" spans="1:17" x14ac:dyDescent="0.3">
      <c r="A19" s="16">
        <v>1964</v>
      </c>
      <c r="B19" s="10">
        <f>data!AA19</f>
        <v>1.8694599999999999</v>
      </c>
      <c r="C19" s="10">
        <f>data!AD19</f>
        <v>2.0263100000000001</v>
      </c>
      <c r="D19" s="10">
        <f>data!AG19</f>
        <v>1.38527</v>
      </c>
      <c r="E19" s="15"/>
      <c r="F19" s="10">
        <f t="shared" si="1"/>
        <v>0.5635024285714284</v>
      </c>
      <c r="G19" s="15"/>
      <c r="H19" s="10">
        <f t="shared" si="4"/>
        <v>5.4331146916107395E-2</v>
      </c>
      <c r="I19" s="10">
        <f t="shared" si="4"/>
        <v>4.9567247460614687E-2</v>
      </c>
      <c r="J19" s="10">
        <f t="shared" si="2"/>
        <v>2.4280503506266937E-2</v>
      </c>
      <c r="K19" s="10">
        <f t="shared" si="3"/>
        <v>1.901304108443155E-2</v>
      </c>
      <c r="L19" s="20"/>
      <c r="M19" s="10">
        <f t="shared" si="5"/>
        <v>0.13374521200842523</v>
      </c>
      <c r="N19" s="10">
        <f t="shared" si="0"/>
        <v>1.1431015339941673</v>
      </c>
      <c r="O19" s="10"/>
      <c r="Q19" s="20"/>
    </row>
    <row r="20" spans="1:17" x14ac:dyDescent="0.3">
      <c r="A20" s="16">
        <v>1965</v>
      </c>
      <c r="B20" s="10">
        <f>data!AA20</f>
        <v>1.96804</v>
      </c>
      <c r="C20" s="10">
        <f>data!AD20</f>
        <v>2.1412200000000001</v>
      </c>
      <c r="D20" s="10">
        <f>data!AG20</f>
        <v>1.42388</v>
      </c>
      <c r="E20" s="15"/>
      <c r="F20" s="10">
        <f t="shared" si="1"/>
        <v>0.5635024285714284</v>
      </c>
      <c r="G20" s="15"/>
      <c r="H20" s="10">
        <f t="shared" si="4"/>
        <v>5.1388504515840684E-2</v>
      </c>
      <c r="I20" s="10">
        <f t="shared" si="4"/>
        <v>5.5159355069804253E-2</v>
      </c>
      <c r="J20" s="10">
        <f t="shared" si="2"/>
        <v>2.7490473287770517E-2</v>
      </c>
      <c r="K20" s="10">
        <f t="shared" si="3"/>
        <v>1.1820631526068194E-2</v>
      </c>
      <c r="L20" s="20"/>
      <c r="M20" s="10">
        <f t="shared" si="5"/>
        <v>0.14556584353449342</v>
      </c>
      <c r="N20" s="10">
        <f t="shared" si="0"/>
        <v>1.1566938928891304</v>
      </c>
      <c r="O20" s="10"/>
      <c r="Q20" s="20"/>
    </row>
    <row r="21" spans="1:17" x14ac:dyDescent="0.3">
      <c r="A21" s="16">
        <v>1966</v>
      </c>
      <c r="B21" s="10">
        <f>data!AA21</f>
        <v>2.0876800000000002</v>
      </c>
      <c r="C21" s="10">
        <f>data!AD21</f>
        <v>2.2600099999999999</v>
      </c>
      <c r="D21" s="10">
        <f>data!AG21</f>
        <v>1.4795400000000001</v>
      </c>
      <c r="E21" s="15"/>
      <c r="F21" s="10">
        <f t="shared" si="1"/>
        <v>0.5635024285714284</v>
      </c>
      <c r="G21" s="15"/>
      <c r="H21" s="10">
        <f t="shared" si="4"/>
        <v>5.9015277943643141E-2</v>
      </c>
      <c r="I21" s="10">
        <f t="shared" si="4"/>
        <v>5.3993478003002443E-2</v>
      </c>
      <c r="J21" s="10">
        <f t="shared" si="2"/>
        <v>3.8345688877546844E-2</v>
      </c>
      <c r="K21" s="10">
        <f t="shared" si="3"/>
        <v>1.3839367114608512E-2</v>
      </c>
      <c r="L21" s="20"/>
      <c r="M21" s="10">
        <f t="shared" si="5"/>
        <v>0.15940521064910193</v>
      </c>
      <c r="N21" s="10">
        <f t="shared" si="0"/>
        <v>1.1728130867604678</v>
      </c>
      <c r="O21" s="10"/>
      <c r="Q21" s="20"/>
    </row>
    <row r="22" spans="1:17" x14ac:dyDescent="0.3">
      <c r="A22" s="16">
        <v>1967</v>
      </c>
      <c r="B22" s="10">
        <f>data!AA22</f>
        <v>2.1673100000000001</v>
      </c>
      <c r="C22" s="10">
        <f>data!AD22</f>
        <v>2.3938999999999999</v>
      </c>
      <c r="D22" s="10">
        <f>data!AG22</f>
        <v>1.5121</v>
      </c>
      <c r="E22" s="15"/>
      <c r="F22" s="10">
        <f t="shared" si="1"/>
        <v>0.5635024285714284</v>
      </c>
      <c r="G22" s="15"/>
      <c r="H22" s="10">
        <f t="shared" si="4"/>
        <v>3.7433365667069382E-2</v>
      </c>
      <c r="I22" s="10">
        <f t="shared" si="4"/>
        <v>5.755459711577595E-2</v>
      </c>
      <c r="J22" s="10">
        <f t="shared" si="2"/>
        <v>2.1768184482964369E-2</v>
      </c>
      <c r="K22" s="10">
        <f t="shared" si="3"/>
        <v>4.4498979742003258E-5</v>
      </c>
      <c r="L22" s="20"/>
      <c r="M22" s="10">
        <f t="shared" si="5"/>
        <v>0.15944970962884394</v>
      </c>
      <c r="N22" s="10">
        <f t="shared" si="0"/>
        <v>1.1728652769074521</v>
      </c>
      <c r="O22" s="10"/>
      <c r="Q22" s="20"/>
    </row>
    <row r="23" spans="1:17" x14ac:dyDescent="0.3">
      <c r="A23" s="16">
        <v>1968</v>
      </c>
      <c r="B23" s="10">
        <f>data!AA23</f>
        <v>2.2726999999999999</v>
      </c>
      <c r="C23" s="10">
        <f>data!AD23</f>
        <v>2.5279699999999998</v>
      </c>
      <c r="D23" s="10">
        <f>data!AG23</f>
        <v>1.5562</v>
      </c>
      <c r="E23" s="15"/>
      <c r="F23" s="10">
        <f t="shared" si="1"/>
        <v>0.5635024285714284</v>
      </c>
      <c r="G23" s="15"/>
      <c r="H23" s="10">
        <f t="shared" si="4"/>
        <v>4.748178476035763E-2</v>
      </c>
      <c r="I23" s="10">
        <f t="shared" si="4"/>
        <v>5.449277395664659E-2</v>
      </c>
      <c r="J23" s="10">
        <f t="shared" si="2"/>
        <v>2.8747539064206212E-2</v>
      </c>
      <c r="K23" s="10">
        <f t="shared" si="3"/>
        <v>7.4965131897430717E-3</v>
      </c>
      <c r="L23" s="20"/>
      <c r="M23" s="10">
        <f t="shared" si="5"/>
        <v>0.16694622281858701</v>
      </c>
      <c r="N23" s="10">
        <f t="shared" si="0"/>
        <v>1.1816907156036278</v>
      </c>
      <c r="O23" s="10"/>
      <c r="Q23" s="20"/>
    </row>
    <row r="24" spans="1:17" x14ac:dyDescent="0.3">
      <c r="A24" s="16">
        <v>1969</v>
      </c>
      <c r="B24" s="10">
        <f>data!AA24</f>
        <v>2.34979</v>
      </c>
      <c r="C24" s="10">
        <f>data!AD24</f>
        <v>2.66805</v>
      </c>
      <c r="D24" s="10">
        <f>data!AG24</f>
        <v>1.59785</v>
      </c>
      <c r="E24" s="15"/>
      <c r="F24" s="10">
        <f t="shared" si="1"/>
        <v>0.5635024285714284</v>
      </c>
      <c r="G24" s="15"/>
      <c r="H24" s="10">
        <f t="shared" si="4"/>
        <v>3.3357410463115501E-2</v>
      </c>
      <c r="I24" s="10">
        <f t="shared" si="4"/>
        <v>5.393125938187026E-2</v>
      </c>
      <c r="J24" s="10">
        <f t="shared" si="2"/>
        <v>2.6412023403408563E-2</v>
      </c>
      <c r="K24" s="10">
        <f t="shared" si="3"/>
        <v>-5.0666926124613657E-3</v>
      </c>
      <c r="L24" s="20"/>
      <c r="M24" s="10">
        <f t="shared" si="5"/>
        <v>0.16187953020612564</v>
      </c>
      <c r="N24" s="10">
        <f t="shared" si="0"/>
        <v>1.1757185942123729</v>
      </c>
      <c r="O24" s="10"/>
      <c r="Q24" s="20"/>
    </row>
    <row r="25" spans="1:17" x14ac:dyDescent="0.3">
      <c r="A25" s="16">
        <v>1970</v>
      </c>
      <c r="B25" s="10">
        <f>data!AA25</f>
        <v>2.3940700000000001</v>
      </c>
      <c r="C25" s="10">
        <f>data!AD25</f>
        <v>2.7946200000000001</v>
      </c>
      <c r="D25" s="10">
        <f>data!AG25</f>
        <v>1.5930500000000001</v>
      </c>
      <c r="E25" s="15"/>
      <c r="F25" s="10">
        <f t="shared" si="1"/>
        <v>0.5635024285714284</v>
      </c>
      <c r="G25" s="15"/>
      <c r="H25" s="10">
        <f t="shared" si="4"/>
        <v>1.8668884013444641E-2</v>
      </c>
      <c r="I25" s="10">
        <f t="shared" si="4"/>
        <v>4.6348271790414175E-2</v>
      </c>
      <c r="J25" s="10">
        <f t="shared" si="2"/>
        <v>-3.0085578492385118E-3</v>
      </c>
      <c r="K25" s="10">
        <f t="shared" si="3"/>
        <v>1.3330559156101416E-4</v>
      </c>
      <c r="L25" s="20"/>
      <c r="M25" s="10">
        <f t="shared" si="5"/>
        <v>0.16201283579768666</v>
      </c>
      <c r="N25" s="10">
        <f t="shared" si="0"/>
        <v>1.1758753345220314</v>
      </c>
      <c r="O25" s="10"/>
      <c r="Q25" s="20"/>
    </row>
    <row r="26" spans="1:17" x14ac:dyDescent="0.3">
      <c r="A26" s="16">
        <v>1971</v>
      </c>
      <c r="B26" s="10">
        <f>data!AA26</f>
        <v>2.4738099999999998</v>
      </c>
      <c r="C26" s="10">
        <f>data!AD26</f>
        <v>2.9310200000000002</v>
      </c>
      <c r="D26" s="10">
        <f>data!AG26</f>
        <v>1.6077600000000001</v>
      </c>
      <c r="E26" s="15"/>
      <c r="F26" s="10">
        <f t="shared" si="1"/>
        <v>0.5635024285714284</v>
      </c>
      <c r="G26" s="15"/>
      <c r="H26" s="10">
        <f t="shared" si="4"/>
        <v>3.276462584018669E-2</v>
      </c>
      <c r="I26" s="10">
        <f t="shared" si="4"/>
        <v>4.7654345017291128E-2</v>
      </c>
      <c r="J26" s="10">
        <f t="shared" si="2"/>
        <v>9.1914881311219096E-3</v>
      </c>
      <c r="K26" s="10">
        <f t="shared" si="3"/>
        <v>6.7841940880472061E-3</v>
      </c>
      <c r="L26" s="20"/>
      <c r="M26" s="10">
        <f t="shared" si="5"/>
        <v>0.16879702988573386</v>
      </c>
      <c r="N26" s="10">
        <f t="shared" si="0"/>
        <v>1.183879822313437</v>
      </c>
      <c r="O26" s="10"/>
      <c r="Q26" s="20"/>
    </row>
    <row r="27" spans="1:17" x14ac:dyDescent="0.3">
      <c r="A27" s="16">
        <v>1972</v>
      </c>
      <c r="B27" s="10">
        <f>data!AA27</f>
        <v>2.5881500000000002</v>
      </c>
      <c r="C27" s="10">
        <f>data!AD27</f>
        <v>3.0582799999999999</v>
      </c>
      <c r="D27" s="10">
        <f>data!AG27</f>
        <v>1.6358900000000001</v>
      </c>
      <c r="E27" s="15"/>
      <c r="F27" s="10">
        <f t="shared" si="1"/>
        <v>0.5635024285714284</v>
      </c>
      <c r="G27" s="15"/>
      <c r="H27" s="10">
        <f t="shared" si="4"/>
        <v>4.5183862459001405E-2</v>
      </c>
      <c r="I27" s="10">
        <f t="shared" si="4"/>
        <v>4.2502181113206181E-2</v>
      </c>
      <c r="J27" s="10">
        <f t="shared" si="2"/>
        <v>1.7345092870236896E-2</v>
      </c>
      <c r="K27" s="10">
        <f t="shared" si="3"/>
        <v>1.6857761666494143E-2</v>
      </c>
      <c r="L27" s="20"/>
      <c r="M27" s="10">
        <f t="shared" si="5"/>
        <v>0.185654791552228</v>
      </c>
      <c r="N27" s="10">
        <f t="shared" si="0"/>
        <v>1.2040065553952268</v>
      </c>
      <c r="O27" s="10"/>
      <c r="Q27" s="20"/>
    </row>
    <row r="28" spans="1:17" x14ac:dyDescent="0.3">
      <c r="A28" s="16">
        <v>1973</v>
      </c>
      <c r="B28" s="10">
        <f>data!AA28</f>
        <v>2.7119499999999999</v>
      </c>
      <c r="C28" s="10">
        <f>data!AD28</f>
        <v>3.1947000000000001</v>
      </c>
      <c r="D28" s="10">
        <f>data!AG28</f>
        <v>1.6910000000000001</v>
      </c>
      <c r="E28" s="15"/>
      <c r="F28" s="10">
        <f t="shared" si="1"/>
        <v>0.5635024285714284</v>
      </c>
      <c r="G28" s="15"/>
      <c r="H28" s="10">
        <f t="shared" si="4"/>
        <v>4.6724598556444563E-2</v>
      </c>
      <c r="I28" s="10">
        <f t="shared" si="4"/>
        <v>4.3640520278940366E-2</v>
      </c>
      <c r="J28" s="10">
        <f t="shared" si="2"/>
        <v>3.3133071160221586E-2</v>
      </c>
      <c r="K28" s="10">
        <f t="shared" si="3"/>
        <v>9.0050513739929443E-3</v>
      </c>
      <c r="L28" s="20"/>
      <c r="M28" s="10">
        <f t="shared" si="5"/>
        <v>0.19465984292622093</v>
      </c>
      <c r="N28" s="10">
        <f t="shared" si="0"/>
        <v>1.2148976601627572</v>
      </c>
      <c r="O28" s="10"/>
      <c r="Q28" s="20"/>
    </row>
    <row r="29" spans="1:17" x14ac:dyDescent="0.3">
      <c r="A29" s="16">
        <v>1974</v>
      </c>
      <c r="B29" s="10">
        <f>data!AA29</f>
        <v>2.7677299999999998</v>
      </c>
      <c r="C29" s="10">
        <f>data!AD29</f>
        <v>3.33338</v>
      </c>
      <c r="D29" s="10">
        <f>data!AG29</f>
        <v>1.7033199999999999</v>
      </c>
      <c r="E29" s="15"/>
      <c r="F29" s="10">
        <f t="shared" si="1"/>
        <v>0.5635024285714284</v>
      </c>
      <c r="G29" s="15"/>
      <c r="H29" s="10">
        <f t="shared" si="4"/>
        <v>2.0359556315137584E-2</v>
      </c>
      <c r="I29" s="10">
        <f t="shared" si="4"/>
        <v>4.2493617520626206E-2</v>
      </c>
      <c r="J29" s="10">
        <f t="shared" si="2"/>
        <v>7.2592178117730707E-3</v>
      </c>
      <c r="K29" s="10">
        <f t="shared" si="3"/>
        <v>-2.2793914002934498E-3</v>
      </c>
      <c r="L29" s="20"/>
      <c r="M29" s="10">
        <f t="shared" si="5"/>
        <v>0.19238045152592748</v>
      </c>
      <c r="N29" s="10">
        <f t="shared" si="0"/>
        <v>1.2121315865637561</v>
      </c>
      <c r="O29" s="10"/>
      <c r="Q29" s="20"/>
    </row>
    <row r="30" spans="1:17" x14ac:dyDescent="0.3">
      <c r="A30" s="16">
        <v>1975</v>
      </c>
      <c r="B30" s="10">
        <f>data!AA30</f>
        <v>2.8210099999999998</v>
      </c>
      <c r="C30" s="10">
        <f>data!AD30</f>
        <v>3.4348800000000002</v>
      </c>
      <c r="D30" s="10">
        <f>data!AG30</f>
        <v>1.7119200000000001</v>
      </c>
      <c r="E30" s="15"/>
      <c r="F30" s="10">
        <f t="shared" si="1"/>
        <v>0.5635024285714284</v>
      </c>
      <c r="G30" s="15"/>
      <c r="H30" s="10">
        <f t="shared" si="4"/>
        <v>1.9067487210671089E-2</v>
      </c>
      <c r="I30" s="10">
        <f t="shared" si="4"/>
        <v>2.9995186338335495E-2</v>
      </c>
      <c r="J30" s="10">
        <f t="shared" si="2"/>
        <v>5.0362599275390095E-3</v>
      </c>
      <c r="K30" s="10">
        <f t="shared" si="3"/>
        <v>3.1367165193549791E-3</v>
      </c>
      <c r="L30" s="20"/>
      <c r="M30" s="10">
        <f t="shared" si="5"/>
        <v>0.19551716804528246</v>
      </c>
      <c r="N30" s="10">
        <f t="shared" si="0"/>
        <v>1.2159396690502771</v>
      </c>
      <c r="O30" s="10"/>
      <c r="Q30" s="20"/>
    </row>
    <row r="31" spans="1:17" x14ac:dyDescent="0.3">
      <c r="A31" s="16">
        <v>1976</v>
      </c>
      <c r="B31" s="10">
        <f>data!AA31</f>
        <v>2.9364699999999999</v>
      </c>
      <c r="C31" s="10">
        <f>data!AD31</f>
        <v>3.5218799999999999</v>
      </c>
      <c r="D31" s="10">
        <f>data!AG31</f>
        <v>1.75197</v>
      </c>
      <c r="E31" s="15"/>
      <c r="F31" s="10">
        <f t="shared" si="1"/>
        <v>0.5635024285714284</v>
      </c>
      <c r="G31" s="15"/>
      <c r="H31" s="10">
        <f t="shared" si="4"/>
        <v>4.0113202828592452E-2</v>
      </c>
      <c r="I31" s="10">
        <f t="shared" si="4"/>
        <v>2.5012947377038131E-2</v>
      </c>
      <c r="J31" s="10">
        <f t="shared" si="2"/>
        <v>2.3125321424167841E-2</v>
      </c>
      <c r="K31" s="10">
        <f t="shared" si="3"/>
        <v>1.6163937260231187E-2</v>
      </c>
      <c r="L31" s="20"/>
      <c r="M31" s="10">
        <f t="shared" si="5"/>
        <v>0.21168110530551365</v>
      </c>
      <c r="N31" s="10">
        <f t="shared" si="0"/>
        <v>1.2357537469239748</v>
      </c>
      <c r="O31" s="10"/>
      <c r="Q31" s="20"/>
    </row>
    <row r="32" spans="1:17" x14ac:dyDescent="0.3">
      <c r="A32" s="16">
        <v>1977</v>
      </c>
      <c r="B32" s="10">
        <f>data!AA32</f>
        <v>3.05335</v>
      </c>
      <c r="C32" s="10">
        <f>data!AD32</f>
        <v>3.6268899999999999</v>
      </c>
      <c r="D32" s="10">
        <f>data!AG32</f>
        <v>1.8134600000000001</v>
      </c>
      <c r="E32" s="15"/>
      <c r="F32" s="10">
        <f t="shared" si="1"/>
        <v>0.5635024285714284</v>
      </c>
      <c r="G32" s="15"/>
      <c r="H32" s="10">
        <f t="shared" si="4"/>
        <v>3.903116883389228E-2</v>
      </c>
      <c r="I32" s="10">
        <f t="shared" si="4"/>
        <v>2.9380593802704726E-2</v>
      </c>
      <c r="J32" s="10">
        <f t="shared" si="2"/>
        <v>3.4495753621391602E-2</v>
      </c>
      <c r="K32" s="10">
        <f t="shared" si="3"/>
        <v>6.7681700508265101E-3</v>
      </c>
      <c r="L32" s="20"/>
      <c r="M32" s="10">
        <f t="shared" si="5"/>
        <v>0.21844927535634015</v>
      </c>
      <c r="N32" s="10">
        <f t="shared" si="0"/>
        <v>1.2441459061688007</v>
      </c>
      <c r="O32" s="10"/>
      <c r="Q32" s="20"/>
    </row>
    <row r="33" spans="1:17" x14ac:dyDescent="0.3">
      <c r="A33" s="16">
        <v>1978</v>
      </c>
      <c r="B33" s="10">
        <f>data!AA33</f>
        <v>3.2233800000000001</v>
      </c>
      <c r="C33" s="10">
        <f>data!AD33</f>
        <v>3.80511</v>
      </c>
      <c r="D33" s="10">
        <f>data!AG33</f>
        <v>1.89218</v>
      </c>
      <c r="E33" s="15"/>
      <c r="F33" s="10">
        <f t="shared" si="1"/>
        <v>0.5635024285714284</v>
      </c>
      <c r="G33" s="15"/>
      <c r="H33" s="10">
        <f t="shared" si="4"/>
        <v>5.4191149940263479E-2</v>
      </c>
      <c r="I33" s="10">
        <f t="shared" si="4"/>
        <v>4.7969368479596694E-2</v>
      </c>
      <c r="J33" s="10">
        <f t="shared" si="2"/>
        <v>4.2492980823812948E-2</v>
      </c>
      <c r="K33" s="10">
        <f t="shared" si="3"/>
        <v>9.3077392044995169E-3</v>
      </c>
      <c r="L33" s="20"/>
      <c r="M33" s="10">
        <f t="shared" si="5"/>
        <v>0.22775701456083966</v>
      </c>
      <c r="N33" s="10">
        <f t="shared" si="0"/>
        <v>1.2557801520657648</v>
      </c>
      <c r="O33" s="10"/>
      <c r="Q33" s="20"/>
    </row>
    <row r="34" spans="1:17" x14ac:dyDescent="0.3">
      <c r="A34" s="16">
        <v>1979</v>
      </c>
      <c r="B34" s="10">
        <f>data!AA34</f>
        <v>3.36117</v>
      </c>
      <c r="C34" s="10">
        <f>data!AD34</f>
        <v>3.99681</v>
      </c>
      <c r="D34" s="10">
        <f>data!AG34</f>
        <v>1.95574</v>
      </c>
      <c r="E34" s="15"/>
      <c r="F34" s="10">
        <f t="shared" si="1"/>
        <v>0.5635024285714284</v>
      </c>
      <c r="G34" s="15"/>
      <c r="H34" s="10">
        <f t="shared" si="4"/>
        <v>4.1858629189724259E-2</v>
      </c>
      <c r="I34" s="10">
        <f t="shared" si="4"/>
        <v>4.9151642721981116E-2</v>
      </c>
      <c r="J34" s="10">
        <f t="shared" si="2"/>
        <v>3.3039034916896852E-2</v>
      </c>
      <c r="K34" s="10">
        <f t="shared" si="3"/>
        <v>1.786480096527078E-3</v>
      </c>
      <c r="L34" s="20"/>
      <c r="M34" s="10">
        <f t="shared" si="5"/>
        <v>0.22954349465736673</v>
      </c>
      <c r="N34" s="10">
        <f t="shared" si="0"/>
        <v>1.2580255834250667</v>
      </c>
      <c r="O34" s="10"/>
      <c r="Q34" s="20"/>
    </row>
    <row r="35" spans="1:17" x14ac:dyDescent="0.3">
      <c r="A35" s="16">
        <v>1980</v>
      </c>
      <c r="B35" s="10">
        <f>data!AA35</f>
        <v>3.4101599999999999</v>
      </c>
      <c r="C35" s="10">
        <f>data!AD35</f>
        <v>4.1866899999999996</v>
      </c>
      <c r="D35" s="10">
        <f>data!AG35</f>
        <v>1.9764999999999999</v>
      </c>
      <c r="E35" s="15"/>
      <c r="F35" s="10">
        <f t="shared" si="1"/>
        <v>0.5635024285714284</v>
      </c>
      <c r="G35" s="15"/>
      <c r="H35" s="10">
        <f t="shared" si="4"/>
        <v>1.4470083367489372E-2</v>
      </c>
      <c r="I35" s="10">
        <f t="shared" si="4"/>
        <v>4.6413902657227127E-2</v>
      </c>
      <c r="J35" s="10">
        <f t="shared" si="2"/>
        <v>1.0558965312578165E-2</v>
      </c>
      <c r="K35" s="10">
        <f t="shared" si="3"/>
        <v>-1.1739475019751661E-2</v>
      </c>
      <c r="L35" s="20"/>
      <c r="M35" s="10">
        <f t="shared" si="5"/>
        <v>0.21780401963761506</v>
      </c>
      <c r="N35" s="10">
        <f t="shared" si="0"/>
        <v>1.2433433728553669</v>
      </c>
      <c r="O35" s="10"/>
      <c r="Q35" s="20"/>
    </row>
    <row r="36" spans="1:17" x14ac:dyDescent="0.3">
      <c r="A36" s="16">
        <v>1981</v>
      </c>
      <c r="B36" s="10">
        <f>data!AA36</f>
        <v>3.5070000000000001</v>
      </c>
      <c r="C36" s="10">
        <f>data!AD36</f>
        <v>4.3535399999999997</v>
      </c>
      <c r="D36" s="10">
        <f>data!AG36</f>
        <v>2.0159500000000001</v>
      </c>
      <c r="E36" s="15"/>
      <c r="F36" s="10">
        <f t="shared" si="1"/>
        <v>0.5635024285714284</v>
      </c>
      <c r="G36" s="15"/>
      <c r="H36" s="10">
        <f t="shared" si="4"/>
        <v>2.8001760142248696E-2</v>
      </c>
      <c r="I36" s="10">
        <f t="shared" si="4"/>
        <v>3.9078861649151149E-2</v>
      </c>
      <c r="J36" s="10">
        <f t="shared" si="2"/>
        <v>1.9762944559653009E-2</v>
      </c>
      <c r="K36" s="10">
        <f t="shared" si="3"/>
        <v>-1.9253531688589315E-4</v>
      </c>
      <c r="L36" s="20"/>
      <c r="M36" s="10">
        <f t="shared" si="5"/>
        <v>0.21761148432072916</v>
      </c>
      <c r="N36" s="10">
        <f t="shared" si="0"/>
        <v>1.2431040083888723</v>
      </c>
      <c r="O36" s="10"/>
      <c r="Q36" s="20"/>
    </row>
    <row r="37" spans="1:17" x14ac:dyDescent="0.3">
      <c r="A37" s="16">
        <v>1982</v>
      </c>
      <c r="B37" s="10">
        <f>data!AA37</f>
        <v>3.49451</v>
      </c>
      <c r="C37" s="10">
        <f>data!AD37</f>
        <v>4.5141</v>
      </c>
      <c r="D37" s="10">
        <f>data!AG37</f>
        <v>2.0306299999999999</v>
      </c>
      <c r="E37" s="15"/>
      <c r="F37" s="10">
        <f t="shared" si="1"/>
        <v>0.5635024285714284</v>
      </c>
      <c r="G37" s="15"/>
      <c r="H37" s="10">
        <f t="shared" si="4"/>
        <v>-3.567805587369318E-3</v>
      </c>
      <c r="I37" s="10">
        <f t="shared" si="4"/>
        <v>3.6216524196833848E-2</v>
      </c>
      <c r="J37" s="10">
        <f t="shared" si="2"/>
        <v>7.2555414200312172E-3</v>
      </c>
      <c r="K37" s="10">
        <f t="shared" si="3"/>
        <v>-2.346474565565957E-2</v>
      </c>
      <c r="L37" s="20"/>
      <c r="M37" s="10">
        <f t="shared" si="5"/>
        <v>0.1941467386650696</v>
      </c>
      <c r="N37" s="10">
        <f t="shared" si="0"/>
        <v>1.2142744508958032</v>
      </c>
      <c r="O37" s="10"/>
      <c r="Q37" s="20"/>
    </row>
    <row r="38" spans="1:17" x14ac:dyDescent="0.3">
      <c r="A38" s="16">
        <v>1983</v>
      </c>
      <c r="B38" s="10">
        <f>data!AA38</f>
        <v>3.6693500000000001</v>
      </c>
      <c r="C38" s="10">
        <f>data!AD38</f>
        <v>4.6771200000000004</v>
      </c>
      <c r="D38" s="10">
        <f>data!AG38</f>
        <v>2.0667399999999998</v>
      </c>
      <c r="E38" s="15"/>
      <c r="F38" s="10">
        <f t="shared" si="1"/>
        <v>0.5635024285714284</v>
      </c>
      <c r="G38" s="15"/>
      <c r="H38" s="10">
        <f t="shared" ref="H38:J69" si="6">LN(B38/B37)</f>
        <v>4.8821369093053624E-2</v>
      </c>
      <c r="I38" s="10">
        <f t="shared" si="6"/>
        <v>3.5476704436535916E-2</v>
      </c>
      <c r="J38" s="10">
        <f t="shared" si="2"/>
        <v>1.7626396890078888E-2</v>
      </c>
      <c r="K38" s="10">
        <f t="shared" si="3"/>
        <v>2.3403356309693136E-2</v>
      </c>
      <c r="L38" s="20"/>
      <c r="M38" s="10">
        <f t="shared" si="5"/>
        <v>0.21755009497476274</v>
      </c>
      <c r="N38" s="10">
        <f t="shared" si="0"/>
        <v>1.2430276973891943</v>
      </c>
      <c r="O38" s="10"/>
      <c r="Q38" s="20"/>
    </row>
    <row r="39" spans="1:17" x14ac:dyDescent="0.3">
      <c r="A39" s="16">
        <v>1984</v>
      </c>
      <c r="B39" s="10">
        <f>data!AA39</f>
        <v>3.8820999999999999</v>
      </c>
      <c r="C39" s="10">
        <f>data!AD39</f>
        <v>4.9088900000000004</v>
      </c>
      <c r="D39" s="10">
        <f>data!AG39</f>
        <v>2.1653199999999999</v>
      </c>
      <c r="E39" s="15"/>
      <c r="F39" s="10">
        <f t="shared" si="1"/>
        <v>0.5635024285714284</v>
      </c>
      <c r="G39" s="15"/>
      <c r="H39" s="10">
        <f t="shared" si="6"/>
        <v>5.6361709668880253E-2</v>
      </c>
      <c r="I39" s="10">
        <f t="shared" si="6"/>
        <v>4.8365311115148628E-2</v>
      </c>
      <c r="J39" s="10">
        <f t="shared" si="2"/>
        <v>4.659566991247472E-2</v>
      </c>
      <c r="K39" s="10">
        <f t="shared" si="3"/>
        <v>8.9935956691384357E-3</v>
      </c>
      <c r="L39" s="20"/>
      <c r="M39" s="10">
        <f t="shared" si="5"/>
        <v>0.22654369064390117</v>
      </c>
      <c r="N39" s="10">
        <f t="shared" si="0"/>
        <v>1.2542574079505835</v>
      </c>
      <c r="O39" s="10"/>
      <c r="Q39" s="20"/>
    </row>
    <row r="40" spans="1:17" x14ac:dyDescent="0.3">
      <c r="A40" s="16">
        <v>1985</v>
      </c>
      <c r="B40" s="10">
        <f>data!AA40</f>
        <v>4.0423200000000001</v>
      </c>
      <c r="C40" s="10">
        <f>data!AD40</f>
        <v>5.1692400000000003</v>
      </c>
      <c r="D40" s="10">
        <f>data!AG40</f>
        <v>2.2215199999999999</v>
      </c>
      <c r="E40" s="15"/>
      <c r="F40" s="10">
        <f t="shared" si="1"/>
        <v>0.5635024285714284</v>
      </c>
      <c r="G40" s="15"/>
      <c r="H40" s="10">
        <f t="shared" si="6"/>
        <v>4.0442540243497541E-2</v>
      </c>
      <c r="I40" s="10">
        <f t="shared" si="6"/>
        <v>5.1677828777769073E-2</v>
      </c>
      <c r="J40" s="10">
        <f t="shared" si="2"/>
        <v>2.5623489742410129E-2</v>
      </c>
      <c r="K40" s="10">
        <f t="shared" si="3"/>
        <v>3.4463947869766004E-3</v>
      </c>
      <c r="L40" s="20"/>
      <c r="M40" s="10">
        <f t="shared" si="5"/>
        <v>0.22999008543087779</v>
      </c>
      <c r="N40" s="10">
        <f t="shared" si="0"/>
        <v>1.2585875315145414</v>
      </c>
      <c r="O40" s="10"/>
      <c r="Q40" s="20"/>
    </row>
    <row r="41" spans="1:17" x14ac:dyDescent="0.3">
      <c r="A41" s="16">
        <v>1986</v>
      </c>
      <c r="B41" s="10">
        <f>data!AA41</f>
        <v>4.2105399999999999</v>
      </c>
      <c r="C41" s="10">
        <f>data!AD41</f>
        <v>5.4448600000000003</v>
      </c>
      <c r="D41" s="10">
        <f>data!AG41</f>
        <v>2.2674500000000002</v>
      </c>
      <c r="E41" s="15"/>
      <c r="F41" s="10">
        <f t="shared" si="1"/>
        <v>0.5635024285714284</v>
      </c>
      <c r="G41" s="15"/>
      <c r="H41" s="10">
        <f t="shared" si="6"/>
        <v>4.0772120926056601E-2</v>
      </c>
      <c r="I41" s="10">
        <f t="shared" si="6"/>
        <v>5.1946368612039537E-2</v>
      </c>
      <c r="J41" s="10">
        <f t="shared" si="2"/>
        <v>2.0464205768134954E-2</v>
      </c>
      <c r="K41" s="10">
        <f t="shared" si="3"/>
        <v>6.5660275332384832E-3</v>
      </c>
      <c r="L41" s="20"/>
      <c r="M41" s="10">
        <f t="shared" si="5"/>
        <v>0.23655611296411627</v>
      </c>
      <c r="N41" s="10">
        <f t="shared" si="0"/>
        <v>1.2668786419414582</v>
      </c>
      <c r="O41" s="10"/>
      <c r="Q41" s="20"/>
    </row>
    <row r="42" spans="1:17" x14ac:dyDescent="0.3">
      <c r="A42" s="16">
        <v>1987</v>
      </c>
      <c r="B42" s="10">
        <f>data!AA42</f>
        <v>4.3061100000000003</v>
      </c>
      <c r="C42" s="10">
        <f>data!AD42</f>
        <v>5.7438900000000004</v>
      </c>
      <c r="D42" s="10">
        <f>data!AG42</f>
        <v>2.36591</v>
      </c>
      <c r="E42" s="15"/>
      <c r="F42" s="10">
        <f t="shared" si="1"/>
        <v>0.5635024285714284</v>
      </c>
      <c r="G42" s="15"/>
      <c r="H42" s="10">
        <f t="shared" si="6"/>
        <v>2.2444038863840526E-2</v>
      </c>
      <c r="I42" s="10">
        <f t="shared" si="6"/>
        <v>5.3464636752426124E-2</v>
      </c>
      <c r="J42" s="10">
        <f t="shared" si="2"/>
        <v>4.2506873901119749E-2</v>
      </c>
      <c r="K42" s="10">
        <f t="shared" si="3"/>
        <v>-2.4845871910164678E-2</v>
      </c>
      <c r="L42" s="20"/>
      <c r="M42" s="10">
        <f t="shared" si="5"/>
        <v>0.21171024105395159</v>
      </c>
      <c r="N42" s="10">
        <f t="shared" si="0"/>
        <v>1.2357897520587922</v>
      </c>
      <c r="O42" s="10"/>
      <c r="Q42" s="20"/>
    </row>
    <row r="43" spans="1:17" x14ac:dyDescent="0.3">
      <c r="A43" s="16">
        <v>1988</v>
      </c>
      <c r="B43" s="10">
        <f>data!AA43</f>
        <v>4.48325</v>
      </c>
      <c r="C43" s="10">
        <f>data!AD43</f>
        <v>6.0273099999999999</v>
      </c>
      <c r="D43" s="10">
        <f>data!AG43</f>
        <v>2.4168099999999999</v>
      </c>
      <c r="E43" s="15"/>
      <c r="F43" s="10">
        <f t="shared" si="1"/>
        <v>0.5635024285714284</v>
      </c>
      <c r="G43" s="15"/>
      <c r="H43" s="10">
        <f t="shared" si="6"/>
        <v>4.031328548039622E-2</v>
      </c>
      <c r="I43" s="10">
        <f t="shared" si="6"/>
        <v>4.8164127241667458E-2</v>
      </c>
      <c r="J43" s="10">
        <f t="shared" si="2"/>
        <v>2.1285762836006802E-2</v>
      </c>
      <c r="K43" s="10">
        <f t="shared" si="3"/>
        <v>7.2951818573463809E-3</v>
      </c>
      <c r="L43" s="20"/>
      <c r="M43" s="10">
        <f t="shared" si="5"/>
        <v>0.21900542291129796</v>
      </c>
      <c r="N43" s="10">
        <f t="shared" si="0"/>
        <v>1.2448380273154296</v>
      </c>
      <c r="O43" s="10"/>
      <c r="Q43" s="20"/>
    </row>
    <row r="44" spans="1:17" x14ac:dyDescent="0.3">
      <c r="A44" s="16">
        <v>1989</v>
      </c>
      <c r="B44" s="10">
        <f>data!AA44</f>
        <v>4.6776999999999997</v>
      </c>
      <c r="C44" s="10">
        <f>data!AD44</f>
        <v>6.2785500000000001</v>
      </c>
      <c r="D44" s="10">
        <f>data!AG44</f>
        <v>2.5043700000000002</v>
      </c>
      <c r="E44" s="15"/>
      <c r="F44" s="10">
        <f t="shared" si="1"/>
        <v>0.5635024285714284</v>
      </c>
      <c r="G44" s="15"/>
      <c r="H44" s="10">
        <f t="shared" si="6"/>
        <v>4.2458306289103596E-2</v>
      </c>
      <c r="I44" s="10">
        <f t="shared" si="6"/>
        <v>4.0838253714373635E-2</v>
      </c>
      <c r="J44" s="10">
        <f t="shared" si="2"/>
        <v>3.5588717115652424E-2</v>
      </c>
      <c r="K44" s="10">
        <f t="shared" si="3"/>
        <v>4.5781791969839586E-3</v>
      </c>
      <c r="L44" s="20"/>
      <c r="M44" s="10">
        <f t="shared" si="5"/>
        <v>0.22358360210828193</v>
      </c>
      <c r="N44" s="10">
        <f t="shared" si="0"/>
        <v>1.2505501845382834</v>
      </c>
      <c r="O44" s="10"/>
      <c r="Q44" s="20"/>
    </row>
    <row r="45" spans="1:17" x14ac:dyDescent="0.3">
      <c r="A45" s="16">
        <v>1990</v>
      </c>
      <c r="B45" s="10">
        <f>data!AA45</f>
        <v>4.7953599999999996</v>
      </c>
      <c r="C45" s="10">
        <f>data!AD45</f>
        <v>6.5381299999999998</v>
      </c>
      <c r="D45" s="10">
        <f>data!AG45</f>
        <v>2.5562299999999998</v>
      </c>
      <c r="E45" s="15"/>
      <c r="F45" s="10">
        <f t="shared" si="1"/>
        <v>0.5635024285714284</v>
      </c>
      <c r="G45" s="15"/>
      <c r="H45" s="10">
        <f t="shared" si="6"/>
        <v>2.4842247588139011E-2</v>
      </c>
      <c r="I45" s="10">
        <f t="shared" si="6"/>
        <v>4.0512129760074775E-2</v>
      </c>
      <c r="J45" s="10">
        <f t="shared" si="2"/>
        <v>2.0496310917322381E-2</v>
      </c>
      <c r="K45" s="10">
        <f t="shared" si="3"/>
        <v>-4.3909196441990327E-3</v>
      </c>
      <c r="L45" s="20"/>
      <c r="M45" s="10">
        <f t="shared" si="5"/>
        <v>0.21919268246408291</v>
      </c>
      <c r="N45" s="10">
        <f t="shared" si="0"/>
        <v>1.2450711569549091</v>
      </c>
      <c r="O45" s="10"/>
      <c r="Q45" s="20"/>
    </row>
    <row r="46" spans="1:17" x14ac:dyDescent="0.3">
      <c r="A46" s="16">
        <v>1991</v>
      </c>
      <c r="B46" s="10">
        <f>data!AA46</f>
        <v>4.8310399999999998</v>
      </c>
      <c r="C46" s="10">
        <f>data!AD46</f>
        <v>6.7529599999999999</v>
      </c>
      <c r="D46" s="10">
        <f>data!AG46</f>
        <v>2.5460600000000002</v>
      </c>
      <c r="E46" s="15"/>
      <c r="F46" s="10">
        <f t="shared" si="1"/>
        <v>0.5635024285714284</v>
      </c>
      <c r="G46" s="15"/>
      <c r="H46" s="10">
        <f t="shared" si="6"/>
        <v>7.412981673595118E-3</v>
      </c>
      <c r="I46" s="10">
        <f t="shared" si="6"/>
        <v>3.232973542097102E-2</v>
      </c>
      <c r="J46" s="10">
        <f t="shared" si="2"/>
        <v>-3.9864505813219575E-3</v>
      </c>
      <c r="K46" s="10">
        <f t="shared" si="3"/>
        <v>-4.452494738632096E-3</v>
      </c>
      <c r="L46" s="20"/>
      <c r="M46" s="10">
        <f t="shared" si="5"/>
        <v>0.21474018772545081</v>
      </c>
      <c r="N46" s="10">
        <f t="shared" si="0"/>
        <v>1.2395398074696984</v>
      </c>
      <c r="O46" s="10"/>
      <c r="Q46" s="20"/>
    </row>
    <row r="47" spans="1:17" x14ac:dyDescent="0.3">
      <c r="A47" s="16">
        <v>1992</v>
      </c>
      <c r="B47" s="10">
        <f>data!AA47</f>
        <v>4.9996499999999999</v>
      </c>
      <c r="C47" s="10">
        <f>data!AD47</f>
        <v>6.9660799999999998</v>
      </c>
      <c r="D47" s="10">
        <f>data!AG47</f>
        <v>2.55823</v>
      </c>
      <c r="E47" s="15"/>
      <c r="F47" s="10">
        <f t="shared" si="1"/>
        <v>0.5635024285714284</v>
      </c>
      <c r="G47" s="15"/>
      <c r="H47" s="10">
        <f t="shared" si="6"/>
        <v>3.4306144586751922E-2</v>
      </c>
      <c r="I47" s="10">
        <f t="shared" si="6"/>
        <v>3.1071728948623385E-2</v>
      </c>
      <c r="J47" s="10">
        <f t="shared" si="2"/>
        <v>4.7685468737734965E-3</v>
      </c>
      <c r="K47" s="10">
        <f t="shared" si="3"/>
        <v>1.8056322616462912E-2</v>
      </c>
      <c r="L47" s="20"/>
      <c r="M47" s="10">
        <f t="shared" si="5"/>
        <v>0.23279651034191373</v>
      </c>
      <c r="N47" s="10">
        <f t="shared" si="0"/>
        <v>1.2621246238862578</v>
      </c>
      <c r="O47" s="10"/>
      <c r="Q47" s="20"/>
    </row>
    <row r="48" spans="1:17" x14ac:dyDescent="0.3">
      <c r="A48" s="16">
        <v>1993</v>
      </c>
      <c r="B48" s="10">
        <f>data!AA48</f>
        <v>5.1351699999999996</v>
      </c>
      <c r="C48" s="10">
        <f>data!AD48</f>
        <v>7.2307899999999998</v>
      </c>
      <c r="D48" s="10">
        <f>data!AG48</f>
        <v>2.6217600000000001</v>
      </c>
      <c r="E48" s="15"/>
      <c r="F48" s="10">
        <f t="shared" si="1"/>
        <v>0.5635024285714284</v>
      </c>
      <c r="G48" s="15"/>
      <c r="H48" s="10">
        <f t="shared" si="6"/>
        <v>2.6745038982911487E-2</v>
      </c>
      <c r="I48" s="10">
        <f t="shared" si="6"/>
        <v>3.7295640914333107E-2</v>
      </c>
      <c r="J48" s="10">
        <f t="shared" si="2"/>
        <v>2.4530234861374029E-2</v>
      </c>
      <c r="K48" s="10">
        <f t="shared" si="3"/>
        <v>-3.3572646188787664E-3</v>
      </c>
      <c r="L48" s="20"/>
      <c r="M48" s="10">
        <f t="shared" si="5"/>
        <v>0.22943924572303498</v>
      </c>
      <c r="N48" s="10">
        <f t="shared" si="0"/>
        <v>1.2578944424344054</v>
      </c>
      <c r="O48" s="10"/>
      <c r="Q48" s="20"/>
    </row>
    <row r="49" spans="1:17" x14ac:dyDescent="0.3">
      <c r="A49" s="16">
        <v>1994</v>
      </c>
      <c r="B49" s="10">
        <f>data!AA49</f>
        <v>5.2988400000000002</v>
      </c>
      <c r="C49" s="10">
        <f>data!AD49</f>
        <v>7.5210299999999997</v>
      </c>
      <c r="D49" s="10">
        <f>data!AG49</f>
        <v>2.6848299999999998</v>
      </c>
      <c r="E49" s="15"/>
      <c r="F49" s="10">
        <f t="shared" si="1"/>
        <v>0.5635024285714284</v>
      </c>
      <c r="G49" s="15"/>
      <c r="H49" s="10">
        <f t="shared" si="6"/>
        <v>3.1374979711570813E-2</v>
      </c>
      <c r="I49" s="10">
        <f t="shared" si="6"/>
        <v>3.9354799522815648E-2</v>
      </c>
      <c r="J49" s="10">
        <f t="shared" si="2"/>
        <v>2.3771563273694632E-2</v>
      </c>
      <c r="K49" s="10">
        <f t="shared" si="3"/>
        <v>8.013716601371762E-4</v>
      </c>
      <c r="L49" s="20"/>
      <c r="M49" s="10">
        <f t="shared" si="5"/>
        <v>0.23024061738317214</v>
      </c>
      <c r="N49" s="10">
        <f t="shared" si="0"/>
        <v>1.2589028874076593</v>
      </c>
      <c r="O49" s="10"/>
      <c r="Q49" s="20"/>
    </row>
    <row r="50" spans="1:17" x14ac:dyDescent="0.3">
      <c r="A50" s="16">
        <v>1995</v>
      </c>
      <c r="B50" s="10">
        <f>data!AA50</f>
        <v>5.42272</v>
      </c>
      <c r="C50" s="10">
        <f>data!AD50</f>
        <v>7.8340300000000003</v>
      </c>
      <c r="D50" s="10">
        <f>data!AG50</f>
        <v>2.7652100000000002</v>
      </c>
      <c r="E50" s="15"/>
      <c r="F50" s="10">
        <f t="shared" si="1"/>
        <v>0.5635024285714284</v>
      </c>
      <c r="G50" s="15"/>
      <c r="H50" s="10">
        <f t="shared" si="6"/>
        <v>2.3109605909439276E-2</v>
      </c>
      <c r="I50" s="10">
        <f t="shared" si="6"/>
        <v>4.0773968030046535E-2</v>
      </c>
      <c r="J50" s="10">
        <f t="shared" si="2"/>
        <v>2.9499170212371965E-2</v>
      </c>
      <c r="K50" s="10">
        <f t="shared" si="3"/>
        <v>-1.1310986168695799E-2</v>
      </c>
      <c r="L50" s="20"/>
      <c r="M50" s="10">
        <f t="shared" si="5"/>
        <v>0.21892963121447634</v>
      </c>
      <c r="N50" s="10">
        <f t="shared" si="0"/>
        <v>1.2447436825043932</v>
      </c>
      <c r="O50" s="10"/>
      <c r="Q50" s="20"/>
    </row>
    <row r="51" spans="1:17" x14ac:dyDescent="0.3">
      <c r="A51" s="16">
        <v>1996</v>
      </c>
      <c r="B51" s="10">
        <f>data!AA51</f>
        <v>5.6475600000000004</v>
      </c>
      <c r="C51" s="10">
        <f>data!AD51</f>
        <v>8.1678300000000004</v>
      </c>
      <c r="D51" s="10">
        <f>data!AG51</f>
        <v>2.8087300000000002</v>
      </c>
      <c r="E51" s="15"/>
      <c r="F51" s="10">
        <f t="shared" si="1"/>
        <v>0.5635024285714284</v>
      </c>
      <c r="G51" s="15"/>
      <c r="H51" s="10">
        <f t="shared" si="6"/>
        <v>4.0626058885664479E-2</v>
      </c>
      <c r="I51" s="10">
        <f t="shared" si="6"/>
        <v>4.1726203019641403E-2</v>
      </c>
      <c r="J51" s="10">
        <f t="shared" si="2"/>
        <v>1.561584242941931E-2</v>
      </c>
      <c r="K51" s="10">
        <f t="shared" si="3"/>
        <v>1.361310746948894E-2</v>
      </c>
      <c r="L51" s="20"/>
      <c r="M51" s="10">
        <f t="shared" si="5"/>
        <v>0.23254273868396527</v>
      </c>
      <c r="N51" s="10">
        <f t="shared" si="0"/>
        <v>1.2618043730649262</v>
      </c>
      <c r="O51" s="10"/>
      <c r="Q51" s="20"/>
    </row>
    <row r="52" spans="1:17" x14ac:dyDescent="0.3">
      <c r="A52" s="16">
        <v>1997</v>
      </c>
      <c r="B52" s="10">
        <f>data!AA52</f>
        <v>5.9142799999999998</v>
      </c>
      <c r="C52" s="10">
        <f>data!AD52</f>
        <v>8.5780399999999997</v>
      </c>
      <c r="D52" s="10">
        <f>data!AG52</f>
        <v>2.8978799999999998</v>
      </c>
      <c r="E52" s="15"/>
      <c r="F52" s="10">
        <f t="shared" si="1"/>
        <v>0.5635024285714284</v>
      </c>
      <c r="G52" s="15"/>
      <c r="H52" s="10">
        <f t="shared" si="6"/>
        <v>4.6146172118341697E-2</v>
      </c>
      <c r="I52" s="10">
        <f t="shared" si="6"/>
        <v>4.9002181458175316E-2</v>
      </c>
      <c r="J52" s="10">
        <f t="shared" si="2"/>
        <v>3.1247011286867566E-2</v>
      </c>
      <c r="K52" s="10">
        <f t="shared" si="3"/>
        <v>7.1490721713972846E-3</v>
      </c>
      <c r="L52" s="20"/>
      <c r="M52" s="10">
        <f t="shared" si="5"/>
        <v>0.23969181085536256</v>
      </c>
      <c r="N52" s="10">
        <f t="shared" si="0"/>
        <v>1.2708574254989156</v>
      </c>
      <c r="O52" s="10"/>
      <c r="Q52" s="20"/>
    </row>
    <row r="53" spans="1:17" x14ac:dyDescent="0.3">
      <c r="A53" s="16">
        <v>1998</v>
      </c>
      <c r="B53" s="10">
        <f>data!AA53</f>
        <v>6.1789100000000001</v>
      </c>
      <c r="C53" s="10">
        <f>data!AD53</f>
        <v>9.0732599999999994</v>
      </c>
      <c r="D53" s="10">
        <f>data!AG53</f>
        <v>3.0030800000000002</v>
      </c>
      <c r="E53" s="15"/>
      <c r="F53" s="10">
        <f t="shared" si="1"/>
        <v>0.5635024285714284</v>
      </c>
      <c r="G53" s="15"/>
      <c r="H53" s="10">
        <f t="shared" si="6"/>
        <v>4.3772114917184184E-2</v>
      </c>
      <c r="I53" s="10">
        <f t="shared" si="6"/>
        <v>5.6126177054669969E-2</v>
      </c>
      <c r="J53" s="10">
        <f t="shared" si="2"/>
        <v>3.5658993499327836E-2</v>
      </c>
      <c r="K53" s="10">
        <f t="shared" si="3"/>
        <v>-8.2075449803329162E-4</v>
      </c>
      <c r="L53" s="20"/>
      <c r="M53" s="10">
        <f t="shared" si="5"/>
        <v>0.23887105635732928</v>
      </c>
      <c r="N53" s="10">
        <f t="shared" si="0"/>
        <v>1.2698147914823876</v>
      </c>
      <c r="O53" s="10"/>
      <c r="Q53" s="20"/>
    </row>
    <row r="54" spans="1:17" x14ac:dyDescent="0.3">
      <c r="A54" s="16">
        <v>1999</v>
      </c>
      <c r="B54" s="10">
        <f>data!AA54</f>
        <v>6.4527900000000002</v>
      </c>
      <c r="C54" s="10">
        <f>data!AD54</f>
        <v>9.6734100000000005</v>
      </c>
      <c r="D54" s="10">
        <f>data!AG54</f>
        <v>3.0707300000000002</v>
      </c>
      <c r="E54" s="15"/>
      <c r="F54" s="10">
        <f t="shared" si="1"/>
        <v>0.5635024285714284</v>
      </c>
      <c r="G54" s="15"/>
      <c r="H54" s="10">
        <f t="shared" si="6"/>
        <v>4.3370714911815468E-2</v>
      </c>
      <c r="I54" s="10">
        <f t="shared" si="6"/>
        <v>6.4049258094982131E-2</v>
      </c>
      <c r="J54" s="10">
        <f t="shared" si="2"/>
        <v>2.2276889676022087E-2</v>
      </c>
      <c r="K54" s="10">
        <f t="shared" si="3"/>
        <v>2.8602878680977599E-3</v>
      </c>
      <c r="L54" s="20"/>
      <c r="M54" s="10">
        <f t="shared" si="5"/>
        <v>0.24173134422542703</v>
      </c>
      <c r="N54" s="10">
        <f t="shared" si="0"/>
        <v>1.2734520266151981</v>
      </c>
      <c r="O54" s="10"/>
      <c r="Q54" s="20"/>
    </row>
    <row r="55" spans="1:17" x14ac:dyDescent="0.3">
      <c r="A55" s="16">
        <v>2000</v>
      </c>
      <c r="B55" s="10">
        <f>data!AA55</f>
        <v>6.6897500000000001</v>
      </c>
      <c r="C55" s="10">
        <f>data!AD55</f>
        <v>10.30064</v>
      </c>
      <c r="D55" s="10">
        <f>data!AG55</f>
        <v>3.14656</v>
      </c>
      <c r="E55" s="15"/>
      <c r="F55" s="10">
        <f t="shared" si="1"/>
        <v>0.5635024285714284</v>
      </c>
      <c r="G55" s="15"/>
      <c r="H55" s="10">
        <f t="shared" si="6"/>
        <v>3.6063908813204586E-2</v>
      </c>
      <c r="I55" s="10">
        <f t="shared" si="6"/>
        <v>6.2825144902465338E-2</v>
      </c>
      <c r="J55" s="10">
        <f t="shared" si="2"/>
        <v>2.4394474260638049E-2</v>
      </c>
      <c r="K55" s="10">
        <f t="shared" si="3"/>
        <v>-5.1054598509623801E-3</v>
      </c>
      <c r="L55" s="20"/>
      <c r="M55" s="10">
        <f t="shared" si="5"/>
        <v>0.23662588437446463</v>
      </c>
      <c r="N55" s="10">
        <f t="shared" si="0"/>
        <v>1.2669670369347326</v>
      </c>
      <c r="O55" s="10"/>
      <c r="Q55" s="20"/>
    </row>
    <row r="56" spans="1:17" x14ac:dyDescent="0.3">
      <c r="A56" s="16">
        <v>2001</v>
      </c>
      <c r="B56" s="10">
        <f>data!AA56</f>
        <v>6.8407600000000004</v>
      </c>
      <c r="C56" s="10">
        <f>data!AD56</f>
        <v>10.807650000000001</v>
      </c>
      <c r="D56" s="10">
        <f>data!AG56</f>
        <v>3.1608299999999998</v>
      </c>
      <c r="E56" s="15"/>
      <c r="F56" s="10">
        <f t="shared" si="1"/>
        <v>0.5635024285714284</v>
      </c>
      <c r="G56" s="15"/>
      <c r="H56" s="10">
        <f t="shared" si="6"/>
        <v>2.2322332339069821E-2</v>
      </c>
      <c r="I56" s="10">
        <f t="shared" si="6"/>
        <v>4.8048187486290653E-2</v>
      </c>
      <c r="J56" s="10">
        <f t="shared" si="2"/>
        <v>4.5248587283810392E-3</v>
      </c>
      <c r="K56" s="10">
        <f t="shared" si="3"/>
        <v>-1.200353692626074E-3</v>
      </c>
      <c r="L56" s="20"/>
      <c r="M56" s="10">
        <f t="shared" si="5"/>
        <v>0.23542553068183855</v>
      </c>
      <c r="N56" s="10">
        <f t="shared" si="0"/>
        <v>1.2654471407624988</v>
      </c>
      <c r="O56" s="10"/>
      <c r="Q56" s="20"/>
    </row>
    <row r="57" spans="1:17" x14ac:dyDescent="0.3">
      <c r="A57" s="16">
        <v>2002</v>
      </c>
      <c r="B57" s="10">
        <f>data!AA57</f>
        <v>7.0051399999999999</v>
      </c>
      <c r="C57" s="10">
        <f>data!AD57</f>
        <v>11.15659</v>
      </c>
      <c r="D57" s="10">
        <f>data!AG57</f>
        <v>3.1783000000000001</v>
      </c>
      <c r="E57" s="15"/>
      <c r="F57" s="10">
        <f t="shared" si="1"/>
        <v>0.5635024285714284</v>
      </c>
      <c r="G57" s="15"/>
      <c r="H57" s="10">
        <f t="shared" si="6"/>
        <v>2.3745328740552869E-2</v>
      </c>
      <c r="I57" s="10">
        <f t="shared" si="6"/>
        <v>3.1776137992144654E-2</v>
      </c>
      <c r="J57" s="10">
        <f t="shared" si="2"/>
        <v>5.5118113142616871E-3</v>
      </c>
      <c r="K57" s="10">
        <f t="shared" si="3"/>
        <v>6.7692026161886229E-3</v>
      </c>
      <c r="L57" s="20"/>
      <c r="M57" s="10">
        <f t="shared" si="5"/>
        <v>0.24219473329802718</v>
      </c>
      <c r="N57" s="10">
        <f t="shared" si="0"/>
        <v>1.274042267113749</v>
      </c>
      <c r="O57" s="10"/>
      <c r="Q57" s="20"/>
    </row>
    <row r="58" spans="1:17" x14ac:dyDescent="0.3">
      <c r="A58" s="16">
        <v>2003</v>
      </c>
      <c r="B58" s="10">
        <f>data!AA58</f>
        <v>7.1905200000000002</v>
      </c>
      <c r="C58" s="10">
        <f>data!AD58</f>
        <v>11.53589</v>
      </c>
      <c r="D58" s="10">
        <f>data!AG58</f>
        <v>3.20133</v>
      </c>
      <c r="E58" s="15"/>
      <c r="F58" s="10">
        <f t="shared" si="1"/>
        <v>0.5635024285714284</v>
      </c>
      <c r="G58" s="15"/>
      <c r="H58" s="10">
        <f t="shared" si="6"/>
        <v>2.6119326474431714E-2</v>
      </c>
      <c r="I58" s="10">
        <f t="shared" si="6"/>
        <v>3.3432690423587236E-2</v>
      </c>
      <c r="J58" s="10">
        <f t="shared" si="2"/>
        <v>7.219885805238282E-3</v>
      </c>
      <c r="K58" s="10">
        <f t="shared" si="3"/>
        <v>7.4576151129524685E-3</v>
      </c>
      <c r="L58" s="20"/>
      <c r="M58" s="10">
        <f t="shared" si="5"/>
        <v>0.24965234841097966</v>
      </c>
      <c r="N58" s="10">
        <f t="shared" si="0"/>
        <v>1.283579100796997</v>
      </c>
      <c r="O58" s="10"/>
      <c r="Q58" s="20"/>
    </row>
    <row r="59" spans="1:17" x14ac:dyDescent="0.3">
      <c r="A59" s="16">
        <v>2004</v>
      </c>
      <c r="B59" s="10">
        <f>data!AA59</f>
        <v>7.4134700000000002</v>
      </c>
      <c r="C59" s="10">
        <f>data!AD59</f>
        <v>11.96001</v>
      </c>
      <c r="D59" s="10">
        <f>data!AG59</f>
        <v>3.24031</v>
      </c>
      <c r="E59" s="15"/>
      <c r="F59" s="10">
        <f t="shared" si="1"/>
        <v>0.5635024285714284</v>
      </c>
      <c r="G59" s="15"/>
      <c r="H59" s="10">
        <f t="shared" si="6"/>
        <v>3.0535124007970624E-2</v>
      </c>
      <c r="I59" s="10">
        <f t="shared" si="6"/>
        <v>3.6105539512951208E-2</v>
      </c>
      <c r="J59" s="10">
        <f t="shared" si="2"/>
        <v>1.2102655782103606E-2</v>
      </c>
      <c r="K59" s="10">
        <f t="shared" si="3"/>
        <v>7.9552677700696697E-3</v>
      </c>
      <c r="L59" s="20"/>
      <c r="M59" s="10">
        <f t="shared" si="5"/>
        <v>0.25760761618104933</v>
      </c>
      <c r="N59" s="10">
        <f t="shared" si="0"/>
        <v>1.2938310406440163</v>
      </c>
      <c r="O59" s="10"/>
      <c r="Q59" s="20"/>
    </row>
    <row r="60" spans="1:17" x14ac:dyDescent="0.3">
      <c r="A60" s="16">
        <v>2005</v>
      </c>
      <c r="B60" s="10">
        <f>data!AA60</f>
        <v>7.7011799999999999</v>
      </c>
      <c r="C60" s="10">
        <f>data!AD60</f>
        <v>12.41126</v>
      </c>
      <c r="D60" s="10">
        <f>data!AG60</f>
        <v>3.2888099999999998</v>
      </c>
      <c r="E60" s="15"/>
      <c r="F60" s="10">
        <f t="shared" si="1"/>
        <v>0.5635024285714284</v>
      </c>
      <c r="G60" s="15"/>
      <c r="H60" s="10">
        <f t="shared" si="6"/>
        <v>3.8074948075657457E-2</v>
      </c>
      <c r="I60" s="10">
        <f t="shared" si="6"/>
        <v>3.7035540443421104E-2</v>
      </c>
      <c r="J60" s="10">
        <f t="shared" si="2"/>
        <v>1.4856792979989408E-2</v>
      </c>
      <c r="K60" s="10">
        <f t="shared" si="3"/>
        <v>1.3537185690552522E-2</v>
      </c>
      <c r="L60" s="20"/>
      <c r="M60" s="10">
        <f t="shared" si="5"/>
        <v>0.27114480187160184</v>
      </c>
      <c r="N60" s="10">
        <f t="shared" si="0"/>
        <v>1.3114649592167618</v>
      </c>
      <c r="O60" s="10"/>
      <c r="Q60" s="20"/>
    </row>
    <row r="61" spans="1:17" x14ac:dyDescent="0.3">
      <c r="A61" s="16">
        <v>2006</v>
      </c>
      <c r="B61" s="10">
        <f>data!AA61</f>
        <v>7.8938600000000001</v>
      </c>
      <c r="C61" s="10">
        <f>data!AD61</f>
        <v>12.85934</v>
      </c>
      <c r="D61" s="10">
        <f>data!AG61</f>
        <v>3.3863599999999998</v>
      </c>
      <c r="E61" s="15"/>
      <c r="F61" s="10">
        <f t="shared" si="1"/>
        <v>0.5635024285714284</v>
      </c>
      <c r="G61" s="15"/>
      <c r="H61" s="10">
        <f t="shared" si="6"/>
        <v>2.4711678222989017E-2</v>
      </c>
      <c r="I61" s="10">
        <f t="shared" si="6"/>
        <v>3.5466270478039047E-2</v>
      </c>
      <c r="J61" s="10">
        <f t="shared" si="2"/>
        <v>2.922980098148964E-2</v>
      </c>
      <c r="K61" s="10">
        <f t="shared" si="3"/>
        <v>-7.240326548032805E-3</v>
      </c>
      <c r="L61" s="20"/>
      <c r="M61" s="10">
        <f t="shared" si="5"/>
        <v>0.26390447532356903</v>
      </c>
      <c r="N61" s="10">
        <f t="shared" si="0"/>
        <v>1.302003816867018</v>
      </c>
      <c r="O61" s="10"/>
      <c r="Q61" s="20"/>
    </row>
    <row r="62" spans="1:17" x14ac:dyDescent="0.3">
      <c r="A62" s="16">
        <v>2007</v>
      </c>
      <c r="B62" s="10">
        <f>data!AA62</f>
        <v>8.02529</v>
      </c>
      <c r="C62" s="10">
        <f>data!AD62</f>
        <v>13.150359999999999</v>
      </c>
      <c r="D62" s="10">
        <f>data!AG62</f>
        <v>3.4733100000000001</v>
      </c>
      <c r="E62" s="15"/>
      <c r="F62" s="10">
        <f t="shared" si="1"/>
        <v>0.5635024285714284</v>
      </c>
      <c r="G62" s="15"/>
      <c r="H62" s="10">
        <f t="shared" si="6"/>
        <v>1.6512563340012769E-2</v>
      </c>
      <c r="I62" s="10">
        <f t="shared" si="6"/>
        <v>2.2378739110903875E-2</v>
      </c>
      <c r="J62" s="10">
        <f t="shared" si="2"/>
        <v>2.5352431583140444E-2</v>
      </c>
      <c r="K62" s="10">
        <f t="shared" si="3"/>
        <v>-7.5418587008209866E-3</v>
      </c>
      <c r="L62" s="20"/>
      <c r="M62" s="10">
        <f t="shared" si="5"/>
        <v>0.25636261662274806</v>
      </c>
      <c r="N62" s="10">
        <f t="shared" si="0"/>
        <v>1.2922212238884108</v>
      </c>
      <c r="O62" s="10"/>
      <c r="Q62" s="20"/>
    </row>
    <row r="63" spans="1:17" x14ac:dyDescent="0.3">
      <c r="A63" s="16">
        <v>2008</v>
      </c>
      <c r="B63" s="10">
        <f>data!AA63</f>
        <v>8.0460399999999996</v>
      </c>
      <c r="C63" s="10">
        <f>data!AD63</f>
        <v>13.501519999999999</v>
      </c>
      <c r="D63" s="10">
        <f>data!AG63</f>
        <v>3.4771200000000002</v>
      </c>
      <c r="E63" s="15"/>
      <c r="F63" s="10">
        <f t="shared" si="1"/>
        <v>0.5635024285714284</v>
      </c>
      <c r="G63" s="15"/>
      <c r="H63" s="10">
        <f t="shared" si="6"/>
        <v>2.58223949480395E-3</v>
      </c>
      <c r="I63" s="10">
        <f t="shared" si="6"/>
        <v>2.6353137024004616E-2</v>
      </c>
      <c r="J63" s="10">
        <f t="shared" si="2"/>
        <v>1.0963351567080462E-3</v>
      </c>
      <c r="K63" s="10">
        <f t="shared" si="3"/>
        <v>-9.5386283390316625E-3</v>
      </c>
      <c r="L63" s="20"/>
      <c r="M63" s="10">
        <f t="shared" si="5"/>
        <v>0.24682398828371641</v>
      </c>
      <c r="N63" s="10">
        <f t="shared" si="0"/>
        <v>1.27995380608437</v>
      </c>
      <c r="O63" s="10"/>
      <c r="Q63" s="20"/>
    </row>
    <row r="64" spans="1:17" x14ac:dyDescent="0.3">
      <c r="A64" s="16">
        <v>2009</v>
      </c>
      <c r="B64" s="10">
        <f>data!AA64</f>
        <v>7.9010300000000004</v>
      </c>
      <c r="C64" s="10">
        <f>data!AD64</f>
        <v>13.637879999999999</v>
      </c>
      <c r="D64" s="10">
        <f>data!AG64</f>
        <v>3.3887</v>
      </c>
      <c r="E64" s="15"/>
      <c r="F64" s="10">
        <f t="shared" si="1"/>
        <v>0.5635024285714284</v>
      </c>
      <c r="G64" s="15"/>
      <c r="H64" s="10">
        <f t="shared" si="6"/>
        <v>-1.8186914208495546E-2</v>
      </c>
      <c r="I64" s="10">
        <f t="shared" si="6"/>
        <v>1.0048943416717375E-2</v>
      </c>
      <c r="J64" s="10">
        <f t="shared" si="2"/>
        <v>-2.5757997922141646E-2</v>
      </c>
      <c r="K64" s="10">
        <f t="shared" si="3"/>
        <v>-8.0585592210511894E-3</v>
      </c>
      <c r="L64" s="20"/>
      <c r="M64" s="10">
        <f t="shared" si="5"/>
        <v>0.23876542906266521</v>
      </c>
      <c r="N64" s="10">
        <f t="shared" si="0"/>
        <v>1.2696806714647308</v>
      </c>
      <c r="O64" s="10"/>
      <c r="Q64" s="20"/>
    </row>
    <row r="65" spans="1:17" x14ac:dyDescent="0.3">
      <c r="A65" s="16">
        <v>2010</v>
      </c>
      <c r="B65" s="10">
        <f>data!AA65</f>
        <v>8.0758500000000009</v>
      </c>
      <c r="C65" s="10">
        <f>data!AD65</f>
        <v>13.696770000000001</v>
      </c>
      <c r="D65" s="10">
        <f>data!AG65</f>
        <v>3.3982299999999999</v>
      </c>
      <c r="E65" s="15"/>
      <c r="F65" s="10">
        <f t="shared" si="1"/>
        <v>0.5635024285714284</v>
      </c>
      <c r="G65" s="15"/>
      <c r="H65" s="10">
        <f t="shared" si="6"/>
        <v>2.1884996005726815E-2</v>
      </c>
      <c r="I65" s="10">
        <f t="shared" si="6"/>
        <v>4.3088234978258984E-3</v>
      </c>
      <c r="J65" s="10">
        <f t="shared" si="2"/>
        <v>2.8083408148942787E-3</v>
      </c>
      <c r="K65" s="10">
        <f t="shared" si="3"/>
        <v>1.8421698143762256E-2</v>
      </c>
      <c r="L65" s="20"/>
      <c r="M65" s="10">
        <f t="shared" si="5"/>
        <v>0.25718712720642745</v>
      </c>
      <c r="N65" s="10">
        <f t="shared" si="0"/>
        <v>1.2932871133221373</v>
      </c>
      <c r="O65" s="10"/>
      <c r="Q65" s="20"/>
    </row>
    <row r="66" spans="1:17" x14ac:dyDescent="0.3">
      <c r="A66" s="16">
        <v>2011</v>
      </c>
      <c r="B66" s="10">
        <f>data!AA66</f>
        <v>8.2237799999999996</v>
      </c>
      <c r="C66" s="10">
        <f>data!AD66</f>
        <v>13.825939999999999</v>
      </c>
      <c r="D66" s="10">
        <f>data!AG66</f>
        <v>3.4754700000000001</v>
      </c>
      <c r="E66" s="15"/>
      <c r="F66" s="10">
        <f t="shared" si="1"/>
        <v>0.5635024285714284</v>
      </c>
      <c r="G66" s="15"/>
      <c r="H66" s="10">
        <f t="shared" si="6"/>
        <v>1.8151830655395364E-2</v>
      </c>
      <c r="I66" s="10">
        <f t="shared" si="6"/>
        <v>9.3864992502727465E-3</v>
      </c>
      <c r="J66" s="10">
        <f t="shared" si="2"/>
        <v>2.2475013835897447E-2</v>
      </c>
      <c r="K66" s="10">
        <f t="shared" si="3"/>
        <v>1.3899216497305356E-3</v>
      </c>
      <c r="L66" s="20"/>
      <c r="M66" s="10">
        <f t="shared" si="5"/>
        <v>0.25857704885615795</v>
      </c>
      <c r="N66" s="10">
        <f t="shared" si="0"/>
        <v>1.2950859308984159</v>
      </c>
      <c r="O66" s="10"/>
      <c r="Q66" s="20"/>
    </row>
    <row r="67" spans="1:17" x14ac:dyDescent="0.3">
      <c r="A67" s="16">
        <v>2012</v>
      </c>
      <c r="B67" s="10">
        <f>data!AA67</f>
        <v>8.4050899999999995</v>
      </c>
      <c r="C67" s="10">
        <f>data!AD67</f>
        <v>13.971439999999999</v>
      </c>
      <c r="D67" s="10">
        <f>data!AG67</f>
        <v>3.54331</v>
      </c>
      <c r="E67" s="15"/>
      <c r="F67" s="10">
        <f t="shared" si="1"/>
        <v>0.5635024285714284</v>
      </c>
      <c r="G67" s="15"/>
      <c r="H67" s="10">
        <f t="shared" si="6"/>
        <v>2.1807517332973796E-2</v>
      </c>
      <c r="I67" s="10">
        <f t="shared" si="6"/>
        <v>1.0468708117311718E-2</v>
      </c>
      <c r="J67" s="10">
        <f t="shared" si="2"/>
        <v>1.9331596858041537E-2</v>
      </c>
      <c r="K67" s="10">
        <f t="shared" si="3"/>
        <v>6.344549886102455E-3</v>
      </c>
      <c r="L67" s="20"/>
      <c r="M67" s="10">
        <f t="shared" si="5"/>
        <v>0.2649215987422604</v>
      </c>
      <c r="N67" s="10">
        <f t="shared" ref="N67:N71" si="7">EXP(M67)</f>
        <v>1.3033287891563232</v>
      </c>
      <c r="O67" s="10"/>
      <c r="Q67" s="20"/>
    </row>
    <row r="68" spans="1:17" x14ac:dyDescent="0.3">
      <c r="A68" s="16">
        <v>2013</v>
      </c>
      <c r="B68" s="10">
        <f>data!AA68</f>
        <v>8.5184200000000008</v>
      </c>
      <c r="C68" s="10">
        <f>data!AD68</f>
        <v>14.16333</v>
      </c>
      <c r="D68" s="10">
        <f>data!AG68</f>
        <v>3.6127400000000001</v>
      </c>
      <c r="E68" s="15"/>
      <c r="F68" s="10">
        <f t="shared" ref="F68:F72" si="8">F67</f>
        <v>0.5635024285714284</v>
      </c>
      <c r="G68" s="15"/>
      <c r="H68" s="10">
        <f t="shared" si="6"/>
        <v>1.3393402919390601E-2</v>
      </c>
      <c r="I68" s="10">
        <f t="shared" si="6"/>
        <v>1.3640984128055041E-2</v>
      </c>
      <c r="J68" s="10">
        <f t="shared" si="6"/>
        <v>1.9405168690278897E-2</v>
      </c>
      <c r="K68" s="10">
        <f t="shared" ref="K68:K71" si="9">H68-(1-F68)*I68-F68*J68</f>
        <v>-3.4957132082115185E-3</v>
      </c>
      <c r="L68" s="20"/>
      <c r="M68" s="10">
        <f t="shared" ref="M68:M71" si="10">M67+K68</f>
        <v>0.26142588553404889</v>
      </c>
      <c r="N68" s="10">
        <f t="shared" si="7"/>
        <v>1.2987806795683015</v>
      </c>
      <c r="O68" s="10"/>
      <c r="Q68" s="20"/>
    </row>
    <row r="69" spans="1:17" x14ac:dyDescent="0.3">
      <c r="A69" s="16">
        <v>2014</v>
      </c>
      <c r="B69" s="10">
        <f>data!AA69</f>
        <v>8.7123699999999999</v>
      </c>
      <c r="C69" s="10">
        <f>data!AD69</f>
        <v>14.35984</v>
      </c>
      <c r="D69" s="10">
        <f>data!AG69</f>
        <v>3.6696900000000001</v>
      </c>
      <c r="E69" s="15"/>
      <c r="F69" s="10">
        <f t="shared" si="8"/>
        <v>0.5635024285714284</v>
      </c>
      <c r="G69" s="15"/>
      <c r="H69" s="10">
        <f t="shared" si="6"/>
        <v>2.2512977250336925E-2</v>
      </c>
      <c r="I69" s="10">
        <f t="shared" si="6"/>
        <v>1.3779191387634827E-2</v>
      </c>
      <c r="J69" s="10">
        <f t="shared" si="6"/>
        <v>1.5640702616012799E-2</v>
      </c>
      <c r="K69" s="10">
        <f t="shared" si="9"/>
        <v>7.6848197646981285E-3</v>
      </c>
      <c r="L69" s="20"/>
      <c r="M69" s="10">
        <f t="shared" si="10"/>
        <v>0.26911070529874703</v>
      </c>
      <c r="N69" s="10">
        <f t="shared" si="7"/>
        <v>1.3088000241243272</v>
      </c>
      <c r="O69" s="10"/>
      <c r="Q69" s="20"/>
    </row>
    <row r="70" spans="1:17" x14ac:dyDescent="0.3">
      <c r="A70" s="16">
        <v>2015</v>
      </c>
      <c r="B70" s="10">
        <f>data!AA70</f>
        <v>8.9468800000000002</v>
      </c>
      <c r="C70" s="10">
        <f>data!AD70</f>
        <v>14.97885</v>
      </c>
      <c r="D70" s="10">
        <f>data!AG70</f>
        <v>3.76559</v>
      </c>
      <c r="E70" s="15"/>
      <c r="F70" s="10">
        <f t="shared" si="8"/>
        <v>0.5635024285714284</v>
      </c>
      <c r="G70" s="15"/>
      <c r="H70" s="10">
        <f t="shared" ref="H70:J72" si="11">LN(B70/B69)</f>
        <v>2.6561013273600848E-2</v>
      </c>
      <c r="I70" s="10">
        <f t="shared" si="11"/>
        <v>4.2203784620090126E-2</v>
      </c>
      <c r="J70" s="10">
        <f t="shared" si="11"/>
        <v>2.5797365648028658E-2</v>
      </c>
      <c r="K70" s="10">
        <f t="shared" si="9"/>
        <v>-6.3977144115722837E-3</v>
      </c>
      <c r="L70" s="20"/>
      <c r="M70" s="10">
        <f t="shared" si="10"/>
        <v>0.26271299088717476</v>
      </c>
      <c r="N70" s="10">
        <f t="shared" si="7"/>
        <v>1.3004534234013534</v>
      </c>
      <c r="O70" s="10"/>
      <c r="Q70" s="20"/>
    </row>
    <row r="71" spans="1:17" x14ac:dyDescent="0.3">
      <c r="A71" s="16">
        <v>2016</v>
      </c>
      <c r="B71" s="10">
        <f>data!AA71</f>
        <v>9.0952999999999999</v>
      </c>
      <c r="C71" s="10">
        <f>data!AD71</f>
        <v>15.74295</v>
      </c>
      <c r="D71" s="10">
        <f>data!AG71</f>
        <v>3.85019</v>
      </c>
      <c r="E71" s="15"/>
      <c r="F71" s="10">
        <f t="shared" si="8"/>
        <v>0.5635024285714284</v>
      </c>
      <c r="G71" s="15"/>
      <c r="H71" s="10">
        <f t="shared" si="11"/>
        <v>1.645292842423143E-2</v>
      </c>
      <c r="I71" s="10">
        <f t="shared" si="11"/>
        <v>4.9753439895897825E-2</v>
      </c>
      <c r="J71" s="10">
        <f t="shared" si="11"/>
        <v>2.2217942249361279E-2</v>
      </c>
      <c r="K71" s="10">
        <f t="shared" si="9"/>
        <v>-1.77841916759202E-2</v>
      </c>
      <c r="L71" s="20"/>
      <c r="M71" s="10">
        <f t="shared" si="10"/>
        <v>0.24492879921125454</v>
      </c>
      <c r="N71" s="10">
        <f t="shared" si="7"/>
        <v>1.2775303487980756</v>
      </c>
      <c r="O71" s="10"/>
      <c r="Q71" s="20"/>
    </row>
    <row r="72" spans="1:17" x14ac:dyDescent="0.3">
      <c r="A72" s="16">
        <v>2017</v>
      </c>
      <c r="B72" s="10">
        <f>data!AA72</f>
        <v>9.2801600000000004</v>
      </c>
      <c r="C72" s="10">
        <f>data!AD72</f>
        <v>16.78096</v>
      </c>
      <c r="D72" s="10">
        <f>data!AG72</f>
        <v>3.8878900000000001</v>
      </c>
      <c r="E72" s="15"/>
      <c r="F72" s="10">
        <f t="shared" si="8"/>
        <v>0.5635024285714284</v>
      </c>
      <c r="G72" s="15"/>
      <c r="H72" s="10">
        <f t="shared" si="11"/>
        <v>2.0120991446021985E-2</v>
      </c>
      <c r="I72" s="10">
        <f t="shared" si="11"/>
        <v>6.385226435529863E-2</v>
      </c>
      <c r="J72" s="10">
        <f t="shared" si="11"/>
        <v>9.7440962855510887E-3</v>
      </c>
      <c r="K72" s="10">
        <f>H72-(1-F72)*I72-F72*J72</f>
        <v>-1.324118879642289E-2</v>
      </c>
      <c r="L72" s="20"/>
      <c r="M72" s="10">
        <f>M71+K72</f>
        <v>0.23168761041483166</v>
      </c>
      <c r="N72" s="10">
        <f>EXP(M72)</f>
        <v>1.2607258296875909</v>
      </c>
      <c r="O72" s="10"/>
      <c r="Q72" s="20"/>
    </row>
    <row r="74" spans="1:17" x14ac:dyDescent="0.3">
      <c r="B74" s="10"/>
      <c r="C74" s="10"/>
      <c r="D74" s="10"/>
      <c r="E74" s="10"/>
      <c r="G74" s="10"/>
      <c r="L74" s="6" t="s">
        <v>98</v>
      </c>
      <c r="N74" s="10">
        <f>LN(N72/N35)</f>
        <v>1.388359077721644E-2</v>
      </c>
      <c r="O74" s="10"/>
      <c r="Q74" s="10"/>
    </row>
    <row r="75" spans="1:17" x14ac:dyDescent="0.3">
      <c r="B75" s="10"/>
      <c r="C75" s="10"/>
      <c r="D75" s="10"/>
      <c r="E75" s="9"/>
      <c r="F75" s="9"/>
      <c r="G75" s="9"/>
      <c r="L75" s="6" t="s">
        <v>99</v>
      </c>
      <c r="N75" s="10">
        <f>N74/($A$72-$A$35)</f>
        <v>3.7523218316801187E-4</v>
      </c>
      <c r="O75" s="11"/>
      <c r="Q75" s="10"/>
    </row>
    <row r="76" spans="1:17" x14ac:dyDescent="0.3">
      <c r="F76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1BCE-3D81-4627-86A2-C5697A17B15D}">
  <sheetPr>
    <tabColor rgb="FFFFFF00"/>
  </sheetPr>
  <dimension ref="A1:M76"/>
  <sheetViews>
    <sheetView workbookViewId="0">
      <pane xSplit="8" ySplit="14" topLeftCell="I64" activePane="bottomRight" state="frozen"/>
      <selection pane="topRight" activeCell="K1" sqref="K1"/>
      <selection pane="bottomLeft" activeCell="A15" sqref="A15"/>
      <selection pane="bottomRight" activeCell="J3" sqref="J3"/>
    </sheetView>
  </sheetViews>
  <sheetFormatPr defaultColWidth="8.77734375" defaultRowHeight="14.4" x14ac:dyDescent="0.3"/>
  <cols>
    <col min="1" max="1" width="8.77734375" style="8"/>
    <col min="2" max="2" width="12.109375" style="6" customWidth="1"/>
    <col min="3" max="4" width="13.33203125" style="6" bestFit="1" customWidth="1"/>
    <col min="5" max="5" width="2.77734375" style="6" customWidth="1"/>
    <col min="6" max="6" width="13.77734375" style="8" bestFit="1" customWidth="1"/>
    <col min="7" max="7" width="2.77734375" style="6" customWidth="1"/>
    <col min="8" max="10" width="11.33203125" style="8" customWidth="1"/>
    <col min="11" max="11" width="8.77734375" style="6"/>
    <col min="12" max="12" width="12.44140625" style="6" bestFit="1" customWidth="1"/>
    <col min="13" max="13" width="10.44140625" style="6" bestFit="1" customWidth="1"/>
    <col min="14" max="16384" width="8.77734375" style="6"/>
  </cols>
  <sheetData>
    <row r="1" spans="1:13" x14ac:dyDescent="0.3">
      <c r="A1" s="8" t="s">
        <v>0</v>
      </c>
      <c r="B1" s="8" t="s">
        <v>24</v>
      </c>
      <c r="C1" s="8" t="s">
        <v>27</v>
      </c>
      <c r="D1" s="8" t="s">
        <v>30</v>
      </c>
      <c r="E1" s="7"/>
      <c r="F1" s="8" t="s">
        <v>100</v>
      </c>
      <c r="G1" s="7"/>
      <c r="H1" s="8" t="s">
        <v>93</v>
      </c>
      <c r="I1" s="8" t="s">
        <v>94</v>
      </c>
      <c r="J1" s="8" t="s">
        <v>95</v>
      </c>
      <c r="L1" s="8" t="s">
        <v>96</v>
      </c>
      <c r="M1" s="8" t="s">
        <v>97</v>
      </c>
    </row>
    <row r="2" spans="1:13" x14ac:dyDescent="0.3">
      <c r="A2" s="8">
        <v>1947</v>
      </c>
      <c r="B2" s="10">
        <f>data!Y2</f>
        <v>1</v>
      </c>
      <c r="C2" s="12">
        <f>data!AB2</f>
        <v>1</v>
      </c>
      <c r="D2" s="12">
        <f>data!AE2</f>
        <v>1</v>
      </c>
      <c r="E2" s="7"/>
      <c r="F2" s="12">
        <f>+data!X74</f>
        <v>0.5635024285714284</v>
      </c>
      <c r="G2" s="7"/>
      <c r="L2" s="9">
        <v>0</v>
      </c>
      <c r="M2" s="10">
        <f>EXP(L2)</f>
        <v>1</v>
      </c>
    </row>
    <row r="3" spans="1:13" x14ac:dyDescent="0.3">
      <c r="A3" s="8">
        <v>1948</v>
      </c>
      <c r="B3" s="10">
        <f>data!Y3</f>
        <v>1.0406</v>
      </c>
      <c r="C3" s="12">
        <f>data!AB3</f>
        <v>1.03556</v>
      </c>
      <c r="D3" s="12">
        <f>data!AE3</f>
        <v>1.0244200000000001</v>
      </c>
      <c r="E3" s="7"/>
      <c r="F3" s="12">
        <f>F2</f>
        <v>0.5635024285714284</v>
      </c>
      <c r="G3" s="7"/>
      <c r="H3" s="11">
        <f>LN(B3/B2)</f>
        <v>3.9797469874066058E-2</v>
      </c>
      <c r="I3" s="11">
        <f>LN(C3/C2)</f>
        <v>3.4942343197564091E-2</v>
      </c>
      <c r="J3" s="11">
        <f>H3-(1-F3)*I3</f>
        <v>2.4545221928305661E-2</v>
      </c>
      <c r="L3" s="9">
        <f t="shared" ref="L3:L8" si="0">L2+J3</f>
        <v>2.4545221928305661E-2</v>
      </c>
      <c r="M3" s="10">
        <f t="shared" ref="M3:M66" si="1">EXP(L3)</f>
        <v>1.0248489357043893</v>
      </c>
    </row>
    <row r="4" spans="1:13" x14ac:dyDescent="0.3">
      <c r="A4" s="8">
        <v>1949</v>
      </c>
      <c r="B4" s="10">
        <f>data!Y4</f>
        <v>1.0339700000000001</v>
      </c>
      <c r="C4" s="12">
        <f>data!AB4</f>
        <v>1.0618300000000001</v>
      </c>
      <c r="D4" s="12">
        <f>data!AE4</f>
        <v>0.98833000000000004</v>
      </c>
      <c r="E4" s="7"/>
      <c r="F4" s="12">
        <f t="shared" ref="F4:F67" si="2">F3</f>
        <v>0.5635024285714284</v>
      </c>
      <c r="G4" s="7"/>
      <c r="H4" s="11">
        <f t="shared" ref="H4:I5" si="3">LN(B4/B3)</f>
        <v>-6.3917077483813403E-3</v>
      </c>
      <c r="I4" s="11">
        <f t="shared" si="3"/>
        <v>2.5051491479193298E-2</v>
      </c>
      <c r="J4" s="11">
        <f t="shared" ref="J4:J66" si="4">H4-(1-F4)*I4</f>
        <v>-1.7326622939712769E-2</v>
      </c>
      <c r="L4" s="9">
        <f t="shared" si="0"/>
        <v>7.2185989885928913E-3</v>
      </c>
      <c r="M4" s="10">
        <f t="shared" si="1"/>
        <v>1.0072447158789035</v>
      </c>
    </row>
    <row r="5" spans="1:13" x14ac:dyDescent="0.3">
      <c r="A5" s="8">
        <v>1950</v>
      </c>
      <c r="B5" s="10">
        <f>data!Y5</f>
        <v>1.1168</v>
      </c>
      <c r="C5" s="12">
        <f>data!AB5</f>
        <v>1.09954</v>
      </c>
      <c r="D5" s="12">
        <f>data!AE5</f>
        <v>1.0290299999999999</v>
      </c>
      <c r="E5" s="7"/>
      <c r="F5" s="12">
        <f t="shared" si="2"/>
        <v>0.5635024285714284</v>
      </c>
      <c r="G5" s="7"/>
      <c r="H5" s="11">
        <f t="shared" si="3"/>
        <v>7.7061690900286237E-2</v>
      </c>
      <c r="I5" s="11">
        <f t="shared" si="3"/>
        <v>3.4898075846984851E-2</v>
      </c>
      <c r="J5" s="11">
        <f t="shared" si="4"/>
        <v>6.1828765545547254E-2</v>
      </c>
      <c r="L5" s="9">
        <f t="shared" si="0"/>
        <v>6.9047364534140149E-2</v>
      </c>
      <c r="M5" s="10">
        <f t="shared" si="1"/>
        <v>1.0714869584271018</v>
      </c>
    </row>
    <row r="6" spans="1:13" x14ac:dyDescent="0.3">
      <c r="A6" s="8">
        <v>1951</v>
      </c>
      <c r="B6" s="10">
        <f>data!Y6</f>
        <v>1.1909400000000001</v>
      </c>
      <c r="C6" s="12">
        <f>data!AB6</f>
        <v>1.1515599999999999</v>
      </c>
      <c r="D6" s="12">
        <f>data!AE6</f>
        <v>1.09934</v>
      </c>
      <c r="E6" s="7"/>
      <c r="F6" s="12">
        <f t="shared" si="2"/>
        <v>0.5635024285714284</v>
      </c>
      <c r="G6" s="7"/>
      <c r="H6" s="11">
        <f t="shared" ref="H6:I34" si="5">LN(B6/B5)</f>
        <v>6.4275458244433217E-2</v>
      </c>
      <c r="I6" s="11">
        <f t="shared" si="5"/>
        <v>4.6225634346155231E-2</v>
      </c>
      <c r="J6" s="11">
        <f t="shared" si="4"/>
        <v>4.4098081114591292E-2</v>
      </c>
      <c r="L6" s="9">
        <f t="shared" si="0"/>
        <v>0.11314544564873144</v>
      </c>
      <c r="M6" s="10">
        <f t="shared" si="1"/>
        <v>1.1197947903845797</v>
      </c>
    </row>
    <row r="7" spans="1:13" x14ac:dyDescent="0.3">
      <c r="A7" s="8">
        <v>1952</v>
      </c>
      <c r="B7" s="10">
        <f>data!Y7</f>
        <v>1.2360500000000001</v>
      </c>
      <c r="C7" s="12">
        <f>data!AB7</f>
        <v>1.1994800000000001</v>
      </c>
      <c r="D7" s="12">
        <f>data!AE7</f>
        <v>1.1224000000000001</v>
      </c>
      <c r="E7" s="7"/>
      <c r="F7" s="12">
        <f t="shared" si="2"/>
        <v>0.5635024285714284</v>
      </c>
      <c r="G7" s="7"/>
      <c r="H7" s="11">
        <f t="shared" si="5"/>
        <v>3.717790002132499E-2</v>
      </c>
      <c r="I7" s="11">
        <f t="shared" si="5"/>
        <v>4.0770584674702737E-2</v>
      </c>
      <c r="J7" s="11">
        <f t="shared" si="4"/>
        <v>1.9381638825094305E-2</v>
      </c>
      <c r="L7" s="9">
        <f t="shared" si="0"/>
        <v>0.13252708447382575</v>
      </c>
      <c r="M7" s="10">
        <f t="shared" si="1"/>
        <v>1.1417099382833671</v>
      </c>
    </row>
    <row r="8" spans="1:13" x14ac:dyDescent="0.3">
      <c r="A8" s="8">
        <v>1953</v>
      </c>
      <c r="B8" s="10">
        <f>data!Y8</f>
        <v>1.29813</v>
      </c>
      <c r="C8" s="12">
        <f>data!AB8</f>
        <v>1.25268</v>
      </c>
      <c r="D8" s="12">
        <f>data!AE8</f>
        <v>1.1475500000000001</v>
      </c>
      <c r="E8" s="7"/>
      <c r="F8" s="12">
        <f t="shared" si="2"/>
        <v>0.5635024285714284</v>
      </c>
      <c r="G8" s="7"/>
      <c r="H8" s="11">
        <f t="shared" si="5"/>
        <v>4.9003956058288708E-2</v>
      </c>
      <c r="I8" s="11">
        <f t="shared" si="5"/>
        <v>4.3397126681470027E-2</v>
      </c>
      <c r="J8" s="11">
        <f t="shared" si="4"/>
        <v>3.0061215654848976E-2</v>
      </c>
      <c r="L8" s="9">
        <f t="shared" si="0"/>
        <v>0.16258830012867473</v>
      </c>
      <c r="M8" s="10">
        <f t="shared" si="1"/>
        <v>1.176552203573056</v>
      </c>
    </row>
    <row r="9" spans="1:13" x14ac:dyDescent="0.3">
      <c r="A9" s="8">
        <v>1954</v>
      </c>
      <c r="B9" s="10">
        <f>data!Y9</f>
        <v>1.29535</v>
      </c>
      <c r="C9" s="12">
        <f>data!AB9</f>
        <v>1.3127</v>
      </c>
      <c r="D9" s="12">
        <f>data!AE9</f>
        <v>1.1093</v>
      </c>
      <c r="E9" s="7"/>
      <c r="F9" s="12">
        <f t="shared" si="2"/>
        <v>0.5635024285714284</v>
      </c>
      <c r="G9" s="7"/>
      <c r="H9" s="11">
        <f t="shared" si="5"/>
        <v>-2.1438384446766279E-3</v>
      </c>
      <c r="I9" s="11">
        <f t="shared" si="5"/>
        <v>4.680082860115431E-2</v>
      </c>
      <c r="J9" s="11">
        <f t="shared" si="4"/>
        <v>-2.2572286469925318E-2</v>
      </c>
      <c r="L9" s="9">
        <f t="shared" ref="L9:L67" si="6">L8+J9</f>
        <v>0.14001601365874941</v>
      </c>
      <c r="M9" s="10">
        <f t="shared" si="1"/>
        <v>1.1502922190967979</v>
      </c>
    </row>
    <row r="10" spans="1:13" x14ac:dyDescent="0.3">
      <c r="A10" s="8">
        <v>1955</v>
      </c>
      <c r="B10" s="10">
        <f>data!Y10</f>
        <v>1.3892899999999999</v>
      </c>
      <c r="C10" s="12">
        <f>data!AB10</f>
        <v>1.3686499999999999</v>
      </c>
      <c r="D10" s="12">
        <f>data!AE10</f>
        <v>1.1472100000000001</v>
      </c>
      <c r="E10" s="7"/>
      <c r="F10" s="12">
        <f t="shared" si="2"/>
        <v>0.5635024285714284</v>
      </c>
      <c r="G10" s="7"/>
      <c r="H10" s="11">
        <f t="shared" si="5"/>
        <v>7.0011896372002266E-2</v>
      </c>
      <c r="I10" s="11">
        <f t="shared" si="5"/>
        <v>4.173876772575344E-2</v>
      </c>
      <c r="J10" s="11">
        <f t="shared" si="4"/>
        <v>5.1793025625289646E-2</v>
      </c>
      <c r="L10" s="9">
        <f t="shared" si="6"/>
        <v>0.19180903928403906</v>
      </c>
      <c r="M10" s="10">
        <f t="shared" si="1"/>
        <v>1.2114391575864516</v>
      </c>
    </row>
    <row r="11" spans="1:13" x14ac:dyDescent="0.3">
      <c r="A11" s="8">
        <v>1956</v>
      </c>
      <c r="B11" s="10">
        <f>data!Y11</f>
        <v>1.4118999999999999</v>
      </c>
      <c r="C11" s="12">
        <f>data!AB11</f>
        <v>1.43503</v>
      </c>
      <c r="D11" s="12">
        <f>data!AE11</f>
        <v>1.1731100000000001</v>
      </c>
      <c r="E11" s="7"/>
      <c r="F11" s="12">
        <f t="shared" si="2"/>
        <v>0.5635024285714284</v>
      </c>
      <c r="G11" s="7"/>
      <c r="H11" s="11">
        <f t="shared" si="5"/>
        <v>1.6143489755998792E-2</v>
      </c>
      <c r="I11" s="11">
        <f t="shared" si="5"/>
        <v>4.7360902363425453E-2</v>
      </c>
      <c r="J11" s="11">
        <f t="shared" si="4"/>
        <v>-4.5294291063021144E-3</v>
      </c>
      <c r="L11" s="9">
        <f t="shared" si="6"/>
        <v>0.18727961017773695</v>
      </c>
      <c r="M11" s="10">
        <f t="shared" si="1"/>
        <v>1.2059644378428616</v>
      </c>
    </row>
    <row r="12" spans="1:13" x14ac:dyDescent="0.3">
      <c r="A12" s="8">
        <v>1957</v>
      </c>
      <c r="B12" s="10">
        <f>data!Y12</f>
        <v>1.4398899999999999</v>
      </c>
      <c r="C12" s="12">
        <f>data!AB12</f>
        <v>1.49919</v>
      </c>
      <c r="D12" s="12">
        <f>data!AE12</f>
        <v>1.1725300000000001</v>
      </c>
      <c r="E12" s="7"/>
      <c r="F12" s="12">
        <f t="shared" si="2"/>
        <v>0.5635024285714284</v>
      </c>
      <c r="G12" s="7"/>
      <c r="H12" s="11">
        <f t="shared" si="5"/>
        <v>1.9630406747898226E-2</v>
      </c>
      <c r="I12" s="11">
        <f t="shared" si="5"/>
        <v>4.3739207339251518E-2</v>
      </c>
      <c r="J12" s="11">
        <f t="shared" si="4"/>
        <v>5.3834896810418462E-4</v>
      </c>
      <c r="L12" s="9">
        <f t="shared" si="6"/>
        <v>0.18781795914584112</v>
      </c>
      <c r="M12" s="10">
        <f t="shared" si="1"/>
        <v>1.2066138423409811</v>
      </c>
    </row>
    <row r="13" spans="1:13" x14ac:dyDescent="0.3">
      <c r="A13" s="8">
        <v>1958</v>
      </c>
      <c r="B13" s="10">
        <f>data!Y13</f>
        <v>1.4294899999999999</v>
      </c>
      <c r="C13" s="12">
        <f>data!AB13</f>
        <v>1.55376</v>
      </c>
      <c r="D13" s="12">
        <f>data!AE13</f>
        <v>1.13188</v>
      </c>
      <c r="E13" s="7"/>
      <c r="F13" s="12">
        <f t="shared" si="2"/>
        <v>0.5635024285714284</v>
      </c>
      <c r="G13" s="7"/>
      <c r="H13" s="11">
        <f t="shared" si="5"/>
        <v>-7.2489844784350164E-3</v>
      </c>
      <c r="I13" s="11">
        <f t="shared" si="5"/>
        <v>3.5752837608251833E-2</v>
      </c>
      <c r="J13" s="11">
        <f t="shared" si="4"/>
        <v>-2.2855011266117043E-2</v>
      </c>
      <c r="L13" s="9">
        <f t="shared" si="6"/>
        <v>0.16496294787972407</v>
      </c>
      <c r="M13" s="10">
        <f t="shared" si="1"/>
        <v>1.1793494205052641</v>
      </c>
    </row>
    <row r="14" spans="1:13" x14ac:dyDescent="0.3">
      <c r="A14" s="8">
        <v>1959</v>
      </c>
      <c r="B14" s="10">
        <f>data!Y14</f>
        <v>1.5208200000000001</v>
      </c>
      <c r="C14" s="12">
        <f>data!AB14</f>
        <v>1.6125400000000001</v>
      </c>
      <c r="D14" s="12">
        <f>data!AE14</f>
        <v>1.17106</v>
      </c>
      <c r="E14" s="7"/>
      <c r="F14" s="12">
        <f t="shared" si="2"/>
        <v>0.5635024285714284</v>
      </c>
      <c r="G14" s="7"/>
      <c r="H14" s="11">
        <f t="shared" si="5"/>
        <v>6.1931925775975533E-2</v>
      </c>
      <c r="I14" s="11">
        <f t="shared" si="5"/>
        <v>3.7132775717765409E-2</v>
      </c>
      <c r="J14" s="11">
        <f t="shared" si="4"/>
        <v>4.57235593547691E-2</v>
      </c>
      <c r="L14" s="9">
        <f t="shared" si="6"/>
        <v>0.21068650723449317</v>
      </c>
      <c r="M14" s="10">
        <f t="shared" si="1"/>
        <v>1.2345252796478887</v>
      </c>
    </row>
    <row r="15" spans="1:13" x14ac:dyDescent="0.3">
      <c r="A15" s="8">
        <v>1960</v>
      </c>
      <c r="B15" s="10">
        <f>data!Y15</f>
        <v>1.5614399999999999</v>
      </c>
      <c r="C15" s="12">
        <f>data!AB15</f>
        <v>1.6789499999999999</v>
      </c>
      <c r="D15" s="12">
        <f>data!AE15</f>
        <v>1.18679</v>
      </c>
      <c r="E15" s="7"/>
      <c r="F15" s="12">
        <f t="shared" si="2"/>
        <v>0.5635024285714284</v>
      </c>
      <c r="G15" s="7"/>
      <c r="H15" s="11">
        <f t="shared" si="5"/>
        <v>2.6358809332232724E-2</v>
      </c>
      <c r="I15" s="11">
        <f t="shared" si="5"/>
        <v>4.0358022439576854E-2</v>
      </c>
      <c r="J15" s="11">
        <f t="shared" si="4"/>
        <v>8.7426305496976324E-3</v>
      </c>
      <c r="L15" s="9">
        <f t="shared" si="6"/>
        <v>0.21942913778419079</v>
      </c>
      <c r="M15" s="10">
        <f t="shared" si="1"/>
        <v>1.2453655954632881</v>
      </c>
    </row>
    <row r="16" spans="1:13" x14ac:dyDescent="0.3">
      <c r="A16" s="8">
        <v>1961</v>
      </c>
      <c r="B16" s="10">
        <f>data!Y16</f>
        <v>1.6002000000000001</v>
      </c>
      <c r="C16" s="12">
        <f>data!AB16</f>
        <v>1.74553</v>
      </c>
      <c r="D16" s="12">
        <f>data!AE16</f>
        <v>1.1874800000000001</v>
      </c>
      <c r="E16" s="7"/>
      <c r="F16" s="12">
        <f t="shared" si="2"/>
        <v>0.5635024285714284</v>
      </c>
      <c r="G16" s="7"/>
      <c r="H16" s="11">
        <f t="shared" si="5"/>
        <v>2.452014902287257E-2</v>
      </c>
      <c r="I16" s="11">
        <f t="shared" si="5"/>
        <v>3.8889636446429267E-2</v>
      </c>
      <c r="J16" s="11">
        <f t="shared" si="4"/>
        <v>7.5449171602661284E-3</v>
      </c>
      <c r="L16" s="9">
        <f t="shared" si="6"/>
        <v>0.22697405494445691</v>
      </c>
      <c r="M16" s="10">
        <f t="shared" si="1"/>
        <v>1.2547973117319966</v>
      </c>
    </row>
    <row r="17" spans="1:13" x14ac:dyDescent="0.3">
      <c r="A17" s="8">
        <v>1962</v>
      </c>
      <c r="B17" s="10">
        <f>data!Y17</f>
        <v>1.70187</v>
      </c>
      <c r="C17" s="12">
        <f>data!AB17</f>
        <v>1.82185</v>
      </c>
      <c r="D17" s="12">
        <f>data!AE17</f>
        <v>1.22129</v>
      </c>
      <c r="E17" s="7"/>
      <c r="F17" s="12">
        <f t="shared" si="2"/>
        <v>0.5635024285714284</v>
      </c>
      <c r="G17" s="7"/>
      <c r="H17" s="11">
        <f t="shared" si="5"/>
        <v>6.1599025071584768E-2</v>
      </c>
      <c r="I17" s="11">
        <f t="shared" si="5"/>
        <v>4.2794233867962703E-2</v>
      </c>
      <c r="J17" s="11">
        <f t="shared" si="4"/>
        <v>4.2919445917072724E-2</v>
      </c>
      <c r="L17" s="9">
        <f t="shared" si="6"/>
        <v>0.26989350086152963</v>
      </c>
      <c r="M17" s="10">
        <f t="shared" si="1"/>
        <v>1.3098249480764057</v>
      </c>
    </row>
    <row r="18" spans="1:13" x14ac:dyDescent="0.3">
      <c r="A18" s="8">
        <v>1963</v>
      </c>
      <c r="B18" s="10">
        <f>data!Y18</f>
        <v>1.7798799999999999</v>
      </c>
      <c r="C18" s="12">
        <f>data!AB18</f>
        <v>1.9064700000000001</v>
      </c>
      <c r="D18" s="12">
        <f>data!AE18</f>
        <v>1.23628</v>
      </c>
      <c r="E18" s="7"/>
      <c r="F18" s="12">
        <f t="shared" si="2"/>
        <v>0.5635024285714284</v>
      </c>
      <c r="G18" s="7"/>
      <c r="H18" s="11">
        <f t="shared" si="5"/>
        <v>4.4818299795642877E-2</v>
      </c>
      <c r="I18" s="11">
        <f t="shared" si="5"/>
        <v>4.5400896214806433E-2</v>
      </c>
      <c r="J18" s="11">
        <f t="shared" si="4"/>
        <v>2.5000918857199239E-2</v>
      </c>
      <c r="L18" s="9">
        <f t="shared" si="6"/>
        <v>0.29489441971872887</v>
      </c>
      <c r="M18" s="10">
        <f t="shared" si="1"/>
        <v>1.3429845585133269</v>
      </c>
    </row>
    <row r="19" spans="1:13" x14ac:dyDescent="0.3">
      <c r="A19" s="8">
        <v>1964</v>
      </c>
      <c r="B19" s="10">
        <f>data!Y19</f>
        <v>1.88293</v>
      </c>
      <c r="C19" s="12">
        <f>data!AB19</f>
        <v>1.9979</v>
      </c>
      <c r="D19" s="12">
        <f>data!AE19</f>
        <v>1.2631699999999999</v>
      </c>
      <c r="E19" s="7"/>
      <c r="F19" s="12">
        <f t="shared" si="2"/>
        <v>0.5635024285714284</v>
      </c>
      <c r="G19" s="7"/>
      <c r="H19" s="11">
        <f t="shared" si="5"/>
        <v>5.6283127961714613E-2</v>
      </c>
      <c r="I19" s="11">
        <f t="shared" si="5"/>
        <v>4.6843264373318635E-2</v>
      </c>
      <c r="J19" s="11">
        <f t="shared" si="4"/>
        <v>3.5836156824974499E-2</v>
      </c>
      <c r="L19" s="9">
        <f t="shared" si="6"/>
        <v>0.33073057654370336</v>
      </c>
      <c r="M19" s="10">
        <f t="shared" si="1"/>
        <v>1.3919847084510055</v>
      </c>
    </row>
    <row r="20" spans="1:13" x14ac:dyDescent="0.3">
      <c r="A20" s="8">
        <v>1965</v>
      </c>
      <c r="B20" s="10">
        <f>data!Y20</f>
        <v>2.0024299999999999</v>
      </c>
      <c r="C20" s="12">
        <f>data!AB20</f>
        <v>2.1085199999999999</v>
      </c>
      <c r="D20" s="12">
        <f>data!AE20</f>
        <v>1.3098399999999999</v>
      </c>
      <c r="E20" s="7"/>
      <c r="F20" s="12">
        <f t="shared" si="2"/>
        <v>0.5635024285714284</v>
      </c>
      <c r="G20" s="7"/>
      <c r="H20" s="11">
        <f t="shared" si="5"/>
        <v>6.1532368781943486E-2</v>
      </c>
      <c r="I20" s="11">
        <f t="shared" si="5"/>
        <v>5.3889650651897616E-2</v>
      </c>
      <c r="J20" s="11">
        <f t="shared" si="4"/>
        <v>3.8009667147256038E-2</v>
      </c>
      <c r="L20" s="9">
        <f t="shared" si="6"/>
        <v>0.36874024369095937</v>
      </c>
      <c r="M20" s="10">
        <f t="shared" si="1"/>
        <v>1.4459119701337011</v>
      </c>
    </row>
    <row r="21" spans="1:13" x14ac:dyDescent="0.3">
      <c r="A21" s="8">
        <v>1966</v>
      </c>
      <c r="B21" s="10">
        <f>data!Y21</f>
        <v>2.1280199999999998</v>
      </c>
      <c r="C21" s="12">
        <f>data!AB21</f>
        <v>2.2357200000000002</v>
      </c>
      <c r="D21" s="12">
        <f>data!AE21</f>
        <v>1.3658399999999999</v>
      </c>
      <c r="E21" s="7"/>
      <c r="F21" s="12">
        <f t="shared" si="2"/>
        <v>0.5635024285714284</v>
      </c>
      <c r="G21" s="7"/>
      <c r="H21" s="11">
        <f t="shared" si="5"/>
        <v>6.0830526886700702E-2</v>
      </c>
      <c r="I21" s="11">
        <f t="shared" si="5"/>
        <v>5.8577044262461894E-2</v>
      </c>
      <c r="J21" s="11">
        <f t="shared" si="4"/>
        <v>3.5261789324672138E-2</v>
      </c>
      <c r="L21" s="9">
        <f t="shared" si="6"/>
        <v>0.40400203301563153</v>
      </c>
      <c r="M21" s="10">
        <f t="shared" si="1"/>
        <v>1.4978069920200714</v>
      </c>
    </row>
    <row r="22" spans="1:13" x14ac:dyDescent="0.3">
      <c r="A22" s="8">
        <v>1967</v>
      </c>
      <c r="B22" s="10">
        <f>data!Y22</f>
        <v>2.1890200000000002</v>
      </c>
      <c r="C22" s="12">
        <f>data!AB22</f>
        <v>2.3753000000000002</v>
      </c>
      <c r="D22" s="12">
        <f>data!AE22</f>
        <v>1.38056</v>
      </c>
      <c r="E22" s="7"/>
      <c r="F22" s="12">
        <f t="shared" si="2"/>
        <v>0.5635024285714284</v>
      </c>
      <c r="G22" s="7"/>
      <c r="H22" s="11">
        <f t="shared" si="5"/>
        <v>2.8261985159565923E-2</v>
      </c>
      <c r="I22" s="11">
        <f t="shared" si="5"/>
        <v>6.0560421460784865E-2</v>
      </c>
      <c r="J22" s="11">
        <f t="shared" si="4"/>
        <v>1.8275082672425808E-3</v>
      </c>
      <c r="L22" s="9">
        <f t="shared" si="6"/>
        <v>0.40582954128287413</v>
      </c>
      <c r="M22" s="10">
        <f t="shared" si="1"/>
        <v>1.5005467493828202</v>
      </c>
    </row>
    <row r="23" spans="1:13" x14ac:dyDescent="0.3">
      <c r="A23" s="8">
        <v>1968</v>
      </c>
      <c r="B23" s="10">
        <f>data!Y23</f>
        <v>2.30139</v>
      </c>
      <c r="C23" s="12">
        <f>data!AB23</f>
        <v>2.50997</v>
      </c>
      <c r="D23" s="12">
        <f>data!AE23</f>
        <v>1.40533</v>
      </c>
      <c r="E23" s="7"/>
      <c r="F23" s="12">
        <f t="shared" si="2"/>
        <v>0.5635024285714284</v>
      </c>
      <c r="G23" s="7"/>
      <c r="H23" s="11">
        <f t="shared" si="5"/>
        <v>5.0059333125548083E-2</v>
      </c>
      <c r="I23" s="11">
        <f t="shared" si="5"/>
        <v>5.5147055582118729E-2</v>
      </c>
      <c r="J23" s="11">
        <f t="shared" si="4"/>
        <v>2.5987777292516806E-2</v>
      </c>
      <c r="L23" s="9">
        <f t="shared" si="6"/>
        <v>0.43181731857539096</v>
      </c>
      <c r="M23" s="10">
        <f t="shared" si="1"/>
        <v>1.5400537502487681</v>
      </c>
    </row>
    <row r="24" spans="1:13" x14ac:dyDescent="0.3">
      <c r="A24" s="8">
        <v>1969</v>
      </c>
      <c r="B24" s="10">
        <f>data!Y24</f>
        <v>2.3747400000000001</v>
      </c>
      <c r="C24" s="12">
        <f>data!AB24</f>
        <v>2.6488200000000002</v>
      </c>
      <c r="D24" s="12">
        <f>data!AE24</f>
        <v>1.4378500000000001</v>
      </c>
      <c r="E24" s="7"/>
      <c r="F24" s="12">
        <f t="shared" si="2"/>
        <v>0.5635024285714284</v>
      </c>
      <c r="G24" s="7"/>
      <c r="H24" s="11">
        <f t="shared" si="5"/>
        <v>3.1374669593126063E-2</v>
      </c>
      <c r="I24" s="11">
        <f t="shared" si="5"/>
        <v>5.3843456930310556E-2</v>
      </c>
      <c r="J24" s="11">
        <f t="shared" si="4"/>
        <v>7.872131405726613E-3</v>
      </c>
      <c r="L24" s="9">
        <f t="shared" si="6"/>
        <v>0.43968944998111759</v>
      </c>
      <c r="M24" s="10">
        <f t="shared" si="1"/>
        <v>1.5522251001201208</v>
      </c>
    </row>
    <row r="25" spans="1:13" x14ac:dyDescent="0.3">
      <c r="A25" s="8">
        <v>1970</v>
      </c>
      <c r="B25" s="10">
        <f>data!Y25</f>
        <v>2.3827799999999999</v>
      </c>
      <c r="C25" s="12">
        <f>data!AB25</f>
        <v>2.7715999999999998</v>
      </c>
      <c r="D25" s="12">
        <f>data!AE25</f>
        <v>1.4046099999999999</v>
      </c>
      <c r="E25" s="7"/>
      <c r="F25" s="12">
        <f t="shared" si="2"/>
        <v>0.5635024285714284</v>
      </c>
      <c r="G25" s="7"/>
      <c r="H25" s="11">
        <f t="shared" si="5"/>
        <v>3.3799154408025193E-3</v>
      </c>
      <c r="I25" s="11">
        <f t="shared" si="5"/>
        <v>4.531051295974927E-2</v>
      </c>
      <c r="J25" s="11">
        <f t="shared" si="4"/>
        <v>-1.6398013426310858E-2</v>
      </c>
      <c r="L25" s="9">
        <f t="shared" si="6"/>
        <v>0.42329143655480672</v>
      </c>
      <c r="M25" s="10">
        <f t="shared" si="1"/>
        <v>1.5269792486970635</v>
      </c>
    </row>
    <row r="26" spans="1:13" x14ac:dyDescent="0.3">
      <c r="A26" s="8">
        <v>1971</v>
      </c>
      <c r="B26" s="10">
        <f>data!Y26</f>
        <v>2.4590700000000001</v>
      </c>
      <c r="C26" s="12">
        <f>data!AB26</f>
        <v>2.9007299999999998</v>
      </c>
      <c r="D26" s="12">
        <f>data!AE26</f>
        <v>1.40008</v>
      </c>
      <c r="E26" s="7"/>
      <c r="F26" s="12">
        <f t="shared" si="2"/>
        <v>0.5635024285714284</v>
      </c>
      <c r="G26" s="7"/>
      <c r="H26" s="11">
        <f t="shared" si="5"/>
        <v>3.1515356434812555E-2</v>
      </c>
      <c r="I26" s="11">
        <f t="shared" si="5"/>
        <v>4.5537658682065225E-2</v>
      </c>
      <c r="J26" s="11">
        <f t="shared" si="4"/>
        <v>1.1638279011547875E-2</v>
      </c>
      <c r="L26" s="9">
        <f t="shared" si="6"/>
        <v>0.43492971556635462</v>
      </c>
      <c r="M26" s="10">
        <f t="shared" si="1"/>
        <v>1.5448544759136302</v>
      </c>
    </row>
    <row r="27" spans="1:13" x14ac:dyDescent="0.3">
      <c r="A27" s="8">
        <v>1972</v>
      </c>
      <c r="B27" s="10">
        <f>data!Y27</f>
        <v>2.5888800000000001</v>
      </c>
      <c r="C27" s="12">
        <f>data!AB27</f>
        <v>3.0204900000000001</v>
      </c>
      <c r="D27" s="12">
        <f>data!AE27</f>
        <v>1.4323699999999999</v>
      </c>
      <c r="E27" s="7"/>
      <c r="F27" s="12">
        <f t="shared" si="2"/>
        <v>0.5635024285714284</v>
      </c>
      <c r="G27" s="7"/>
      <c r="H27" s="11">
        <f t="shared" si="5"/>
        <v>5.1442120067818307E-2</v>
      </c>
      <c r="I27" s="11">
        <f t="shared" si="5"/>
        <v>4.0456640427876819E-2</v>
      </c>
      <c r="J27" s="11">
        <f t="shared" si="4"/>
        <v>3.3782894772891106E-2</v>
      </c>
      <c r="L27" s="9">
        <f t="shared" si="6"/>
        <v>0.46871261033924572</v>
      </c>
      <c r="M27" s="10">
        <f t="shared" si="1"/>
        <v>1.5979357025598471</v>
      </c>
    </row>
    <row r="28" spans="1:13" x14ac:dyDescent="0.3">
      <c r="A28" s="8">
        <v>1973</v>
      </c>
      <c r="B28" s="10">
        <f>data!Y28</f>
        <v>2.72281</v>
      </c>
      <c r="C28" s="12">
        <f>data!AB28</f>
        <v>3.1526900000000002</v>
      </c>
      <c r="D28" s="12">
        <f>data!AE28</f>
        <v>1.49177</v>
      </c>
      <c r="E28" s="7"/>
      <c r="F28" s="12">
        <f t="shared" si="2"/>
        <v>0.5635024285714284</v>
      </c>
      <c r="G28" s="7"/>
      <c r="H28" s="11">
        <f t="shared" si="5"/>
        <v>5.0439085521646658E-2</v>
      </c>
      <c r="I28" s="11">
        <f t="shared" si="5"/>
        <v>4.283698678704527E-2</v>
      </c>
      <c r="J28" s="11">
        <f t="shared" si="4"/>
        <v>3.174084482178359E-2</v>
      </c>
      <c r="L28" s="9">
        <f t="shared" si="6"/>
        <v>0.50045345516102935</v>
      </c>
      <c r="M28" s="10">
        <f t="shared" si="1"/>
        <v>1.6494690614013889</v>
      </c>
    </row>
    <row r="29" spans="1:13" x14ac:dyDescent="0.3">
      <c r="A29" s="8">
        <v>1974</v>
      </c>
      <c r="B29" s="10">
        <f>data!Y29</f>
        <v>2.7034400000000001</v>
      </c>
      <c r="C29" s="12">
        <f>data!AB29</f>
        <v>3.2913800000000002</v>
      </c>
      <c r="D29" s="12">
        <f>data!AE29</f>
        <v>1.4881899999999999</v>
      </c>
      <c r="E29" s="7"/>
      <c r="F29" s="12">
        <f t="shared" si="2"/>
        <v>0.5635024285714284</v>
      </c>
      <c r="G29" s="7"/>
      <c r="H29" s="11">
        <f t="shared" si="5"/>
        <v>-7.1393991340802541E-3</v>
      </c>
      <c r="I29" s="11">
        <f t="shared" si="5"/>
        <v>4.3050873050971432E-2</v>
      </c>
      <c r="J29" s="11">
        <f t="shared" si="4"/>
        <v>-2.5931000668709025E-2</v>
      </c>
      <c r="L29" s="9">
        <f t="shared" si="6"/>
        <v>0.47452245449232033</v>
      </c>
      <c r="M29" s="10">
        <f t="shared" si="1"/>
        <v>1.6072464808538924</v>
      </c>
    </row>
    <row r="30" spans="1:13" x14ac:dyDescent="0.3">
      <c r="A30" s="8">
        <v>1975</v>
      </c>
      <c r="B30" s="10">
        <f>data!Y30</f>
        <v>2.6943800000000002</v>
      </c>
      <c r="C30" s="12">
        <f>data!AB30</f>
        <v>3.4009399999999999</v>
      </c>
      <c r="D30" s="12">
        <f>data!AE30</f>
        <v>1.4484999999999999</v>
      </c>
      <c r="E30" s="7"/>
      <c r="F30" s="12">
        <f t="shared" si="2"/>
        <v>0.5635024285714284</v>
      </c>
      <c r="G30" s="7"/>
      <c r="H30" s="11">
        <f t="shared" si="5"/>
        <v>-3.3569139052416286E-3</v>
      </c>
      <c r="I30" s="11">
        <f t="shared" si="5"/>
        <v>3.2744934280352585E-2</v>
      </c>
      <c r="J30" s="11">
        <f t="shared" si="4"/>
        <v>-1.7649998195203714E-2</v>
      </c>
      <c r="L30" s="9">
        <f t="shared" si="6"/>
        <v>0.45687245629711659</v>
      </c>
      <c r="M30" s="10">
        <f t="shared" si="1"/>
        <v>1.5791274636407111</v>
      </c>
    </row>
    <row r="31" spans="1:13" x14ac:dyDescent="0.3">
      <c r="A31" s="8">
        <v>1976</v>
      </c>
      <c r="B31" s="10">
        <f>data!Y31</f>
        <v>2.8324199999999999</v>
      </c>
      <c r="C31" s="12">
        <f>data!AB31</f>
        <v>3.4965700000000002</v>
      </c>
      <c r="D31" s="12">
        <f>data!AE31</f>
        <v>1.49011</v>
      </c>
      <c r="E31" s="7"/>
      <c r="F31" s="12">
        <f t="shared" si="2"/>
        <v>0.5635024285714284</v>
      </c>
      <c r="G31" s="7"/>
      <c r="H31" s="11">
        <f t="shared" si="5"/>
        <v>4.9963347684635957E-2</v>
      </c>
      <c r="I31" s="11">
        <f t="shared" si="5"/>
        <v>2.7730623982006156E-2</v>
      </c>
      <c r="J31" s="11">
        <f t="shared" si="4"/>
        <v>3.7858997662291366E-2</v>
      </c>
      <c r="L31" s="9">
        <f t="shared" si="6"/>
        <v>0.49473145395940799</v>
      </c>
      <c r="M31" s="10">
        <f t="shared" si="1"/>
        <v>1.6400577488989383</v>
      </c>
    </row>
    <row r="32" spans="1:13" x14ac:dyDescent="0.3">
      <c r="A32" s="8">
        <v>1977</v>
      </c>
      <c r="B32" s="10">
        <f>data!Y32</f>
        <v>2.9506100000000002</v>
      </c>
      <c r="C32" s="12">
        <f>data!AB32</f>
        <v>3.6051199999999999</v>
      </c>
      <c r="D32" s="12">
        <f>data!AE32</f>
        <v>1.54749</v>
      </c>
      <c r="E32" s="7"/>
      <c r="F32" s="12">
        <f t="shared" si="2"/>
        <v>0.5635024285714284</v>
      </c>
      <c r="G32" s="7"/>
      <c r="H32" s="11">
        <f t="shared" si="5"/>
        <v>4.0880458716670939E-2</v>
      </c>
      <c r="I32" s="11">
        <f t="shared" si="5"/>
        <v>3.0572569302750784E-2</v>
      </c>
      <c r="J32" s="11">
        <f t="shared" si="4"/>
        <v>2.7535606463688522E-2</v>
      </c>
      <c r="L32" s="9">
        <f t="shared" si="6"/>
        <v>0.52226706042309656</v>
      </c>
      <c r="M32" s="10">
        <f t="shared" si="1"/>
        <v>1.6858452337258432</v>
      </c>
    </row>
    <row r="33" spans="1:13" x14ac:dyDescent="0.3">
      <c r="A33" s="8">
        <v>1978</v>
      </c>
      <c r="B33" s="10">
        <f>data!Y33</f>
        <v>3.0999599999999998</v>
      </c>
      <c r="C33" s="12">
        <f>data!AB33</f>
        <v>3.77996</v>
      </c>
      <c r="D33" s="12">
        <f>data!AE33</f>
        <v>1.6213500000000001</v>
      </c>
      <c r="E33" s="7"/>
      <c r="F33" s="12">
        <f t="shared" si="2"/>
        <v>0.5635024285714284</v>
      </c>
      <c r="G33" s="7"/>
      <c r="H33" s="11">
        <f t="shared" si="5"/>
        <v>4.937727954526866E-2</v>
      </c>
      <c r="I33" s="11">
        <f t="shared" si="5"/>
        <v>4.7358370280767073E-2</v>
      </c>
      <c r="J33" s="11">
        <f t="shared" si="4"/>
        <v>2.8705465930898792E-2</v>
      </c>
      <c r="L33" s="9">
        <f t="shared" si="6"/>
        <v>0.55097252635399541</v>
      </c>
      <c r="M33" s="10">
        <f t="shared" si="1"/>
        <v>1.734939472033052</v>
      </c>
    </row>
    <row r="34" spans="1:13" x14ac:dyDescent="0.3">
      <c r="A34" s="8">
        <v>1979</v>
      </c>
      <c r="B34" s="10">
        <f>data!Y34</f>
        <v>3.1942699999999999</v>
      </c>
      <c r="C34" s="12">
        <f>data!AB34</f>
        <v>3.9663200000000001</v>
      </c>
      <c r="D34" s="12">
        <f>data!AE34</f>
        <v>1.67455</v>
      </c>
      <c r="E34" s="7"/>
      <c r="F34" s="12">
        <f t="shared" si="2"/>
        <v>0.5635024285714284</v>
      </c>
      <c r="G34" s="7"/>
      <c r="H34" s="11">
        <f t="shared" si="5"/>
        <v>2.9969371538331967E-2</v>
      </c>
      <c r="I34" s="11">
        <f t="shared" si="5"/>
        <v>4.8125285107304572E-2</v>
      </c>
      <c r="J34" s="11">
        <f t="shared" si="4"/>
        <v>8.9628014646859176E-3</v>
      </c>
      <c r="L34" s="9">
        <f t="shared" si="6"/>
        <v>0.55993532781868127</v>
      </c>
      <c r="M34" s="10">
        <f t="shared" si="1"/>
        <v>1.7505592841477393</v>
      </c>
    </row>
    <row r="35" spans="1:13" x14ac:dyDescent="0.3">
      <c r="A35" s="8">
        <v>1980</v>
      </c>
      <c r="B35" s="10">
        <f>data!Y35</f>
        <v>3.1723499999999998</v>
      </c>
      <c r="C35" s="12">
        <f>data!AB35</f>
        <v>4.1551799999999997</v>
      </c>
      <c r="D35" s="12">
        <f>data!AE35</f>
        <v>1.66185</v>
      </c>
      <c r="E35" s="7"/>
      <c r="F35" s="12">
        <f t="shared" si="2"/>
        <v>0.5635024285714284</v>
      </c>
      <c r="G35" s="7"/>
      <c r="H35" s="11">
        <f t="shared" ref="H35:I66" si="7">LN(B35/B34)</f>
        <v>-6.8859415556472604E-3</v>
      </c>
      <c r="I35" s="11">
        <f t="shared" si="7"/>
        <v>4.6517035996481056E-2</v>
      </c>
      <c r="J35" s="11">
        <f t="shared" si="4"/>
        <v>-2.7190514798166684E-2</v>
      </c>
      <c r="L35" s="9">
        <f t="shared" si="6"/>
        <v>0.53274481302051457</v>
      </c>
      <c r="M35" s="10">
        <f t="shared" si="1"/>
        <v>1.7036019658764756</v>
      </c>
    </row>
    <row r="36" spans="1:13" x14ac:dyDescent="0.3">
      <c r="A36" s="8">
        <v>1981</v>
      </c>
      <c r="B36" s="10">
        <f>data!Y36</f>
        <v>3.2517299999999998</v>
      </c>
      <c r="C36" s="12">
        <f>data!AB36</f>
        <v>4.3158300000000001</v>
      </c>
      <c r="D36" s="12">
        <f>data!AE36</f>
        <v>1.6838299999999999</v>
      </c>
      <c r="E36" s="7"/>
      <c r="F36" s="12">
        <f t="shared" si="2"/>
        <v>0.5635024285714284</v>
      </c>
      <c r="G36" s="7"/>
      <c r="H36" s="11">
        <f t="shared" si="7"/>
        <v>2.4714524243739277E-2</v>
      </c>
      <c r="I36" s="11">
        <f t="shared" si="7"/>
        <v>3.7933909628917122E-2</v>
      </c>
      <c r="J36" s="11">
        <f t="shared" si="4"/>
        <v>8.1564648159260442E-3</v>
      </c>
      <c r="L36" s="9">
        <f t="shared" si="6"/>
        <v>0.5409012778364406</v>
      </c>
      <c r="M36" s="10">
        <f t="shared" si="1"/>
        <v>1.7175541583040357</v>
      </c>
    </row>
    <row r="37" spans="1:13" x14ac:dyDescent="0.3">
      <c r="A37" s="8">
        <v>1982</v>
      </c>
      <c r="B37" s="10">
        <f>data!Y37</f>
        <v>3.1902300000000001</v>
      </c>
      <c r="C37" s="12">
        <f>data!AB37</f>
        <v>4.4880000000000004</v>
      </c>
      <c r="D37" s="12">
        <f>data!AE37</f>
        <v>1.6490100000000001</v>
      </c>
      <c r="E37" s="7"/>
      <c r="F37" s="12">
        <f t="shared" si="2"/>
        <v>0.5635024285714284</v>
      </c>
      <c r="G37" s="7"/>
      <c r="H37" s="11">
        <f t="shared" si="7"/>
        <v>-1.9094147897340531E-2</v>
      </c>
      <c r="I37" s="11">
        <f t="shared" si="7"/>
        <v>3.911750992276828E-2</v>
      </c>
      <c r="J37" s="11">
        <f t="shared" si="4"/>
        <v>-3.6168845978961937E-2</v>
      </c>
      <c r="L37" s="9">
        <f t="shared" si="6"/>
        <v>0.50473243185747863</v>
      </c>
      <c r="M37" s="10">
        <f t="shared" si="1"/>
        <v>1.6565422232317091</v>
      </c>
    </row>
    <row r="38" spans="1:13" x14ac:dyDescent="0.3">
      <c r="A38" s="8">
        <v>1983</v>
      </c>
      <c r="B38" s="10">
        <f>data!Y38</f>
        <v>3.3432300000000001</v>
      </c>
      <c r="C38" s="12">
        <f>data!AB38</f>
        <v>4.6554500000000001</v>
      </c>
      <c r="D38" s="12">
        <f>data!AE38</f>
        <v>1.6745399999999999</v>
      </c>
      <c r="E38" s="7"/>
      <c r="F38" s="12">
        <f t="shared" si="2"/>
        <v>0.5635024285714284</v>
      </c>
      <c r="G38" s="7"/>
      <c r="H38" s="11">
        <f t="shared" si="7"/>
        <v>4.6844391038799046E-2</v>
      </c>
      <c r="I38" s="11">
        <f t="shared" si="7"/>
        <v>3.6631408083413988E-2</v>
      </c>
      <c r="J38" s="11">
        <f t="shared" si="4"/>
        <v>3.0854870372379894E-2</v>
      </c>
      <c r="L38" s="9">
        <f t="shared" si="6"/>
        <v>0.53558730222985851</v>
      </c>
      <c r="M38" s="10">
        <f t="shared" si="1"/>
        <v>1.7084513249417728</v>
      </c>
    </row>
    <row r="39" spans="1:13" x14ac:dyDescent="0.3">
      <c r="A39" s="8">
        <v>1984</v>
      </c>
      <c r="B39" s="10">
        <f>data!Y39</f>
        <v>3.5793300000000001</v>
      </c>
      <c r="C39" s="12">
        <f>data!AB39</f>
        <v>4.85426</v>
      </c>
      <c r="D39" s="12">
        <f>data!AE39</f>
        <v>1.76894</v>
      </c>
      <c r="E39" s="7"/>
      <c r="F39" s="12">
        <f t="shared" si="2"/>
        <v>0.5635024285714284</v>
      </c>
      <c r="G39" s="7"/>
      <c r="H39" s="11">
        <f t="shared" si="7"/>
        <v>6.8238226509787406E-2</v>
      </c>
      <c r="I39" s="11">
        <f t="shared" si="7"/>
        <v>4.1818093636966036E-2</v>
      </c>
      <c r="J39" s="11">
        <f t="shared" si="4"/>
        <v>4.9984730195479124E-2</v>
      </c>
      <c r="L39" s="9">
        <f t="shared" si="6"/>
        <v>0.58557203242533762</v>
      </c>
      <c r="M39" s="10">
        <f t="shared" si="1"/>
        <v>1.7960180724223394</v>
      </c>
    </row>
    <row r="40" spans="1:13" x14ac:dyDescent="0.3">
      <c r="A40" s="8">
        <v>1985</v>
      </c>
      <c r="B40" s="10">
        <f>data!Y40</f>
        <v>3.7367400000000002</v>
      </c>
      <c r="C40" s="12">
        <f>data!AB40</f>
        <v>5.0852199999999996</v>
      </c>
      <c r="D40" s="12">
        <f>data!AE40</f>
        <v>1.80694</v>
      </c>
      <c r="E40" s="7"/>
      <c r="F40" s="12">
        <f t="shared" si="2"/>
        <v>0.5635024285714284</v>
      </c>
      <c r="G40" s="7"/>
      <c r="H40" s="11">
        <f t="shared" si="7"/>
        <v>4.3037941498190492E-2</v>
      </c>
      <c r="I40" s="11">
        <f t="shared" si="7"/>
        <v>4.6481623127307713E-2</v>
      </c>
      <c r="J40" s="11">
        <f t="shared" si="4"/>
        <v>2.2748825887062549E-2</v>
      </c>
      <c r="L40" s="9">
        <f t="shared" si="6"/>
        <v>0.60832085831240013</v>
      </c>
      <c r="M40" s="10">
        <f t="shared" si="1"/>
        <v>1.837343646808802</v>
      </c>
    </row>
    <row r="41" spans="1:13" x14ac:dyDescent="0.3">
      <c r="A41" s="8">
        <v>1986</v>
      </c>
      <c r="B41" s="10">
        <f>data!Y41</f>
        <v>3.87365</v>
      </c>
      <c r="C41" s="12">
        <f>data!AB41</f>
        <v>5.3226000000000004</v>
      </c>
      <c r="D41" s="12">
        <f>data!AE41</f>
        <v>1.8209200000000001</v>
      </c>
      <c r="E41" s="7"/>
      <c r="F41" s="12">
        <f t="shared" si="2"/>
        <v>0.5635024285714284</v>
      </c>
      <c r="G41" s="7"/>
      <c r="H41" s="11">
        <f t="shared" si="7"/>
        <v>3.5983641449745522E-2</v>
      </c>
      <c r="I41" s="11">
        <f t="shared" si="7"/>
        <v>4.5623612704376093E-2</v>
      </c>
      <c r="J41" s="11">
        <f t="shared" si="4"/>
        <v>1.6069045304487634E-2</v>
      </c>
      <c r="L41" s="9">
        <f t="shared" si="6"/>
        <v>0.62438990361688773</v>
      </c>
      <c r="M41" s="10">
        <f t="shared" si="1"/>
        <v>1.8671064949571403</v>
      </c>
    </row>
    <row r="42" spans="1:13" x14ac:dyDescent="0.3">
      <c r="A42" s="8">
        <v>1987</v>
      </c>
      <c r="B42" s="10">
        <f>data!Y42</f>
        <v>3.9964400000000002</v>
      </c>
      <c r="C42" s="12">
        <f>data!AB42</f>
        <v>5.5711399999999998</v>
      </c>
      <c r="D42" s="12">
        <f>data!AE42</f>
        <v>1.8855500000000001</v>
      </c>
      <c r="E42" s="7"/>
      <c r="F42" s="12">
        <f t="shared" si="2"/>
        <v>0.5635024285714284</v>
      </c>
      <c r="G42" s="7"/>
      <c r="H42" s="11">
        <f t="shared" si="7"/>
        <v>3.1206749827091162E-2</v>
      </c>
      <c r="I42" s="11">
        <f t="shared" si="7"/>
        <v>4.563779508867824E-2</v>
      </c>
      <c r="J42" s="11">
        <f t="shared" si="4"/>
        <v>1.1285963105528318E-2</v>
      </c>
      <c r="L42" s="9">
        <f t="shared" si="6"/>
        <v>0.63567586672241605</v>
      </c>
      <c r="M42" s="10">
        <f t="shared" si="1"/>
        <v>1.8882979480176454</v>
      </c>
    </row>
    <row r="43" spans="1:13" x14ac:dyDescent="0.3">
      <c r="A43" s="8">
        <v>1988</v>
      </c>
      <c r="B43" s="10">
        <f>data!Y43</f>
        <v>4.1638200000000003</v>
      </c>
      <c r="C43" s="12">
        <f>data!AB43</f>
        <v>5.7736299999999998</v>
      </c>
      <c r="D43" s="12">
        <f>data!AE43</f>
        <v>1.9368700000000001</v>
      </c>
      <c r="E43" s="7"/>
      <c r="F43" s="12">
        <f t="shared" si="2"/>
        <v>0.5635024285714284</v>
      </c>
      <c r="G43" s="7"/>
      <c r="H43" s="11">
        <f t="shared" si="7"/>
        <v>4.1028957317929882E-2</v>
      </c>
      <c r="I43" s="11">
        <f t="shared" si="7"/>
        <v>3.5701297966136275E-2</v>
      </c>
      <c r="J43" s="11">
        <f t="shared" si="4"/>
        <v>2.5445427458863593E-2</v>
      </c>
      <c r="L43" s="9">
        <f t="shared" si="6"/>
        <v>0.66112129418127963</v>
      </c>
      <c r="M43" s="10">
        <f t="shared" si="1"/>
        <v>1.9369630225511425</v>
      </c>
    </row>
    <row r="44" spans="1:13" x14ac:dyDescent="0.3">
      <c r="A44" s="8">
        <v>1989</v>
      </c>
      <c r="B44" s="10">
        <f>data!Y44</f>
        <v>4.31027</v>
      </c>
      <c r="C44" s="12">
        <f>data!AB44</f>
        <v>5.9772499999999997</v>
      </c>
      <c r="D44" s="12">
        <f>data!AE44</f>
        <v>1.98933</v>
      </c>
      <c r="E44" s="7"/>
      <c r="F44" s="12">
        <f t="shared" si="2"/>
        <v>0.5635024285714284</v>
      </c>
      <c r="G44" s="7"/>
      <c r="H44" s="11">
        <f t="shared" si="7"/>
        <v>3.456762501246663E-2</v>
      </c>
      <c r="I44" s="11">
        <f t="shared" si="7"/>
        <v>3.4659597143632065E-2</v>
      </c>
      <c r="J44" s="11">
        <f t="shared" si="4"/>
        <v>1.9438795032578577E-2</v>
      </c>
      <c r="L44" s="9">
        <f t="shared" si="6"/>
        <v>0.68056008921385824</v>
      </c>
      <c r="M44" s="10">
        <f t="shared" si="1"/>
        <v>1.9749835895182053</v>
      </c>
    </row>
    <row r="45" spans="1:13" x14ac:dyDescent="0.3">
      <c r="A45" s="8">
        <v>1990</v>
      </c>
      <c r="B45" s="10">
        <f>data!Y45</f>
        <v>4.3902599999999996</v>
      </c>
      <c r="C45" s="12">
        <f>data!AB45</f>
        <v>6.1940999999999997</v>
      </c>
      <c r="D45" s="12">
        <f>data!AE45</f>
        <v>2.0140199999999999</v>
      </c>
      <c r="E45" s="7"/>
      <c r="F45" s="12">
        <f t="shared" si="2"/>
        <v>0.5635024285714284</v>
      </c>
      <c r="G45" s="7"/>
      <c r="H45" s="11">
        <f t="shared" si="7"/>
        <v>1.8387903680706471E-2</v>
      </c>
      <c r="I45" s="11">
        <f t="shared" si="7"/>
        <v>3.5636630105900409E-2</v>
      </c>
      <c r="J45" s="11">
        <f t="shared" si="4"/>
        <v>2.8326011855826227E-3</v>
      </c>
      <c r="L45" s="9">
        <f t="shared" si="6"/>
        <v>0.68339269039944084</v>
      </c>
      <c r="M45" s="10">
        <f t="shared" si="1"/>
        <v>1.9805858611301068</v>
      </c>
    </row>
    <row r="46" spans="1:13" x14ac:dyDescent="0.3">
      <c r="A46" s="8">
        <v>1991</v>
      </c>
      <c r="B46" s="10">
        <f>data!Y46</f>
        <v>4.3914900000000001</v>
      </c>
      <c r="C46" s="12">
        <f>data!AB46</f>
        <v>6.3761599999999996</v>
      </c>
      <c r="D46" s="12">
        <f>data!AE46</f>
        <v>1.9877499999999999</v>
      </c>
      <c r="E46" s="7"/>
      <c r="F46" s="12">
        <f t="shared" si="2"/>
        <v>0.5635024285714284</v>
      </c>
      <c r="G46" s="7"/>
      <c r="H46" s="11">
        <f t="shared" si="7"/>
        <v>2.8012640032874336E-4</v>
      </c>
      <c r="I46" s="11">
        <f t="shared" si="7"/>
        <v>2.896880919914167E-2</v>
      </c>
      <c r="J46" s="11">
        <f t="shared" si="4"/>
        <v>-1.2364688462274261E-2</v>
      </c>
      <c r="L46" s="9">
        <f t="shared" si="6"/>
        <v>0.67102800193716661</v>
      </c>
      <c r="M46" s="10">
        <f t="shared" si="1"/>
        <v>1.9562473133484262</v>
      </c>
    </row>
    <row r="47" spans="1:13" x14ac:dyDescent="0.3">
      <c r="A47" s="8">
        <v>1992</v>
      </c>
      <c r="B47" s="10">
        <f>data!Y47</f>
        <v>4.5419200000000002</v>
      </c>
      <c r="C47" s="12">
        <f>data!AB47</f>
        <v>6.5597200000000004</v>
      </c>
      <c r="D47" s="12">
        <f>data!AE47</f>
        <v>1.9932799999999999</v>
      </c>
      <c r="E47" s="7"/>
      <c r="F47" s="12">
        <f t="shared" si="2"/>
        <v>0.5635024285714284</v>
      </c>
      <c r="G47" s="7"/>
      <c r="H47" s="11">
        <f t="shared" si="7"/>
        <v>3.3681252895899953E-2</v>
      </c>
      <c r="I47" s="11">
        <f t="shared" si="7"/>
        <v>2.8381883842278497E-2</v>
      </c>
      <c r="J47" s="11">
        <f t="shared" si="4"/>
        <v>2.1292629526177574E-2</v>
      </c>
      <c r="L47" s="9">
        <f t="shared" si="6"/>
        <v>0.69232063146334422</v>
      </c>
      <c r="M47" s="10">
        <f t="shared" si="1"/>
        <v>1.9983475848020176</v>
      </c>
    </row>
    <row r="48" spans="1:13" x14ac:dyDescent="0.3">
      <c r="A48" s="8">
        <v>1993</v>
      </c>
      <c r="B48" s="10">
        <f>data!Y48</f>
        <v>4.6596799999999998</v>
      </c>
      <c r="C48" s="12">
        <f>data!AB48</f>
        <v>6.7839700000000001</v>
      </c>
      <c r="D48" s="12">
        <f>data!AE48</f>
        <v>2.0386099999999998</v>
      </c>
      <c r="E48" s="7"/>
      <c r="F48" s="12">
        <f t="shared" si="2"/>
        <v>0.5635024285714284</v>
      </c>
      <c r="G48" s="7"/>
      <c r="H48" s="11">
        <f t="shared" si="7"/>
        <v>2.5596946109721807E-2</v>
      </c>
      <c r="I48" s="11">
        <f t="shared" si="7"/>
        <v>3.3614557191786403E-2</v>
      </c>
      <c r="J48" s="11">
        <f t="shared" si="4"/>
        <v>1.0924273530860217E-2</v>
      </c>
      <c r="L48" s="9">
        <f t="shared" si="6"/>
        <v>0.70324490499420445</v>
      </c>
      <c r="M48" s="10">
        <f t="shared" si="1"/>
        <v>2.0202977569769986</v>
      </c>
    </row>
    <row r="49" spans="1:13" x14ac:dyDescent="0.3">
      <c r="A49" s="8">
        <v>1994</v>
      </c>
      <c r="B49" s="10">
        <f>data!Y49</f>
        <v>4.8456599999999996</v>
      </c>
      <c r="C49" s="12">
        <f>data!AB49</f>
        <v>7.0274200000000002</v>
      </c>
      <c r="D49" s="12">
        <f>data!AE49</f>
        <v>2.0909</v>
      </c>
      <c r="E49" s="7"/>
      <c r="F49" s="12">
        <f t="shared" si="2"/>
        <v>0.5635024285714284</v>
      </c>
      <c r="G49" s="7"/>
      <c r="H49" s="11">
        <f t="shared" si="7"/>
        <v>3.9136682723650625E-2</v>
      </c>
      <c r="I49" s="11">
        <f t="shared" si="7"/>
        <v>3.5257163574576658E-2</v>
      </c>
      <c r="J49" s="11">
        <f t="shared" si="4"/>
        <v>2.3747016447888018E-2</v>
      </c>
      <c r="L49" s="9">
        <f t="shared" si="6"/>
        <v>0.72699192144209246</v>
      </c>
      <c r="M49" s="10">
        <f t="shared" si="1"/>
        <v>2.0688479810072451</v>
      </c>
    </row>
    <row r="50" spans="1:13" x14ac:dyDescent="0.3">
      <c r="A50" s="8">
        <v>1995</v>
      </c>
      <c r="B50" s="10">
        <f>data!Y50</f>
        <v>4.95533</v>
      </c>
      <c r="C50" s="12">
        <f>data!AB50</f>
        <v>7.30091</v>
      </c>
      <c r="D50" s="12">
        <f>data!AE50</f>
        <v>2.14378</v>
      </c>
      <c r="E50" s="7"/>
      <c r="F50" s="12">
        <f t="shared" si="2"/>
        <v>0.5635024285714284</v>
      </c>
      <c r="G50" s="7"/>
      <c r="H50" s="11">
        <f t="shared" si="7"/>
        <v>2.2380305983413059E-2</v>
      </c>
      <c r="I50" s="11">
        <f t="shared" si="7"/>
        <v>3.8179358034897783E-2</v>
      </c>
      <c r="J50" s="11">
        <f t="shared" si="4"/>
        <v>5.7151089224782535E-3</v>
      </c>
      <c r="L50" s="9">
        <f t="shared" si="6"/>
        <v>0.73270703036457074</v>
      </c>
      <c r="M50" s="10">
        <f t="shared" si="1"/>
        <v>2.0807055238625338</v>
      </c>
    </row>
    <row r="51" spans="1:13" x14ac:dyDescent="0.3">
      <c r="A51" s="8">
        <v>1996</v>
      </c>
      <c r="B51" s="10">
        <f>data!Y51</f>
        <v>5.1566900000000002</v>
      </c>
      <c r="C51" s="12">
        <f>data!AB51</f>
        <v>7.6035500000000003</v>
      </c>
      <c r="D51" s="12">
        <f>data!AE51</f>
        <v>2.1777600000000001</v>
      </c>
      <c r="E51" s="7"/>
      <c r="F51" s="12">
        <f t="shared" si="2"/>
        <v>0.5635024285714284</v>
      </c>
      <c r="G51" s="7"/>
      <c r="H51" s="11">
        <f t="shared" si="7"/>
        <v>3.9831135834644572E-2</v>
      </c>
      <c r="I51" s="11">
        <f t="shared" si="7"/>
        <v>4.0616245576252819E-2</v>
      </c>
      <c r="J51" s="11">
        <f t="shared" si="4"/>
        <v>2.2102243280063754E-2</v>
      </c>
      <c r="L51" s="9">
        <f t="shared" si="6"/>
        <v>0.75480927364463446</v>
      </c>
      <c r="M51" s="10">
        <f t="shared" si="1"/>
        <v>2.1272057704589304</v>
      </c>
    </row>
    <row r="52" spans="1:13" x14ac:dyDescent="0.3">
      <c r="A52" s="8">
        <v>1997</v>
      </c>
      <c r="B52" s="10">
        <f>data!Y52</f>
        <v>5.4053599999999999</v>
      </c>
      <c r="C52" s="12">
        <f>data!AB52</f>
        <v>7.9690099999999999</v>
      </c>
      <c r="D52" s="12">
        <f>data!AE52</f>
        <v>2.2414200000000002</v>
      </c>
      <c r="E52" s="7"/>
      <c r="F52" s="12">
        <f t="shared" si="2"/>
        <v>0.5635024285714284</v>
      </c>
      <c r="G52" s="7"/>
      <c r="H52" s="11">
        <f t="shared" si="7"/>
        <v>4.7096153075026286E-2</v>
      </c>
      <c r="I52" s="11">
        <f t="shared" si="7"/>
        <v>4.69450257816761E-2</v>
      </c>
      <c r="J52" s="11">
        <f t="shared" si="4"/>
        <v>2.6604763330672986E-2</v>
      </c>
      <c r="L52" s="9">
        <f t="shared" si="6"/>
        <v>0.78141403697530742</v>
      </c>
      <c r="M52" s="10">
        <f t="shared" si="1"/>
        <v>2.1845591298980738</v>
      </c>
    </row>
    <row r="53" spans="1:13" x14ac:dyDescent="0.3">
      <c r="A53" s="8">
        <v>1998</v>
      </c>
      <c r="B53" s="10">
        <f>data!Y53</f>
        <v>5.6329700000000003</v>
      </c>
      <c r="C53" s="12">
        <f>data!AB53</f>
        <v>8.4069199999999995</v>
      </c>
      <c r="D53" s="12">
        <f>data!AE53</f>
        <v>2.30654</v>
      </c>
      <c r="E53" s="7"/>
      <c r="F53" s="12">
        <f t="shared" si="2"/>
        <v>0.5635024285714284</v>
      </c>
      <c r="G53" s="7"/>
      <c r="H53" s="11">
        <f t="shared" si="7"/>
        <v>4.1245780270942285E-2</v>
      </c>
      <c r="I53" s="11">
        <f t="shared" si="7"/>
        <v>5.3494906950843024E-2</v>
      </c>
      <c r="J53" s="11">
        <f t="shared" si="4"/>
        <v>1.7895383303101892E-2</v>
      </c>
      <c r="L53" s="9">
        <f t="shared" si="6"/>
        <v>0.79930942027840934</v>
      </c>
      <c r="M53" s="10">
        <f t="shared" si="1"/>
        <v>2.2240045456161686</v>
      </c>
    </row>
    <row r="54" spans="1:13" x14ac:dyDescent="0.3">
      <c r="A54" s="8">
        <v>1999</v>
      </c>
      <c r="B54" s="10">
        <f>data!Y54</f>
        <v>5.8920500000000002</v>
      </c>
      <c r="C54" s="12">
        <f>data!AB54</f>
        <v>8.9096700000000002</v>
      </c>
      <c r="D54" s="12">
        <f>data!AE54</f>
        <v>2.3501500000000002</v>
      </c>
      <c r="E54" s="7"/>
      <c r="F54" s="12">
        <f t="shared" si="2"/>
        <v>0.5635024285714284</v>
      </c>
      <c r="G54" s="7"/>
      <c r="H54" s="11">
        <f t="shared" si="7"/>
        <v>4.4967150507727073E-2</v>
      </c>
      <c r="I54" s="11">
        <f t="shared" si="7"/>
        <v>5.8082027531533582E-2</v>
      </c>
      <c r="J54" s="11">
        <f t="shared" si="4"/>
        <v>1.9614486546565231E-2</v>
      </c>
      <c r="L54" s="9">
        <f t="shared" si="6"/>
        <v>0.81892390682497462</v>
      </c>
      <c r="M54" s="10">
        <f t="shared" si="1"/>
        <v>2.268057882274678</v>
      </c>
    </row>
    <row r="55" spans="1:13" x14ac:dyDescent="0.3">
      <c r="A55" s="8">
        <v>2000</v>
      </c>
      <c r="B55" s="10">
        <f>data!Y55</f>
        <v>6.1269099999999996</v>
      </c>
      <c r="C55" s="12">
        <f>data!AB55</f>
        <v>9.4075500000000005</v>
      </c>
      <c r="D55" s="12">
        <f>data!AE55</f>
        <v>2.3958300000000001</v>
      </c>
      <c r="E55" s="7"/>
      <c r="F55" s="12">
        <f t="shared" si="2"/>
        <v>0.5635024285714284</v>
      </c>
      <c r="G55" s="7"/>
      <c r="H55" s="11">
        <f t="shared" si="7"/>
        <v>3.9086559907313995E-2</v>
      </c>
      <c r="I55" s="11">
        <f t="shared" si="7"/>
        <v>5.4375354619856202E-2</v>
      </c>
      <c r="J55" s="11">
        <f t="shared" si="4"/>
        <v>1.5351849670179402E-2</v>
      </c>
      <c r="L55" s="9">
        <f t="shared" si="6"/>
        <v>0.83427575649515406</v>
      </c>
      <c r="M55" s="10">
        <f t="shared" si="1"/>
        <v>2.3031454060072671</v>
      </c>
    </row>
    <row r="56" spans="1:13" x14ac:dyDescent="0.3">
      <c r="A56" s="8">
        <v>2001</v>
      </c>
      <c r="B56" s="10">
        <f>data!Y56</f>
        <v>6.1772600000000004</v>
      </c>
      <c r="C56" s="12">
        <f>data!AB56</f>
        <v>9.8063400000000005</v>
      </c>
      <c r="D56" s="12">
        <f>data!AE56</f>
        <v>2.3863599999999998</v>
      </c>
      <c r="E56" s="7"/>
      <c r="F56" s="12">
        <f t="shared" si="2"/>
        <v>0.5635024285714284</v>
      </c>
      <c r="G56" s="7"/>
      <c r="H56" s="11">
        <f t="shared" si="7"/>
        <v>8.1842629036600594E-3</v>
      </c>
      <c r="I56" s="11">
        <f t="shared" si="7"/>
        <v>4.1516556897708473E-2</v>
      </c>
      <c r="J56" s="11">
        <f t="shared" si="4"/>
        <v>-9.9376133562658012E-3</v>
      </c>
      <c r="L56" s="9">
        <f t="shared" si="6"/>
        <v>0.82433814313888831</v>
      </c>
      <c r="M56" s="10">
        <f t="shared" si="1"/>
        <v>2.2803709865723598</v>
      </c>
    </row>
    <row r="57" spans="1:13" x14ac:dyDescent="0.3">
      <c r="A57" s="8">
        <v>2002</v>
      </c>
      <c r="B57" s="10">
        <f>data!Y57</f>
        <v>6.3017700000000003</v>
      </c>
      <c r="C57" s="12">
        <f>data!AB57</f>
        <v>10.08292</v>
      </c>
      <c r="D57" s="12">
        <f>data!AE57</f>
        <v>2.3727399999999998</v>
      </c>
      <c r="E57" s="7"/>
      <c r="F57" s="12">
        <f t="shared" si="2"/>
        <v>0.5635024285714284</v>
      </c>
      <c r="G57" s="7"/>
      <c r="H57" s="11">
        <f t="shared" si="7"/>
        <v>1.9955738860534287E-2</v>
      </c>
      <c r="I57" s="11">
        <f t="shared" si="7"/>
        <v>2.7813787955661966E-2</v>
      </c>
      <c r="J57" s="11">
        <f t="shared" si="4"/>
        <v>7.8150879656585844E-3</v>
      </c>
      <c r="L57" s="9">
        <f t="shared" si="6"/>
        <v>0.83215323110454686</v>
      </c>
      <c r="M57" s="10">
        <f t="shared" si="1"/>
        <v>2.2982621057025181</v>
      </c>
    </row>
    <row r="58" spans="1:13" x14ac:dyDescent="0.3">
      <c r="A58" s="8">
        <v>2003</v>
      </c>
      <c r="B58" s="10">
        <f>data!Y58</f>
        <v>6.4744999999999999</v>
      </c>
      <c r="C58" s="12">
        <f>data!AB58</f>
        <v>10.36509</v>
      </c>
      <c r="D58" s="12">
        <f>data!AE58</f>
        <v>2.36835</v>
      </c>
      <c r="E58" s="7"/>
      <c r="F58" s="12">
        <f t="shared" si="2"/>
        <v>0.5635024285714284</v>
      </c>
      <c r="G58" s="7"/>
      <c r="H58" s="11">
        <f t="shared" si="7"/>
        <v>2.7040838208047722E-2</v>
      </c>
      <c r="I58" s="11">
        <f t="shared" si="7"/>
        <v>2.760052568504321E-2</v>
      </c>
      <c r="J58" s="11">
        <f t="shared" si="4"/>
        <v>1.4993275776374449E-2</v>
      </c>
      <c r="L58" s="9">
        <f t="shared" si="6"/>
        <v>0.8471465068809213</v>
      </c>
      <c r="M58" s="10">
        <f t="shared" si="1"/>
        <v>2.332980201876524</v>
      </c>
    </row>
    <row r="59" spans="1:13" x14ac:dyDescent="0.3">
      <c r="A59" s="8">
        <v>2004</v>
      </c>
      <c r="B59" s="10">
        <f>data!Y59</f>
        <v>6.7084999999999999</v>
      </c>
      <c r="C59" s="12">
        <f>data!AB59</f>
        <v>10.68078</v>
      </c>
      <c r="D59" s="12">
        <f>data!AE59</f>
        <v>2.3992300000000002</v>
      </c>
      <c r="E59" s="7"/>
      <c r="F59" s="12">
        <f t="shared" si="2"/>
        <v>0.5635024285714284</v>
      </c>
      <c r="G59" s="7"/>
      <c r="H59" s="11">
        <f t="shared" si="7"/>
        <v>3.5503994521631652E-2</v>
      </c>
      <c r="I59" s="11">
        <f t="shared" si="7"/>
        <v>3.0002435655019904E-2</v>
      </c>
      <c r="J59" s="11">
        <f t="shared" si="4"/>
        <v>2.2408004221273477E-2</v>
      </c>
      <c r="L59" s="9">
        <f t="shared" si="6"/>
        <v>0.86955451110219473</v>
      </c>
      <c r="M59" s="10">
        <f t="shared" si="1"/>
        <v>2.3858477480574041</v>
      </c>
    </row>
    <row r="60" spans="1:13" x14ac:dyDescent="0.3">
      <c r="A60" s="8">
        <v>2005</v>
      </c>
      <c r="B60" s="10">
        <f>data!Y60</f>
        <v>6.92272</v>
      </c>
      <c r="C60" s="12">
        <f>data!AB60</f>
        <v>11.027340000000001</v>
      </c>
      <c r="D60" s="12">
        <f>data!AE60</f>
        <v>2.4361999999999999</v>
      </c>
      <c r="E60" s="7"/>
      <c r="F60" s="12">
        <f t="shared" si="2"/>
        <v>0.5635024285714284</v>
      </c>
      <c r="G60" s="7"/>
      <c r="H60" s="11">
        <f t="shared" si="7"/>
        <v>3.1433376935750088E-2</v>
      </c>
      <c r="I60" s="11">
        <f t="shared" si="7"/>
        <v>3.1931779137024552E-2</v>
      </c>
      <c r="J60" s="11">
        <f t="shared" si="4"/>
        <v>1.7495232891045341E-2</v>
      </c>
      <c r="L60" s="9">
        <f t="shared" si="6"/>
        <v>0.8870497439932401</v>
      </c>
      <c r="M60" s="10">
        <f t="shared" si="1"/>
        <v>2.4279559826916599</v>
      </c>
    </row>
    <row r="61" spans="1:13" x14ac:dyDescent="0.3">
      <c r="A61" s="8">
        <v>2006</v>
      </c>
      <c r="B61" s="10">
        <f>data!Y61</f>
        <v>7.1175499999999996</v>
      </c>
      <c r="C61" s="12">
        <f>data!AB61</f>
        <v>11.39472</v>
      </c>
      <c r="D61" s="12">
        <f>data!AE61</f>
        <v>2.5070000000000001</v>
      </c>
      <c r="E61" s="7"/>
      <c r="F61" s="12">
        <f t="shared" si="2"/>
        <v>0.5635024285714284</v>
      </c>
      <c r="G61" s="7"/>
      <c r="H61" s="11">
        <f t="shared" si="7"/>
        <v>2.7754809099773077E-2</v>
      </c>
      <c r="I61" s="11">
        <f t="shared" si="7"/>
        <v>3.2772446504858284E-2</v>
      </c>
      <c r="J61" s="11">
        <f t="shared" si="4"/>
        <v>1.3449715790629656E-2</v>
      </c>
      <c r="L61" s="9">
        <f t="shared" si="6"/>
        <v>0.9004994597838698</v>
      </c>
      <c r="M61" s="10">
        <f t="shared" si="1"/>
        <v>2.4608318908327251</v>
      </c>
    </row>
    <row r="62" spans="1:13" x14ac:dyDescent="0.3">
      <c r="A62" s="8">
        <v>2007</v>
      </c>
      <c r="B62" s="10">
        <f>data!Y62</f>
        <v>7.22661</v>
      </c>
      <c r="C62" s="12">
        <f>data!AB62</f>
        <v>11.674239999999999</v>
      </c>
      <c r="D62" s="12">
        <f>data!AE62</f>
        <v>2.5516999999999999</v>
      </c>
      <c r="E62" s="7"/>
      <c r="F62" s="12">
        <f t="shared" si="2"/>
        <v>0.5635024285714284</v>
      </c>
      <c r="G62" s="7"/>
      <c r="H62" s="11">
        <f t="shared" si="7"/>
        <v>1.5206481460266473E-2</v>
      </c>
      <c r="I62" s="11">
        <f t="shared" si="7"/>
        <v>2.4234614861392459E-2</v>
      </c>
      <c r="J62" s="11">
        <f t="shared" si="4"/>
        <v>4.6281309287618966E-3</v>
      </c>
      <c r="L62" s="9">
        <f t="shared" si="6"/>
        <v>0.90512759071263171</v>
      </c>
      <c r="M62" s="10">
        <f t="shared" si="1"/>
        <v>2.4722473387347392</v>
      </c>
    </row>
    <row r="63" spans="1:13" x14ac:dyDescent="0.3">
      <c r="A63" s="8">
        <v>2008</v>
      </c>
      <c r="B63" s="10">
        <f>data!Y63</f>
        <v>7.1900899999999996</v>
      </c>
      <c r="C63" s="12">
        <f>data!AB63</f>
        <v>11.99663</v>
      </c>
      <c r="D63" s="12">
        <f>data!AE63</f>
        <v>2.54284</v>
      </c>
      <c r="E63" s="7"/>
      <c r="F63" s="12">
        <f t="shared" si="2"/>
        <v>0.5635024285714284</v>
      </c>
      <c r="G63" s="7"/>
      <c r="H63" s="11">
        <f t="shared" si="7"/>
        <v>-5.0663575043083308E-3</v>
      </c>
      <c r="I63" s="11">
        <f t="shared" si="7"/>
        <v>2.7241071937243951E-2</v>
      </c>
      <c r="J63" s="11">
        <f t="shared" si="4"/>
        <v>-1.6957019248026329E-2</v>
      </c>
      <c r="L63" s="9">
        <f t="shared" si="6"/>
        <v>0.88817057146460543</v>
      </c>
      <c r="M63" s="10">
        <f t="shared" si="1"/>
        <v>2.4306788280912399</v>
      </c>
    </row>
    <row r="64" spans="1:13" x14ac:dyDescent="0.3">
      <c r="A64" s="8">
        <v>2009</v>
      </c>
      <c r="B64" s="10">
        <f>data!Y64</f>
        <v>7.0002399999999998</v>
      </c>
      <c r="C64" s="12">
        <f>data!AB64</f>
        <v>12.125389999999999</v>
      </c>
      <c r="D64" s="12">
        <f>data!AE64</f>
        <v>2.4314399999999998</v>
      </c>
      <c r="E64" s="7"/>
      <c r="F64" s="12">
        <f t="shared" si="2"/>
        <v>0.5635024285714284</v>
      </c>
      <c r="G64" s="7"/>
      <c r="H64" s="11">
        <f t="shared" si="7"/>
        <v>-2.675925485801349E-2</v>
      </c>
      <c r="I64" s="11">
        <f t="shared" si="7"/>
        <v>1.0675824241117664E-2</v>
      </c>
      <c r="J64" s="11">
        <f t="shared" si="4"/>
        <v>-3.1419226212259621E-2</v>
      </c>
      <c r="L64" s="9">
        <f t="shared" si="6"/>
        <v>0.85675134525234586</v>
      </c>
      <c r="M64" s="10">
        <f t="shared" si="1"/>
        <v>2.355496057118629</v>
      </c>
    </row>
    <row r="65" spans="1:13" x14ac:dyDescent="0.3">
      <c r="A65" s="8">
        <v>2010</v>
      </c>
      <c r="B65" s="10">
        <f>data!Y65</f>
        <v>7.1595300000000002</v>
      </c>
      <c r="C65" s="12">
        <f>data!AB65</f>
        <v>12.15888</v>
      </c>
      <c r="D65" s="12">
        <f>data!AE65</f>
        <v>2.43174</v>
      </c>
      <c r="E65" s="7"/>
      <c r="F65" s="12">
        <f t="shared" si="2"/>
        <v>0.5635024285714284</v>
      </c>
      <c r="G65" s="7"/>
      <c r="H65" s="11">
        <f t="shared" si="7"/>
        <v>2.2499902178036039E-2</v>
      </c>
      <c r="I65" s="11">
        <f t="shared" si="7"/>
        <v>2.7581657781931669E-3</v>
      </c>
      <c r="J65" s="11">
        <f t="shared" si="4"/>
        <v>2.1295969514257326E-2</v>
      </c>
      <c r="L65" s="9">
        <f t="shared" si="6"/>
        <v>0.87804731476660314</v>
      </c>
      <c r="M65" s="10">
        <f t="shared" si="1"/>
        <v>2.4061965715267268</v>
      </c>
    </row>
    <row r="66" spans="1:13" x14ac:dyDescent="0.3">
      <c r="A66" s="8">
        <v>2011</v>
      </c>
      <c r="B66" s="10">
        <f>data!Y66</f>
        <v>7.2737499999999997</v>
      </c>
      <c r="C66" s="12">
        <f>data!AB66</f>
        <v>12.27711</v>
      </c>
      <c r="D66" s="12">
        <f>data!AE66</f>
        <v>2.4856699999999998</v>
      </c>
      <c r="E66" s="7"/>
      <c r="F66" s="12">
        <f t="shared" si="2"/>
        <v>0.5635024285714284</v>
      </c>
      <c r="G66" s="7"/>
      <c r="H66" s="11">
        <f t="shared" si="7"/>
        <v>1.5827640628849313E-2</v>
      </c>
      <c r="I66" s="11">
        <f t="shared" si="7"/>
        <v>9.6767859692609131E-3</v>
      </c>
      <c r="J66" s="11">
        <f t="shared" si="4"/>
        <v>1.1603747054032849E-2</v>
      </c>
      <c r="L66" s="9">
        <f t="shared" si="6"/>
        <v>0.88965106182063602</v>
      </c>
      <c r="M66" s="10">
        <f t="shared" si="1"/>
        <v>2.4342800898136758</v>
      </c>
    </row>
    <row r="67" spans="1:13" x14ac:dyDescent="0.3">
      <c r="A67" s="8">
        <v>2012</v>
      </c>
      <c r="B67" s="10">
        <f>data!Y67</f>
        <v>7.4219400000000002</v>
      </c>
      <c r="C67" s="12">
        <f>data!AB67</f>
        <v>12.420249999999999</v>
      </c>
      <c r="D67" s="12">
        <f>data!AE67</f>
        <v>2.5379399999999999</v>
      </c>
      <c r="E67" s="7"/>
      <c r="F67" s="12">
        <f t="shared" si="2"/>
        <v>0.5635024285714284</v>
      </c>
      <c r="G67" s="7"/>
      <c r="H67" s="11">
        <f t="shared" ref="H67:I72" si="8">LN(B67/B66)</f>
        <v>2.0168501542613414E-2</v>
      </c>
      <c r="I67" s="11">
        <f t="shared" si="8"/>
        <v>1.1591652125053521E-2</v>
      </c>
      <c r="J67" s="11">
        <f t="shared" ref="J67:J72" si="9">H67-(1-F67)*I67</f>
        <v>1.5108773541182712E-2</v>
      </c>
      <c r="L67" s="9">
        <f t="shared" si="6"/>
        <v>0.9047598353618187</v>
      </c>
      <c r="M67" s="10">
        <f t="shared" ref="M67:M71" si="10">EXP(L67)</f>
        <v>2.4713383237052016</v>
      </c>
    </row>
    <row r="68" spans="1:13" x14ac:dyDescent="0.3">
      <c r="A68" s="8">
        <v>2013</v>
      </c>
      <c r="B68" s="10">
        <f>data!Y68</f>
        <v>7.5534299999999996</v>
      </c>
      <c r="C68" s="12">
        <f>data!AB68</f>
        <v>12.610139999999999</v>
      </c>
      <c r="D68" s="12">
        <f>data!AE68</f>
        <v>2.59077</v>
      </c>
      <c r="E68" s="7"/>
      <c r="F68" s="12">
        <f t="shared" ref="F68:F72" si="11">F67</f>
        <v>0.5635024285714284</v>
      </c>
      <c r="G68" s="7"/>
      <c r="H68" s="11">
        <f t="shared" si="8"/>
        <v>1.7561286200232167E-2</v>
      </c>
      <c r="I68" s="11">
        <f t="shared" si="8"/>
        <v>1.5173047087732851E-2</v>
      </c>
      <c r="J68" s="11">
        <f t="shared" si="9"/>
        <v>1.0938287995265417E-2</v>
      </c>
      <c r="L68" s="9">
        <f t="shared" ref="L68:L71" si="12">L67+J68</f>
        <v>0.91569812335708411</v>
      </c>
      <c r="M68" s="10">
        <f t="shared" si="10"/>
        <v>2.4985189176016891</v>
      </c>
    </row>
    <row r="69" spans="1:13" x14ac:dyDescent="0.3">
      <c r="A69" s="8">
        <v>2014</v>
      </c>
      <c r="B69" s="10">
        <f>data!Y69</f>
        <v>7.7175099999999999</v>
      </c>
      <c r="C69" s="12">
        <f>data!AB69</f>
        <v>12.81054</v>
      </c>
      <c r="D69" s="12">
        <f>data!AE69</f>
        <v>2.6348699999999998</v>
      </c>
      <c r="E69" s="7"/>
      <c r="F69" s="12">
        <f t="shared" si="11"/>
        <v>0.5635024285714284</v>
      </c>
      <c r="G69" s="7"/>
      <c r="H69" s="11">
        <f t="shared" si="8"/>
        <v>2.1490008418147313E-2</v>
      </c>
      <c r="I69" s="11">
        <f t="shared" si="8"/>
        <v>1.5767017371948706E-2</v>
      </c>
      <c r="J69" s="11">
        <f t="shared" si="9"/>
        <v>1.4607743626619603E-2</v>
      </c>
      <c r="L69" s="9">
        <f t="shared" si="12"/>
        <v>0.93030586698370377</v>
      </c>
      <c r="M69" s="10">
        <f t="shared" si="10"/>
        <v>2.5352845188647817</v>
      </c>
    </row>
    <row r="70" spans="1:13" x14ac:dyDescent="0.3">
      <c r="A70" s="8">
        <v>2015</v>
      </c>
      <c r="B70" s="10">
        <f>data!Y70</f>
        <v>7.92258</v>
      </c>
      <c r="C70" s="12">
        <f>data!AB70</f>
        <v>13.25835</v>
      </c>
      <c r="D70" s="12">
        <f>data!AE70</f>
        <v>2.69713</v>
      </c>
      <c r="E70" s="7"/>
      <c r="F70" s="12">
        <f t="shared" si="11"/>
        <v>0.5635024285714284</v>
      </c>
      <c r="G70" s="7"/>
      <c r="H70" s="11">
        <f t="shared" si="8"/>
        <v>2.6225137204877527E-2</v>
      </c>
      <c r="I70" s="11">
        <f t="shared" si="8"/>
        <v>3.435927303906653E-2</v>
      </c>
      <c r="J70" s="11">
        <f t="shared" si="9"/>
        <v>1.1227397967273791E-2</v>
      </c>
      <c r="L70" s="9">
        <f t="shared" si="12"/>
        <v>0.94153326495097756</v>
      </c>
      <c r="M70" s="10">
        <f t="shared" si="10"/>
        <v>2.5639095587836342</v>
      </c>
    </row>
    <row r="71" spans="1:13" x14ac:dyDescent="0.3">
      <c r="A71" s="8">
        <v>2016</v>
      </c>
      <c r="B71" s="10">
        <f>data!Y71</f>
        <v>8.0320400000000003</v>
      </c>
      <c r="C71" s="12">
        <f>data!AB71</f>
        <v>13.81265</v>
      </c>
      <c r="D71" s="12">
        <f>data!AE71</f>
        <v>2.7511000000000001</v>
      </c>
      <c r="E71" s="7"/>
      <c r="F71" s="12">
        <f t="shared" si="11"/>
        <v>0.5635024285714284</v>
      </c>
      <c r="G71" s="7"/>
      <c r="H71" s="11">
        <f t="shared" si="8"/>
        <v>1.3721632662040966E-2</v>
      </c>
      <c r="I71" s="11">
        <f t="shared" si="8"/>
        <v>4.0957296321536593E-2</v>
      </c>
      <c r="J71" s="11">
        <f t="shared" si="9"/>
        <v>-4.156127714590124E-3</v>
      </c>
      <c r="L71" s="9">
        <f t="shared" si="12"/>
        <v>0.93737713723638738</v>
      </c>
      <c r="M71" s="10">
        <f t="shared" si="10"/>
        <v>2.5532757362777345</v>
      </c>
    </row>
    <row r="72" spans="1:13" x14ac:dyDescent="0.3">
      <c r="A72" s="8">
        <v>2017</v>
      </c>
      <c r="B72" s="10">
        <f>data!Y72</f>
        <v>8.1843500000000002</v>
      </c>
      <c r="C72" s="12">
        <f>data!AB72</f>
        <v>14.540050000000001</v>
      </c>
      <c r="D72" s="12">
        <f>data!AE72</f>
        <v>2.7782399999999998</v>
      </c>
      <c r="E72" s="7"/>
      <c r="F72" s="12">
        <f t="shared" si="11"/>
        <v>0.5635024285714284</v>
      </c>
      <c r="G72" s="7"/>
      <c r="H72" s="11">
        <f t="shared" si="8"/>
        <v>1.8785251091627517E-2</v>
      </c>
      <c r="I72" s="11">
        <f t="shared" si="8"/>
        <v>5.1322071941494886E-2</v>
      </c>
      <c r="J72" s="11">
        <f t="shared" si="9"/>
        <v>-3.6167086715174351E-3</v>
      </c>
      <c r="L72" s="9">
        <f>L71+J72</f>
        <v>0.93376042856486996</v>
      </c>
      <c r="M72" s="10">
        <f>EXP(L72)</f>
        <v>2.5440579608335741</v>
      </c>
    </row>
    <row r="74" spans="1:13" x14ac:dyDescent="0.3">
      <c r="B74" s="10"/>
      <c r="C74" s="10"/>
      <c r="D74" s="10"/>
      <c r="E74" s="10"/>
      <c r="G74" s="10"/>
      <c r="K74" s="6" t="s">
        <v>98</v>
      </c>
      <c r="M74" s="10">
        <f>LN(M72)-LN(M35)</f>
        <v>0.40101561554435528</v>
      </c>
    </row>
    <row r="75" spans="1:13" x14ac:dyDescent="0.3">
      <c r="B75" s="9"/>
      <c r="C75" s="9"/>
      <c r="D75" s="9"/>
      <c r="E75" s="9"/>
      <c r="F75" s="9"/>
      <c r="G75" s="9"/>
      <c r="K75" s="6" t="s">
        <v>99</v>
      </c>
      <c r="M75" s="10">
        <f>M74/($A$72-$A$35)</f>
        <v>1.0838259879577169E-2</v>
      </c>
    </row>
    <row r="76" spans="1:13" x14ac:dyDescent="0.3">
      <c r="F76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FAB4-F0BE-4C5B-A6C6-BE0B714C6C04}">
  <sheetPr>
    <tabColor rgb="FFFFFF00"/>
  </sheetPr>
  <dimension ref="A1:O76"/>
  <sheetViews>
    <sheetView workbookViewId="0">
      <pane xSplit="10" ySplit="14" topLeftCell="K64" activePane="bottomRight" state="frozen"/>
      <selection pane="topRight" activeCell="K1" sqref="K1"/>
      <selection pane="bottomLeft" activeCell="A15" sqref="A15"/>
      <selection pane="bottomRight" activeCell="L4" sqref="L4"/>
    </sheetView>
  </sheetViews>
  <sheetFormatPr defaultColWidth="8.77734375" defaultRowHeight="14.4" x14ac:dyDescent="0.3"/>
  <cols>
    <col min="1" max="1" width="8.77734375" style="8"/>
    <col min="2" max="2" width="14.109375" style="8" bestFit="1" customWidth="1"/>
    <col min="3" max="3" width="8.88671875" style="8" bestFit="1" customWidth="1"/>
    <col min="4" max="4" width="12.109375" style="6" customWidth="1"/>
    <col min="5" max="6" width="13.33203125" style="6" bestFit="1" customWidth="1"/>
    <col min="7" max="7" width="2.77734375" style="6" customWidth="1"/>
    <col min="8" max="8" width="13.77734375" style="8" bestFit="1" customWidth="1"/>
    <col min="9" max="9" width="2.77734375" style="6" customWidth="1"/>
    <col min="10" max="12" width="11.33203125" style="8" customWidth="1"/>
    <col min="13" max="13" width="8.77734375" style="6"/>
    <col min="14" max="14" width="13.6640625" style="6" bestFit="1" customWidth="1"/>
    <col min="15" max="15" width="10.44140625" style="6" bestFit="1" customWidth="1"/>
    <col min="16" max="16384" width="8.77734375" style="6"/>
  </cols>
  <sheetData>
    <row r="1" spans="1:15" x14ac:dyDescent="0.3">
      <c r="A1" s="8" t="s">
        <v>0</v>
      </c>
      <c r="B1" s="8" t="str">
        <f>data!K1</f>
        <v>VA_TOT</v>
      </c>
      <c r="C1" s="8" t="str">
        <f>data!AU1</f>
        <v>X_TOT_P</v>
      </c>
      <c r="D1" s="1" t="s">
        <v>191</v>
      </c>
      <c r="E1" s="8" t="s">
        <v>27</v>
      </c>
      <c r="F1" s="8" t="s">
        <v>30</v>
      </c>
      <c r="G1" s="7"/>
      <c r="H1" s="8" t="s">
        <v>100</v>
      </c>
      <c r="I1" s="7"/>
      <c r="J1" s="8" t="s">
        <v>93</v>
      </c>
      <c r="K1" s="8" t="s">
        <v>94</v>
      </c>
      <c r="L1" s="8" t="s">
        <v>95</v>
      </c>
      <c r="N1" s="8" t="s">
        <v>96</v>
      </c>
      <c r="O1" s="8" t="s">
        <v>97</v>
      </c>
    </row>
    <row r="2" spans="1:15" x14ac:dyDescent="0.3">
      <c r="A2" s="8">
        <v>1947</v>
      </c>
      <c r="B2" s="21">
        <f>data!K2</f>
        <v>244136</v>
      </c>
      <c r="C2" s="24">
        <f>data!AU2</f>
        <v>1</v>
      </c>
      <c r="D2" s="14">
        <f>B2/C2</f>
        <v>244136</v>
      </c>
      <c r="E2" s="10">
        <f>data!AB2</f>
        <v>1</v>
      </c>
      <c r="F2" s="10">
        <f>data!AE2</f>
        <v>1</v>
      </c>
      <c r="G2" s="19"/>
      <c r="H2" s="10">
        <f>data!X74</f>
        <v>0.5635024285714284</v>
      </c>
      <c r="I2" s="19"/>
      <c r="J2" s="10"/>
      <c r="K2" s="10"/>
      <c r="L2" s="10"/>
      <c r="M2" s="20"/>
      <c r="N2" s="10">
        <v>0</v>
      </c>
      <c r="O2" s="10">
        <f>EXP(N2)</f>
        <v>1</v>
      </c>
    </row>
    <row r="3" spans="1:15" x14ac:dyDescent="0.3">
      <c r="A3" s="8">
        <v>1948</v>
      </c>
      <c r="B3" s="21">
        <f>data!K3</f>
        <v>268064.5</v>
      </c>
      <c r="C3" s="24">
        <f>data!AU3</f>
        <v>1.0832999999999999</v>
      </c>
      <c r="D3" s="14">
        <f t="shared" ref="D3:D66" si="0">B3/C3</f>
        <v>247451.76774669992</v>
      </c>
      <c r="E3" s="10">
        <f>data!AB3</f>
        <v>1.03556</v>
      </c>
      <c r="F3" s="10">
        <f>data!AE3</f>
        <v>1.0244200000000001</v>
      </c>
      <c r="G3" s="19"/>
      <c r="H3" s="10">
        <f>H2</f>
        <v>0.5635024285714284</v>
      </c>
      <c r="I3" s="19"/>
      <c r="J3" s="10">
        <f t="shared" ref="J3:K5" si="1">LN(D3/D2)</f>
        <v>1.3490238160998924E-2</v>
      </c>
      <c r="K3" s="10">
        <f t="shared" si="1"/>
        <v>3.4942343197564091E-2</v>
      </c>
      <c r="L3" s="10">
        <f>J3-(1-H3)*K3</f>
        <v>-1.7620097847614712E-3</v>
      </c>
      <c r="M3" s="20"/>
      <c r="N3" s="10">
        <f>N2+L3</f>
        <v>-1.7620097847614712E-3</v>
      </c>
      <c r="O3" s="10">
        <f t="shared" ref="O3:O66" si="2">EXP(N3)</f>
        <v>0.99823954164313522</v>
      </c>
    </row>
    <row r="4" spans="1:15" x14ac:dyDescent="0.3">
      <c r="A4" s="8">
        <v>1949</v>
      </c>
      <c r="B4" s="21">
        <f>data!K4</f>
        <v>266020.90000000002</v>
      </c>
      <c r="C4" s="24">
        <f>data!AU4</f>
        <v>1.0998399999999999</v>
      </c>
      <c r="D4" s="14">
        <f t="shared" si="0"/>
        <v>241872.3632528368</v>
      </c>
      <c r="E4" s="10">
        <f>data!AB4</f>
        <v>1.0618300000000001</v>
      </c>
      <c r="F4" s="10">
        <f>data!AE4</f>
        <v>0.98833000000000004</v>
      </c>
      <c r="G4" s="19"/>
      <c r="H4" s="10">
        <f t="shared" ref="H4:H67" si="3">H3</f>
        <v>0.5635024285714284</v>
      </c>
      <c r="I4" s="19"/>
      <c r="J4" s="10">
        <f t="shared" si="1"/>
        <v>-2.2805522782123847E-2</v>
      </c>
      <c r="K4" s="10">
        <f t="shared" si="1"/>
        <v>2.5051491479193298E-2</v>
      </c>
      <c r="L4" s="10">
        <f t="shared" ref="L4:L67" si="4">J4-(1-H4)*K4</f>
        <v>-3.3740437973455273E-2</v>
      </c>
      <c r="M4" s="20"/>
      <c r="N4" s="10">
        <f>N3+L4</f>
        <v>-3.5502447758216746E-2</v>
      </c>
      <c r="O4" s="10">
        <f t="shared" si="2"/>
        <v>0.9651203718457888</v>
      </c>
    </row>
    <row r="5" spans="1:15" x14ac:dyDescent="0.3">
      <c r="A5" s="8">
        <v>1950</v>
      </c>
      <c r="B5" s="21">
        <f>data!K5</f>
        <v>293337.2</v>
      </c>
      <c r="C5" s="24">
        <f>data!AU5</f>
        <v>1.11748</v>
      </c>
      <c r="D5" s="14">
        <f t="shared" si="0"/>
        <v>262498.83666821779</v>
      </c>
      <c r="E5" s="10">
        <f>data!AB5</f>
        <v>1.09954</v>
      </c>
      <c r="F5" s="10">
        <f>data!AE5</f>
        <v>1.0290299999999999</v>
      </c>
      <c r="G5" s="19"/>
      <c r="H5" s="10">
        <f t="shared" si="3"/>
        <v>0.5635024285714284</v>
      </c>
      <c r="I5" s="19"/>
      <c r="J5" s="10">
        <f t="shared" si="1"/>
        <v>8.1836487837369853E-2</v>
      </c>
      <c r="K5" s="10">
        <f t="shared" si="1"/>
        <v>3.4898075846984851E-2</v>
      </c>
      <c r="L5" s="10">
        <f t="shared" si="4"/>
        <v>6.6603562482630871E-2</v>
      </c>
      <c r="M5" s="20"/>
      <c r="N5" s="10">
        <f>N4+L5</f>
        <v>3.1101114724414125E-2</v>
      </c>
      <c r="O5" s="10">
        <f t="shared" si="2"/>
        <v>1.0315898075322136</v>
      </c>
    </row>
    <row r="6" spans="1:15" x14ac:dyDescent="0.3">
      <c r="A6" s="8">
        <v>1951</v>
      </c>
      <c r="B6" s="21">
        <f>data!K6</f>
        <v>339441.1</v>
      </c>
      <c r="C6" s="24">
        <f>data!AU6</f>
        <v>1.21932</v>
      </c>
      <c r="D6" s="14">
        <f t="shared" si="0"/>
        <v>278385.57556670933</v>
      </c>
      <c r="E6" s="10">
        <f>data!AB6</f>
        <v>1.1515599999999999</v>
      </c>
      <c r="F6" s="10">
        <f>data!AE6</f>
        <v>1.09934</v>
      </c>
      <c r="G6" s="19"/>
      <c r="H6" s="10">
        <f t="shared" si="3"/>
        <v>0.5635024285714284</v>
      </c>
      <c r="I6" s="19"/>
      <c r="J6" s="10">
        <f t="shared" ref="J6:K37" si="5">LN(D6/D5)</f>
        <v>5.8760464935058321E-2</v>
      </c>
      <c r="K6" s="10">
        <f t="shared" si="5"/>
        <v>4.6225634346155231E-2</v>
      </c>
      <c r="L6" s="10">
        <f t="shared" si="4"/>
        <v>3.8583087805216396E-2</v>
      </c>
      <c r="M6" s="20"/>
      <c r="N6" s="10">
        <f t="shared" ref="N6:N66" si="6">N5+L6</f>
        <v>6.9684202529630521E-2</v>
      </c>
      <c r="O6" s="10">
        <f t="shared" si="2"/>
        <v>1.0721695393575674</v>
      </c>
    </row>
    <row r="7" spans="1:15" x14ac:dyDescent="0.3">
      <c r="A7" s="8">
        <v>1952</v>
      </c>
      <c r="B7" s="21">
        <f>data!K7</f>
        <v>359559.4</v>
      </c>
      <c r="C7" s="24">
        <f>data!AU7</f>
        <v>1.2476700000000001</v>
      </c>
      <c r="D7" s="14">
        <f t="shared" si="0"/>
        <v>288184.69627385447</v>
      </c>
      <c r="E7" s="10">
        <f>data!AB7</f>
        <v>1.1994800000000001</v>
      </c>
      <c r="F7" s="10">
        <f>data!AE7</f>
        <v>1.1224000000000001</v>
      </c>
      <c r="G7" s="19"/>
      <c r="H7" s="10">
        <f t="shared" si="3"/>
        <v>0.5635024285714284</v>
      </c>
      <c r="I7" s="19"/>
      <c r="J7" s="10">
        <f t="shared" si="5"/>
        <v>3.4594465876448793E-2</v>
      </c>
      <c r="K7" s="10">
        <f t="shared" si="5"/>
        <v>4.0770584674702737E-2</v>
      </c>
      <c r="L7" s="10">
        <f t="shared" si="4"/>
        <v>1.6798204680218108E-2</v>
      </c>
      <c r="M7" s="20"/>
      <c r="N7" s="10">
        <f t="shared" si="6"/>
        <v>8.6482407209848622E-2</v>
      </c>
      <c r="O7" s="10">
        <f t="shared" si="2"/>
        <v>1.0903321855637103</v>
      </c>
    </row>
    <row r="8" spans="1:15" x14ac:dyDescent="0.3">
      <c r="A8" s="8">
        <v>1953</v>
      </c>
      <c r="B8" s="21">
        <f>data!K8</f>
        <v>380859.3</v>
      </c>
      <c r="C8" s="24">
        <f>data!AU8</f>
        <v>1.2500899999999999</v>
      </c>
      <c r="D8" s="14">
        <f t="shared" si="0"/>
        <v>304665.50408370601</v>
      </c>
      <c r="E8" s="10">
        <f>data!AB8</f>
        <v>1.25268</v>
      </c>
      <c r="F8" s="10">
        <f>data!AE8</f>
        <v>1.1475500000000001</v>
      </c>
      <c r="G8" s="19"/>
      <c r="H8" s="10">
        <f t="shared" si="3"/>
        <v>0.5635024285714284</v>
      </c>
      <c r="I8" s="19"/>
      <c r="J8" s="10">
        <f t="shared" si="5"/>
        <v>5.5612885767702888E-2</v>
      </c>
      <c r="K8" s="10">
        <f t="shared" si="5"/>
        <v>4.3397126681470027E-2</v>
      </c>
      <c r="L8" s="10">
        <f t="shared" si="4"/>
        <v>3.6670145364263156E-2</v>
      </c>
      <c r="M8" s="20"/>
      <c r="N8" s="10">
        <f t="shared" si="6"/>
        <v>0.12315255257411178</v>
      </c>
      <c r="O8" s="10">
        <f t="shared" si="2"/>
        <v>1.131056953436731</v>
      </c>
    </row>
    <row r="9" spans="1:15" x14ac:dyDescent="0.3">
      <c r="A9" s="8">
        <v>1954</v>
      </c>
      <c r="B9" s="21">
        <f>data!K9</f>
        <v>382379.5</v>
      </c>
      <c r="C9" s="24">
        <f>data!AU9</f>
        <v>1.2546999999999999</v>
      </c>
      <c r="D9" s="14">
        <f t="shared" si="0"/>
        <v>304757.71100661514</v>
      </c>
      <c r="E9" s="10">
        <f>data!AB9</f>
        <v>1.3127</v>
      </c>
      <c r="F9" s="10">
        <f>data!AE9</f>
        <v>1.1093</v>
      </c>
      <c r="G9" s="19"/>
      <c r="H9" s="10">
        <f t="shared" si="3"/>
        <v>0.5635024285714284</v>
      </c>
      <c r="I9" s="19"/>
      <c r="J9" s="10">
        <f t="shared" si="5"/>
        <v>3.0260390917034109E-4</v>
      </c>
      <c r="K9" s="10">
        <f t="shared" si="5"/>
        <v>4.680082860115431E-2</v>
      </c>
      <c r="L9" s="10">
        <f t="shared" si="4"/>
        <v>-2.0125844116078349E-2</v>
      </c>
      <c r="M9" s="20"/>
      <c r="N9" s="10">
        <f t="shared" si="6"/>
        <v>0.10302670845803344</v>
      </c>
      <c r="O9" s="10">
        <f t="shared" si="2"/>
        <v>1.108521015567657</v>
      </c>
    </row>
    <row r="10" spans="1:15" x14ac:dyDescent="0.3">
      <c r="A10" s="8">
        <v>1955</v>
      </c>
      <c r="B10" s="21">
        <f>data!K10</f>
        <v>416129</v>
      </c>
      <c r="C10" s="24">
        <f>data!AU10</f>
        <v>1.2762</v>
      </c>
      <c r="D10" s="14">
        <f t="shared" si="0"/>
        <v>326068.79799404484</v>
      </c>
      <c r="E10" s="10">
        <f>data!AB10</f>
        <v>1.3686499999999999</v>
      </c>
      <c r="F10" s="10">
        <f>data!AE10</f>
        <v>1.1472100000000001</v>
      </c>
      <c r="G10" s="19"/>
      <c r="H10" s="10">
        <f t="shared" si="3"/>
        <v>0.5635024285714284</v>
      </c>
      <c r="I10" s="19"/>
      <c r="J10" s="10">
        <f t="shared" si="5"/>
        <v>6.7591325123008902E-2</v>
      </c>
      <c r="K10" s="10">
        <f t="shared" si="5"/>
        <v>4.173876772575344E-2</v>
      </c>
      <c r="L10" s="10">
        <f t="shared" si="4"/>
        <v>4.9372454376296282E-2</v>
      </c>
      <c r="M10" s="20"/>
      <c r="N10" s="10">
        <f t="shared" si="6"/>
        <v>0.15239916283432972</v>
      </c>
      <c r="O10" s="10">
        <f t="shared" si="2"/>
        <v>1.1646250186874305</v>
      </c>
    </row>
    <row r="11" spans="1:15" x14ac:dyDescent="0.3">
      <c r="A11" s="8">
        <v>1956</v>
      </c>
      <c r="B11" s="21">
        <f>data!K11</f>
        <v>439820.3</v>
      </c>
      <c r="C11" s="24">
        <f>data!AU11</f>
        <v>1.3570599999999999</v>
      </c>
      <c r="D11" s="14">
        <f t="shared" si="0"/>
        <v>324097.90281933005</v>
      </c>
      <c r="E11" s="10">
        <f>data!AB11</f>
        <v>1.43503</v>
      </c>
      <c r="F11" s="10">
        <f>data!AE11</f>
        <v>1.1731100000000001</v>
      </c>
      <c r="G11" s="19"/>
      <c r="H11" s="10">
        <f t="shared" si="3"/>
        <v>0.5635024285714284</v>
      </c>
      <c r="I11" s="19"/>
      <c r="J11" s="10">
        <f t="shared" si="5"/>
        <v>-6.0627565492492987E-3</v>
      </c>
      <c r="K11" s="10">
        <f t="shared" si="5"/>
        <v>4.7360902363425453E-2</v>
      </c>
      <c r="L11" s="10">
        <f t="shared" si="4"/>
        <v>-2.6735675411550204E-2</v>
      </c>
      <c r="M11" s="20"/>
      <c r="N11" s="10">
        <f t="shared" si="6"/>
        <v>0.12566348742277952</v>
      </c>
      <c r="O11" s="10">
        <f t="shared" si="2"/>
        <v>1.1339005322835392</v>
      </c>
    </row>
    <row r="12" spans="1:15" x14ac:dyDescent="0.3">
      <c r="A12" s="8">
        <v>1957</v>
      </c>
      <c r="B12" s="21">
        <f>data!K12</f>
        <v>463620.3</v>
      </c>
      <c r="C12" s="24">
        <f>data!AU12</f>
        <v>1.40622</v>
      </c>
      <c r="D12" s="14">
        <f t="shared" si="0"/>
        <v>329692.58010837564</v>
      </c>
      <c r="E12" s="10">
        <f>data!AB12</f>
        <v>1.49919</v>
      </c>
      <c r="F12" s="10">
        <f>data!AE12</f>
        <v>1.1725300000000001</v>
      </c>
      <c r="G12" s="19"/>
      <c r="H12" s="10">
        <f t="shared" si="3"/>
        <v>0.5635024285714284</v>
      </c>
      <c r="I12" s="19"/>
      <c r="J12" s="10">
        <f t="shared" si="5"/>
        <v>1.7115005501422954E-2</v>
      </c>
      <c r="K12" s="10">
        <f t="shared" si="5"/>
        <v>4.3739207339251518E-2</v>
      </c>
      <c r="L12" s="10">
        <f t="shared" si="4"/>
        <v>-1.9770522783710866E-3</v>
      </c>
      <c r="M12" s="20"/>
      <c r="N12" s="10">
        <f t="shared" si="6"/>
        <v>0.12368643514440844</v>
      </c>
      <c r="O12" s="10">
        <f t="shared" si="2"/>
        <v>1.1316609662517938</v>
      </c>
    </row>
    <row r="13" spans="1:15" x14ac:dyDescent="0.3">
      <c r="A13" s="8">
        <v>1958</v>
      </c>
      <c r="B13" s="21">
        <f>data!K13</f>
        <v>470428.9</v>
      </c>
      <c r="C13" s="24">
        <f>data!AU13</f>
        <v>1.4113100000000001</v>
      </c>
      <c r="D13" s="14">
        <f t="shared" si="0"/>
        <v>333327.83017196791</v>
      </c>
      <c r="E13" s="10">
        <f>data!AB13</f>
        <v>1.55376</v>
      </c>
      <c r="F13" s="10">
        <f>data!AE13</f>
        <v>1.13188</v>
      </c>
      <c r="G13" s="19"/>
      <c r="H13" s="10">
        <f t="shared" si="3"/>
        <v>0.5635024285714284</v>
      </c>
      <c r="I13" s="19"/>
      <c r="J13" s="10">
        <f t="shared" si="5"/>
        <v>1.0965835848349384E-2</v>
      </c>
      <c r="K13" s="10">
        <f t="shared" si="5"/>
        <v>3.5752837608251833E-2</v>
      </c>
      <c r="L13" s="10">
        <f t="shared" si="4"/>
        <v>-4.6401909393326418E-3</v>
      </c>
      <c r="M13" s="20"/>
      <c r="N13" s="10">
        <f t="shared" si="6"/>
        <v>0.1190462442050758</v>
      </c>
      <c r="O13" s="10">
        <f t="shared" si="2"/>
        <v>1.1264220075742499</v>
      </c>
    </row>
    <row r="14" spans="1:15" x14ac:dyDescent="0.3">
      <c r="A14" s="8">
        <v>1959</v>
      </c>
      <c r="B14" s="21">
        <f>data!K14</f>
        <v>509054.2</v>
      </c>
      <c r="C14" s="24">
        <f>data!AU14</f>
        <v>1.42489</v>
      </c>
      <c r="D14" s="14">
        <f t="shared" si="0"/>
        <v>357258.59540034668</v>
      </c>
      <c r="E14" s="10">
        <f>data!AB14</f>
        <v>1.6125400000000001</v>
      </c>
      <c r="F14" s="10">
        <f>data!AE14</f>
        <v>1.17106</v>
      </c>
      <c r="G14" s="19"/>
      <c r="H14" s="10">
        <f t="shared" si="3"/>
        <v>0.5635024285714284</v>
      </c>
      <c r="I14" s="19"/>
      <c r="J14" s="10">
        <f t="shared" si="5"/>
        <v>6.9333395729893679E-2</v>
      </c>
      <c r="K14" s="10">
        <f t="shared" si="5"/>
        <v>3.7132775717765409E-2</v>
      </c>
      <c r="L14" s="10">
        <f t="shared" si="4"/>
        <v>5.3125029308687247E-2</v>
      </c>
      <c r="M14" s="20"/>
      <c r="N14" s="10">
        <f t="shared" si="6"/>
        <v>0.17217127351376305</v>
      </c>
      <c r="O14" s="10">
        <f t="shared" si="2"/>
        <v>1.1878812683906503</v>
      </c>
    </row>
    <row r="15" spans="1:15" x14ac:dyDescent="0.3">
      <c r="A15" s="8">
        <v>1960</v>
      </c>
      <c r="B15" s="21">
        <f>data!K15</f>
        <v>529152.19999999995</v>
      </c>
      <c r="C15" s="24">
        <f>data!AU15</f>
        <v>1.4299500000000001</v>
      </c>
      <c r="D15" s="14">
        <f t="shared" si="0"/>
        <v>370049.44228819187</v>
      </c>
      <c r="E15" s="10">
        <f>data!AB15</f>
        <v>1.6789499999999999</v>
      </c>
      <c r="F15" s="10">
        <f>data!AE15</f>
        <v>1.18679</v>
      </c>
      <c r="G15" s="19"/>
      <c r="H15" s="10">
        <f t="shared" si="3"/>
        <v>0.5635024285714284</v>
      </c>
      <c r="I15" s="19"/>
      <c r="J15" s="10">
        <f t="shared" si="5"/>
        <v>3.51767480932524E-2</v>
      </c>
      <c r="K15" s="10">
        <f t="shared" si="5"/>
        <v>4.0358022439576854E-2</v>
      </c>
      <c r="L15" s="10">
        <f t="shared" si="4"/>
        <v>1.7560569310717308E-2</v>
      </c>
      <c r="M15" s="20"/>
      <c r="N15" s="10">
        <f t="shared" si="6"/>
        <v>0.18973184282448036</v>
      </c>
      <c r="O15" s="10">
        <f t="shared" si="2"/>
        <v>1.2089253721742832</v>
      </c>
    </row>
    <row r="16" spans="1:15" x14ac:dyDescent="0.3">
      <c r="A16" s="8">
        <v>1961</v>
      </c>
      <c r="B16" s="21">
        <f>data!K16</f>
        <v>548911.5</v>
      </c>
      <c r="C16" s="24">
        <f>data!AU16</f>
        <v>1.4303399999999999</v>
      </c>
      <c r="D16" s="14">
        <f t="shared" si="0"/>
        <v>383762.95146608498</v>
      </c>
      <c r="E16" s="10">
        <f>data!AB16</f>
        <v>1.74553</v>
      </c>
      <c r="F16" s="10">
        <f>data!AE16</f>
        <v>1.1874800000000001</v>
      </c>
      <c r="G16" s="19"/>
      <c r="H16" s="10">
        <f t="shared" si="3"/>
        <v>0.5635024285714284</v>
      </c>
      <c r="I16" s="19"/>
      <c r="J16" s="10">
        <f t="shared" si="5"/>
        <v>3.6388423563858442E-2</v>
      </c>
      <c r="K16" s="10">
        <f t="shared" si="5"/>
        <v>3.8889636446429267E-2</v>
      </c>
      <c r="L16" s="10">
        <f t="shared" si="4"/>
        <v>1.9413191701252001E-2</v>
      </c>
      <c r="M16" s="20"/>
      <c r="N16" s="10">
        <f t="shared" si="6"/>
        <v>0.20914503452573235</v>
      </c>
      <c r="O16" s="10">
        <f t="shared" si="2"/>
        <v>1.2326237585689832</v>
      </c>
    </row>
    <row r="17" spans="1:15" x14ac:dyDescent="0.3">
      <c r="A17" s="8">
        <v>1962</v>
      </c>
      <c r="B17" s="21">
        <f>data!K17</f>
        <v>590282.80000000005</v>
      </c>
      <c r="C17" s="24">
        <f>data!AU17</f>
        <v>1.43753</v>
      </c>
      <c r="D17" s="14">
        <f t="shared" si="0"/>
        <v>410622.94352117873</v>
      </c>
      <c r="E17" s="10">
        <f>data!AB17</f>
        <v>1.82185</v>
      </c>
      <c r="F17" s="10">
        <f>data!AE17</f>
        <v>1.22129</v>
      </c>
      <c r="G17" s="19"/>
      <c r="H17" s="10">
        <f t="shared" si="3"/>
        <v>0.5635024285714284</v>
      </c>
      <c r="I17" s="19"/>
      <c r="J17" s="10">
        <f t="shared" si="5"/>
        <v>6.7650332978080249E-2</v>
      </c>
      <c r="K17" s="10">
        <f t="shared" si="5"/>
        <v>4.2794233867962703E-2</v>
      </c>
      <c r="L17" s="10">
        <f t="shared" si="4"/>
        <v>4.8970753823568205E-2</v>
      </c>
      <c r="M17" s="20"/>
      <c r="N17" s="10">
        <f t="shared" si="6"/>
        <v>0.25811578834930055</v>
      </c>
      <c r="O17" s="10">
        <f t="shared" si="2"/>
        <v>1.2944886966563793</v>
      </c>
    </row>
    <row r="18" spans="1:15" x14ac:dyDescent="0.3">
      <c r="A18" s="8">
        <v>1963</v>
      </c>
      <c r="B18" s="21">
        <f>data!K18</f>
        <v>622498.4</v>
      </c>
      <c r="C18" s="24">
        <f>data!AU18</f>
        <v>1.4395800000000001</v>
      </c>
      <c r="D18" s="14">
        <f t="shared" si="0"/>
        <v>432416.67708637239</v>
      </c>
      <c r="E18" s="10">
        <f>data!AB18</f>
        <v>1.9064700000000001</v>
      </c>
      <c r="F18" s="10">
        <f>data!AE18</f>
        <v>1.23628</v>
      </c>
      <c r="G18" s="19"/>
      <c r="H18" s="10">
        <f t="shared" si="3"/>
        <v>0.5635024285714284</v>
      </c>
      <c r="I18" s="19"/>
      <c r="J18" s="10">
        <f t="shared" si="5"/>
        <v>5.1714272617454288E-2</v>
      </c>
      <c r="K18" s="10">
        <f t="shared" si="5"/>
        <v>4.5400896214806433E-2</v>
      </c>
      <c r="L18" s="10">
        <f t="shared" si="4"/>
        <v>3.189689167901065E-2</v>
      </c>
      <c r="M18" s="20"/>
      <c r="N18" s="10">
        <f t="shared" si="6"/>
        <v>0.29001268002831121</v>
      </c>
      <c r="O18" s="10">
        <f t="shared" si="2"/>
        <v>1.336444434071294</v>
      </c>
    </row>
    <row r="19" spans="1:15" x14ac:dyDescent="0.3">
      <c r="A19" s="8">
        <v>1964</v>
      </c>
      <c r="B19" s="21">
        <f>data!K19</f>
        <v>668361.9</v>
      </c>
      <c r="C19" s="24">
        <f>data!AU19</f>
        <v>1.4506399999999999</v>
      </c>
      <c r="D19" s="14">
        <f t="shared" si="0"/>
        <v>460735.88209342089</v>
      </c>
      <c r="E19" s="10">
        <f>data!AB19</f>
        <v>1.9979</v>
      </c>
      <c r="F19" s="10">
        <f>data!AE19</f>
        <v>1.2631699999999999</v>
      </c>
      <c r="G19" s="19"/>
      <c r="H19" s="10">
        <f t="shared" si="3"/>
        <v>0.5635024285714284</v>
      </c>
      <c r="I19" s="19"/>
      <c r="J19" s="10">
        <f t="shared" si="5"/>
        <v>6.3435301261422328E-2</v>
      </c>
      <c r="K19" s="10">
        <f t="shared" si="5"/>
        <v>4.6843264373318635E-2</v>
      </c>
      <c r="L19" s="10">
        <f t="shared" si="4"/>
        <v>4.2988330124682214E-2</v>
      </c>
      <c r="M19" s="20"/>
      <c r="N19" s="10">
        <f t="shared" si="6"/>
        <v>0.33300101015299344</v>
      </c>
      <c r="O19" s="10">
        <f t="shared" si="2"/>
        <v>1.3951487077827354</v>
      </c>
    </row>
    <row r="20" spans="1:15" x14ac:dyDescent="0.3">
      <c r="A20" s="8">
        <v>1965</v>
      </c>
      <c r="B20" s="21">
        <f>data!K20</f>
        <v>726085.1</v>
      </c>
      <c r="C20" s="24">
        <f>data!AU20</f>
        <v>1.4725999999999999</v>
      </c>
      <c r="D20" s="14">
        <f t="shared" si="0"/>
        <v>493063.35732717643</v>
      </c>
      <c r="E20" s="10">
        <f>data!AB20</f>
        <v>2.1085199999999999</v>
      </c>
      <c r="F20" s="10">
        <f>data!AE20</f>
        <v>1.3098399999999999</v>
      </c>
      <c r="G20" s="19"/>
      <c r="H20" s="10">
        <f t="shared" si="3"/>
        <v>0.5635024285714284</v>
      </c>
      <c r="I20" s="19"/>
      <c r="J20" s="10">
        <f t="shared" si="5"/>
        <v>6.7812724696111465E-2</v>
      </c>
      <c r="K20" s="10">
        <f t="shared" si="5"/>
        <v>5.3889650651897616E-2</v>
      </c>
      <c r="L20" s="10">
        <f t="shared" si="4"/>
        <v>4.4290023061424016E-2</v>
      </c>
      <c r="M20" s="20"/>
      <c r="N20" s="10">
        <f t="shared" si="6"/>
        <v>0.37729103321441748</v>
      </c>
      <c r="O20" s="10">
        <f t="shared" si="2"/>
        <v>1.4583286696971749</v>
      </c>
    </row>
    <row r="21" spans="1:15" x14ac:dyDescent="0.3">
      <c r="A21" s="8">
        <v>1966</v>
      </c>
      <c r="B21" s="21">
        <f>data!K21</f>
        <v>796105.9</v>
      </c>
      <c r="C21" s="24">
        <f>data!AU21</f>
        <v>1.50498</v>
      </c>
      <c r="D21" s="14">
        <f t="shared" si="0"/>
        <v>528981.04958205426</v>
      </c>
      <c r="E21" s="10">
        <f>data!AB21</f>
        <v>2.2357200000000002</v>
      </c>
      <c r="F21" s="10">
        <f>data!AE21</f>
        <v>1.3658399999999999</v>
      </c>
      <c r="G21" s="19"/>
      <c r="H21" s="10">
        <f t="shared" si="3"/>
        <v>0.5635024285714284</v>
      </c>
      <c r="I21" s="19"/>
      <c r="J21" s="10">
        <f t="shared" si="5"/>
        <v>7.0314928486610279E-2</v>
      </c>
      <c r="K21" s="10">
        <f t="shared" si="5"/>
        <v>5.8577044262461894E-2</v>
      </c>
      <c r="L21" s="10">
        <f t="shared" si="4"/>
        <v>4.4746190924581722E-2</v>
      </c>
      <c r="M21" s="20"/>
      <c r="N21" s="10">
        <f t="shared" si="6"/>
        <v>0.42203722413899919</v>
      </c>
      <c r="O21" s="10">
        <f t="shared" si="2"/>
        <v>1.5250652928691439</v>
      </c>
    </row>
    <row r="22" spans="1:15" x14ac:dyDescent="0.3">
      <c r="A22" s="8">
        <v>1967</v>
      </c>
      <c r="B22" s="21">
        <f>data!K22</f>
        <v>841282.4</v>
      </c>
      <c r="C22" s="24">
        <f>data!AU22</f>
        <v>1.5431699999999999</v>
      </c>
      <c r="D22" s="14">
        <f t="shared" si="0"/>
        <v>545165.08226572582</v>
      </c>
      <c r="E22" s="10">
        <f>data!AB22</f>
        <v>2.3753000000000002</v>
      </c>
      <c r="F22" s="10">
        <f>data!AE22</f>
        <v>1.38056</v>
      </c>
      <c r="G22" s="19"/>
      <c r="H22" s="10">
        <f t="shared" si="3"/>
        <v>0.5635024285714284</v>
      </c>
      <c r="I22" s="19"/>
      <c r="J22" s="10">
        <f t="shared" si="5"/>
        <v>3.0136043916852158E-2</v>
      </c>
      <c r="K22" s="10">
        <f t="shared" si="5"/>
        <v>6.0560421460784865E-2</v>
      </c>
      <c r="L22" s="10">
        <f t="shared" si="4"/>
        <v>3.7015670245288158E-3</v>
      </c>
      <c r="M22" s="20"/>
      <c r="N22" s="10">
        <f t="shared" si="6"/>
        <v>0.42573879116352803</v>
      </c>
      <c r="O22" s="10">
        <f t="shared" si="2"/>
        <v>1.5307208850867573</v>
      </c>
    </row>
    <row r="23" spans="1:15" x14ac:dyDescent="0.3">
      <c r="A23" s="8">
        <v>1968</v>
      </c>
      <c r="B23" s="21">
        <f>data!K23</f>
        <v>918084.4</v>
      </c>
      <c r="C23" s="24">
        <f>data!AU23</f>
        <v>1.6032200000000001</v>
      </c>
      <c r="D23" s="14">
        <f t="shared" si="0"/>
        <v>572650.29128878133</v>
      </c>
      <c r="E23" s="10">
        <f>data!AB23</f>
        <v>2.50997</v>
      </c>
      <c r="F23" s="10">
        <f>data!AE23</f>
        <v>1.40533</v>
      </c>
      <c r="G23" s="19"/>
      <c r="H23" s="10">
        <f t="shared" si="3"/>
        <v>0.5635024285714284</v>
      </c>
      <c r="I23" s="19"/>
      <c r="J23" s="10">
        <f t="shared" si="5"/>
        <v>4.9186566474501849E-2</v>
      </c>
      <c r="K23" s="10">
        <f t="shared" si="5"/>
        <v>5.5147055582118729E-2</v>
      </c>
      <c r="L23" s="10">
        <f t="shared" si="4"/>
        <v>2.5115010641470571E-2</v>
      </c>
      <c r="M23" s="20"/>
      <c r="N23" s="10">
        <f t="shared" si="6"/>
        <v>0.45085380180499862</v>
      </c>
      <c r="O23" s="10">
        <f t="shared" si="2"/>
        <v>1.5696517850598288</v>
      </c>
    </row>
    <row r="24" spans="1:15" x14ac:dyDescent="0.3">
      <c r="A24" s="8">
        <v>1969</v>
      </c>
      <c r="B24" s="21">
        <f>data!K24</f>
        <v>992611.2</v>
      </c>
      <c r="C24" s="24">
        <f>data!AU24</f>
        <v>1.6859200000000001</v>
      </c>
      <c r="D24" s="14">
        <f t="shared" si="0"/>
        <v>588765.30321723444</v>
      </c>
      <c r="E24" s="10">
        <f>data!AB24</f>
        <v>2.6488200000000002</v>
      </c>
      <c r="F24" s="10">
        <f>data!AE24</f>
        <v>1.4378500000000001</v>
      </c>
      <c r="G24" s="19"/>
      <c r="H24" s="10">
        <f t="shared" si="3"/>
        <v>0.5635024285714284</v>
      </c>
      <c r="I24" s="19"/>
      <c r="J24" s="10">
        <f t="shared" si="5"/>
        <v>2.7752419206800973E-2</v>
      </c>
      <c r="K24" s="10">
        <f t="shared" si="5"/>
        <v>5.3843456930310556E-2</v>
      </c>
      <c r="L24" s="10">
        <f t="shared" si="4"/>
        <v>4.2498810194015225E-3</v>
      </c>
      <c r="M24" s="20"/>
      <c r="N24" s="10">
        <f t="shared" si="6"/>
        <v>0.45510368282440017</v>
      </c>
      <c r="O24" s="10">
        <f t="shared" si="2"/>
        <v>1.5763368136144142</v>
      </c>
    </row>
    <row r="25" spans="1:15" x14ac:dyDescent="0.3">
      <c r="A25" s="8">
        <v>1970</v>
      </c>
      <c r="B25" s="21">
        <f>data!K25</f>
        <v>1046070.1</v>
      </c>
      <c r="C25" s="24">
        <f>data!AU25</f>
        <v>1.77278</v>
      </c>
      <c r="D25" s="14">
        <f t="shared" si="0"/>
        <v>590073.27474362298</v>
      </c>
      <c r="E25" s="10">
        <f>data!AB25</f>
        <v>2.7715999999999998</v>
      </c>
      <c r="F25" s="10">
        <f>data!AE25</f>
        <v>1.4046099999999999</v>
      </c>
      <c r="G25" s="19"/>
      <c r="H25" s="10">
        <f t="shared" si="3"/>
        <v>0.5635024285714284</v>
      </c>
      <c r="I25" s="19"/>
      <c r="J25" s="10">
        <f t="shared" si="5"/>
        <v>2.2190859505000506E-3</v>
      </c>
      <c r="K25" s="10">
        <f t="shared" si="5"/>
        <v>4.531051295974927E-2</v>
      </c>
      <c r="L25" s="10">
        <f t="shared" si="4"/>
        <v>-1.7558842916613328E-2</v>
      </c>
      <c r="M25" s="20"/>
      <c r="N25" s="10">
        <f t="shared" si="6"/>
        <v>0.43754483990778686</v>
      </c>
      <c r="O25" s="10">
        <f t="shared" si="2"/>
        <v>1.5488997495989771</v>
      </c>
    </row>
    <row r="26" spans="1:15" x14ac:dyDescent="0.3">
      <c r="A26" s="8">
        <v>1971</v>
      </c>
      <c r="B26" s="21">
        <f>data!K26</f>
        <v>1135307.8</v>
      </c>
      <c r="C26" s="24">
        <f>data!AU26</f>
        <v>1.8686700000000001</v>
      </c>
      <c r="D26" s="14">
        <f t="shared" si="0"/>
        <v>607548.57733040082</v>
      </c>
      <c r="E26" s="10">
        <f>data!AB26</f>
        <v>2.9007299999999998</v>
      </c>
      <c r="F26" s="10">
        <f>data!AE26</f>
        <v>1.40008</v>
      </c>
      <c r="G26" s="19"/>
      <c r="H26" s="10">
        <f t="shared" si="3"/>
        <v>0.5635024285714284</v>
      </c>
      <c r="I26" s="19"/>
      <c r="J26" s="10">
        <f t="shared" si="5"/>
        <v>2.9185411032659887E-2</v>
      </c>
      <c r="K26" s="10">
        <f t="shared" si="5"/>
        <v>4.5537658682065225E-2</v>
      </c>
      <c r="L26" s="10">
        <f t="shared" si="4"/>
        <v>9.3083336093952064E-3</v>
      </c>
      <c r="M26" s="20"/>
      <c r="N26" s="10">
        <f t="shared" si="6"/>
        <v>0.44685317351718207</v>
      </c>
      <c r="O26" s="10">
        <f t="shared" si="2"/>
        <v>1.5633847361517563</v>
      </c>
    </row>
    <row r="27" spans="1:15" x14ac:dyDescent="0.3">
      <c r="A27" s="8">
        <v>1972</v>
      </c>
      <c r="B27" s="21">
        <f>data!K27</f>
        <v>1248336.6000000001</v>
      </c>
      <c r="C27" s="24">
        <f>data!AU27</f>
        <v>1.96241</v>
      </c>
      <c r="D27" s="14">
        <f t="shared" si="0"/>
        <v>636124.2553798646</v>
      </c>
      <c r="E27" s="10">
        <f>data!AB27</f>
        <v>3.0204900000000001</v>
      </c>
      <c r="F27" s="10">
        <f>data!AE27</f>
        <v>1.4323699999999999</v>
      </c>
      <c r="G27" s="19"/>
      <c r="H27" s="10">
        <f t="shared" si="3"/>
        <v>0.5635024285714284</v>
      </c>
      <c r="I27" s="19"/>
      <c r="J27" s="10">
        <f t="shared" si="5"/>
        <v>4.5961779650351441E-2</v>
      </c>
      <c r="K27" s="10">
        <f t="shared" si="5"/>
        <v>4.0456640427876819E-2</v>
      </c>
      <c r="L27" s="10">
        <f t="shared" si="4"/>
        <v>2.8302554355424243E-2</v>
      </c>
      <c r="M27" s="20"/>
      <c r="N27" s="10">
        <f t="shared" si="6"/>
        <v>0.47515572787260629</v>
      </c>
      <c r="O27" s="10">
        <f t="shared" si="2"/>
        <v>1.6082646296150032</v>
      </c>
    </row>
    <row r="28" spans="1:15" x14ac:dyDescent="0.3">
      <c r="A28" s="8">
        <v>1973</v>
      </c>
      <c r="B28" s="21">
        <f>data!K28</f>
        <v>1389186.8</v>
      </c>
      <c r="C28" s="24">
        <f>data!AU28</f>
        <v>2.07498</v>
      </c>
      <c r="D28" s="14">
        <f t="shared" si="0"/>
        <v>669494.06741269794</v>
      </c>
      <c r="E28" s="10">
        <f>data!AB28</f>
        <v>3.1526900000000002</v>
      </c>
      <c r="F28" s="10">
        <f>data!AE28</f>
        <v>1.49177</v>
      </c>
      <c r="G28" s="19"/>
      <c r="H28" s="10">
        <f t="shared" si="3"/>
        <v>0.5635024285714284</v>
      </c>
      <c r="I28" s="19"/>
      <c r="J28" s="10">
        <f t="shared" si="5"/>
        <v>5.1128389519204169E-2</v>
      </c>
      <c r="K28" s="10">
        <f t="shared" si="5"/>
        <v>4.283698678704527E-2</v>
      </c>
      <c r="L28" s="10">
        <f t="shared" si="4"/>
        <v>3.2430148819341101E-2</v>
      </c>
      <c r="M28" s="20"/>
      <c r="N28" s="10">
        <f t="shared" si="6"/>
        <v>0.50758587669194744</v>
      </c>
      <c r="O28" s="10">
        <f t="shared" si="2"/>
        <v>1.661275825406199</v>
      </c>
    </row>
    <row r="29" spans="1:15" x14ac:dyDescent="0.3">
      <c r="A29" s="8">
        <v>1974</v>
      </c>
      <c r="B29" s="21">
        <f>data!K29</f>
        <v>1507131</v>
      </c>
      <c r="C29" s="24">
        <f>data!AU29</f>
        <v>2.2956699999999999</v>
      </c>
      <c r="D29" s="14">
        <f t="shared" si="0"/>
        <v>656510.2998253234</v>
      </c>
      <c r="E29" s="10">
        <f>data!AB29</f>
        <v>3.2913800000000002</v>
      </c>
      <c r="F29" s="10">
        <f>data!AE29</f>
        <v>1.4881899999999999</v>
      </c>
      <c r="G29" s="19"/>
      <c r="H29" s="10">
        <f t="shared" si="3"/>
        <v>0.5635024285714284</v>
      </c>
      <c r="I29" s="19"/>
      <c r="J29" s="10">
        <f t="shared" si="5"/>
        <v>-1.958392125626033E-2</v>
      </c>
      <c r="K29" s="10">
        <f t="shared" si="5"/>
        <v>4.3050873050971432E-2</v>
      </c>
      <c r="L29" s="10">
        <f t="shared" si="4"/>
        <v>-3.8375522790889099E-2</v>
      </c>
      <c r="M29" s="20"/>
      <c r="N29" s="10">
        <f t="shared" si="6"/>
        <v>0.46921035390105836</v>
      </c>
      <c r="O29" s="10">
        <f t="shared" si="2"/>
        <v>1.5987312627440418</v>
      </c>
    </row>
    <row r="30" spans="1:15" x14ac:dyDescent="0.3">
      <c r="A30" s="8">
        <v>1975</v>
      </c>
      <c r="B30" s="21">
        <f>data!K30</f>
        <v>1637062.3</v>
      </c>
      <c r="C30" s="24">
        <f>data!AU30</f>
        <v>2.55898</v>
      </c>
      <c r="D30" s="14">
        <f t="shared" si="0"/>
        <v>639732.35429741535</v>
      </c>
      <c r="E30" s="10">
        <f>data!AB30</f>
        <v>3.4009399999999999</v>
      </c>
      <c r="F30" s="10">
        <f>data!AE30</f>
        <v>1.4484999999999999</v>
      </c>
      <c r="G30" s="19"/>
      <c r="H30" s="10">
        <f t="shared" si="3"/>
        <v>0.5635024285714284</v>
      </c>
      <c r="I30" s="19"/>
      <c r="J30" s="10">
        <f t="shared" si="5"/>
        <v>-2.5888490140017779E-2</v>
      </c>
      <c r="K30" s="10">
        <f t="shared" si="5"/>
        <v>3.2744934280352585E-2</v>
      </c>
      <c r="L30" s="10">
        <f t="shared" si="4"/>
        <v>-4.0181574429979862E-2</v>
      </c>
      <c r="M30" s="20"/>
      <c r="N30" s="10">
        <f t="shared" si="6"/>
        <v>0.42902877947107848</v>
      </c>
      <c r="O30" s="10">
        <f t="shared" si="2"/>
        <v>1.535765232272436</v>
      </c>
    </row>
    <row r="31" spans="1:15" x14ac:dyDescent="0.3">
      <c r="A31" s="8">
        <v>1976</v>
      </c>
      <c r="B31" s="21">
        <f>data!K31</f>
        <v>1825309.9</v>
      </c>
      <c r="C31" s="24">
        <f>data!AU31</f>
        <v>2.6945199999999998</v>
      </c>
      <c r="D31" s="14">
        <f t="shared" si="0"/>
        <v>677415.60649020982</v>
      </c>
      <c r="E31" s="10">
        <f>data!AB31</f>
        <v>3.4965700000000002</v>
      </c>
      <c r="F31" s="10">
        <f>data!AE31</f>
        <v>1.49011</v>
      </c>
      <c r="G31" s="19"/>
      <c r="H31" s="10">
        <f t="shared" si="3"/>
        <v>0.5635024285714284</v>
      </c>
      <c r="I31" s="19"/>
      <c r="J31" s="10">
        <f t="shared" si="5"/>
        <v>5.7235086453824913E-2</v>
      </c>
      <c r="K31" s="10">
        <f t="shared" si="5"/>
        <v>2.7730623982006156E-2</v>
      </c>
      <c r="L31" s="10">
        <f t="shared" si="4"/>
        <v>4.5130736431480321E-2</v>
      </c>
      <c r="M31" s="20"/>
      <c r="N31" s="10">
        <f t="shared" si="6"/>
        <v>0.47415951590255878</v>
      </c>
      <c r="O31" s="10">
        <f t="shared" si="2"/>
        <v>1.6066632549267321</v>
      </c>
    </row>
    <row r="32" spans="1:15" x14ac:dyDescent="0.3">
      <c r="A32" s="8">
        <v>1977</v>
      </c>
      <c r="B32" s="21">
        <f>data!K32</f>
        <v>2030516.3</v>
      </c>
      <c r="C32" s="24">
        <f>data!AU32</f>
        <v>2.8845499999999999</v>
      </c>
      <c r="D32" s="14">
        <f t="shared" si="0"/>
        <v>703928.27304085565</v>
      </c>
      <c r="E32" s="10">
        <f>data!AB32</f>
        <v>3.6051199999999999</v>
      </c>
      <c r="F32" s="10">
        <f>data!AE32</f>
        <v>1.54749</v>
      </c>
      <c r="G32" s="19"/>
      <c r="H32" s="10">
        <f t="shared" si="3"/>
        <v>0.5635024285714284</v>
      </c>
      <c r="I32" s="19"/>
      <c r="J32" s="10">
        <f t="shared" si="5"/>
        <v>3.8391487153528407E-2</v>
      </c>
      <c r="K32" s="10">
        <f t="shared" si="5"/>
        <v>3.0572569302750784E-2</v>
      </c>
      <c r="L32" s="10">
        <f t="shared" si="4"/>
        <v>2.504663490054599E-2</v>
      </c>
      <c r="M32" s="20"/>
      <c r="N32" s="10">
        <f t="shared" si="6"/>
        <v>0.49920615080310476</v>
      </c>
      <c r="O32" s="10">
        <f t="shared" si="2"/>
        <v>1.6474129540152616</v>
      </c>
    </row>
    <row r="33" spans="1:15" x14ac:dyDescent="0.3">
      <c r="A33" s="8">
        <v>1978</v>
      </c>
      <c r="B33" s="21">
        <f>data!K33</f>
        <v>2293510.2999999998</v>
      </c>
      <c r="C33" s="24">
        <f>data!AU33</f>
        <v>3.1127099999999999</v>
      </c>
      <c r="D33" s="14">
        <f t="shared" si="0"/>
        <v>736821.06588792405</v>
      </c>
      <c r="E33" s="10">
        <f>data!AB33</f>
        <v>3.77996</v>
      </c>
      <c r="F33" s="10">
        <f>data!AE33</f>
        <v>1.6213500000000001</v>
      </c>
      <c r="G33" s="19"/>
      <c r="H33" s="10">
        <f t="shared" si="3"/>
        <v>0.5635024285714284</v>
      </c>
      <c r="I33" s="19"/>
      <c r="J33" s="10">
        <f t="shared" si="5"/>
        <v>4.5668609503203957E-2</v>
      </c>
      <c r="K33" s="10">
        <f t="shared" si="5"/>
        <v>4.7358370280767073E-2</v>
      </c>
      <c r="L33" s="10">
        <f t="shared" si="4"/>
        <v>2.4996795888834088E-2</v>
      </c>
      <c r="M33" s="20"/>
      <c r="N33" s="10">
        <f t="shared" si="6"/>
        <v>0.5242029466919389</v>
      </c>
      <c r="O33" s="10">
        <f t="shared" si="2"/>
        <v>1.6891119993883752</v>
      </c>
    </row>
    <row r="34" spans="1:15" x14ac:dyDescent="0.3">
      <c r="A34" s="8">
        <v>1979</v>
      </c>
      <c r="B34" s="21">
        <f>data!K34</f>
        <v>2561569</v>
      </c>
      <c r="C34" s="24">
        <f>data!AU34</f>
        <v>3.3860700000000001</v>
      </c>
      <c r="D34" s="14">
        <f t="shared" si="0"/>
        <v>756502.08058309485</v>
      </c>
      <c r="E34" s="10">
        <f>data!AB34</f>
        <v>3.9663200000000001</v>
      </c>
      <c r="F34" s="10">
        <f>data!AE34</f>
        <v>1.67455</v>
      </c>
      <c r="G34" s="19"/>
      <c r="H34" s="10">
        <f t="shared" si="3"/>
        <v>0.5635024285714284</v>
      </c>
      <c r="I34" s="19"/>
      <c r="J34" s="10">
        <f t="shared" si="5"/>
        <v>2.6360207914223638E-2</v>
      </c>
      <c r="K34" s="10">
        <f t="shared" si="5"/>
        <v>4.8125285107304572E-2</v>
      </c>
      <c r="L34" s="10">
        <f t="shared" si="4"/>
        <v>5.3536378405775881E-3</v>
      </c>
      <c r="M34" s="20"/>
      <c r="N34" s="10">
        <f t="shared" si="6"/>
        <v>0.52955658453251653</v>
      </c>
      <c r="O34" s="10">
        <f t="shared" si="2"/>
        <v>1.6981791427497401</v>
      </c>
    </row>
    <row r="35" spans="1:15" x14ac:dyDescent="0.3">
      <c r="A35" s="8">
        <v>1980</v>
      </c>
      <c r="B35" s="21">
        <f>data!K35</f>
        <v>2790478.5</v>
      </c>
      <c r="C35" s="24">
        <f>data!AU35</f>
        <v>3.7065999999999999</v>
      </c>
      <c r="D35" s="14">
        <f t="shared" si="0"/>
        <v>752840.47374952794</v>
      </c>
      <c r="E35" s="10">
        <f>data!AB35</f>
        <v>4.1551799999999997</v>
      </c>
      <c r="F35" s="10">
        <f>data!AE35</f>
        <v>1.66185</v>
      </c>
      <c r="G35" s="19"/>
      <c r="H35" s="10">
        <f t="shared" si="3"/>
        <v>0.5635024285714284</v>
      </c>
      <c r="I35" s="19"/>
      <c r="J35" s="10">
        <f t="shared" si="5"/>
        <v>-4.851932394387447E-3</v>
      </c>
      <c r="K35" s="10">
        <f t="shared" si="5"/>
        <v>4.6517035996481056E-2</v>
      </c>
      <c r="L35" s="10">
        <f t="shared" si="4"/>
        <v>-2.515650563690687E-2</v>
      </c>
      <c r="M35" s="20"/>
      <c r="N35" s="10">
        <f t="shared" si="6"/>
        <v>0.50440007889560967</v>
      </c>
      <c r="O35" s="10">
        <f t="shared" si="2"/>
        <v>1.6559917579967995</v>
      </c>
    </row>
    <row r="36" spans="1:15" x14ac:dyDescent="0.3">
      <c r="A36" s="8">
        <v>1981</v>
      </c>
      <c r="B36" s="21">
        <f>data!K36</f>
        <v>3121636.5</v>
      </c>
      <c r="C36" s="24">
        <f>data!AU36</f>
        <v>4.0504600000000002</v>
      </c>
      <c r="D36" s="14">
        <f t="shared" si="0"/>
        <v>770686.90963495499</v>
      </c>
      <c r="E36" s="10">
        <f>data!AB36</f>
        <v>4.3158300000000001</v>
      </c>
      <c r="F36" s="10">
        <f>data!AE36</f>
        <v>1.6838299999999999</v>
      </c>
      <c r="G36" s="19"/>
      <c r="H36" s="10">
        <f t="shared" si="3"/>
        <v>0.5635024285714284</v>
      </c>
      <c r="I36" s="19"/>
      <c r="J36" s="10">
        <f t="shared" si="5"/>
        <v>2.3428856501238174E-2</v>
      </c>
      <c r="K36" s="10">
        <f t="shared" si="5"/>
        <v>3.7933909628917122E-2</v>
      </c>
      <c r="L36" s="10">
        <f t="shared" si="4"/>
        <v>6.8707970734249411E-3</v>
      </c>
      <c r="M36" s="20"/>
      <c r="N36" s="10">
        <f t="shared" si="6"/>
        <v>0.51127087596903464</v>
      </c>
      <c r="O36" s="10">
        <f t="shared" si="2"/>
        <v>1.6674089189041994</v>
      </c>
    </row>
    <row r="37" spans="1:15" x14ac:dyDescent="0.3">
      <c r="A37" s="8">
        <v>1982</v>
      </c>
      <c r="B37" s="21">
        <f>data!K37</f>
        <v>3252701.3</v>
      </c>
      <c r="C37" s="24">
        <f>data!AU37</f>
        <v>4.2855699999999999</v>
      </c>
      <c r="D37" s="14">
        <f t="shared" si="0"/>
        <v>758989.18930270651</v>
      </c>
      <c r="E37" s="10">
        <f>data!AB37</f>
        <v>4.4880000000000004</v>
      </c>
      <c r="F37" s="10">
        <f>data!AE37</f>
        <v>1.6490100000000001</v>
      </c>
      <c r="G37" s="19"/>
      <c r="H37" s="10">
        <f t="shared" si="3"/>
        <v>0.5635024285714284</v>
      </c>
      <c r="I37" s="19"/>
      <c r="J37" s="10">
        <f t="shared" si="5"/>
        <v>-1.5294673655305147E-2</v>
      </c>
      <c r="K37" s="10">
        <f t="shared" si="5"/>
        <v>3.911750992276828E-2</v>
      </c>
      <c r="L37" s="10">
        <f t="shared" si="4"/>
        <v>-3.2369371736926555E-2</v>
      </c>
      <c r="M37" s="20"/>
      <c r="N37" s="10">
        <f t="shared" si="6"/>
        <v>0.47890150423210809</v>
      </c>
      <c r="O37" s="10">
        <f t="shared" si="2"/>
        <v>1.6143001259973493</v>
      </c>
    </row>
    <row r="38" spans="1:15" x14ac:dyDescent="0.3">
      <c r="A38" s="8">
        <v>1983</v>
      </c>
      <c r="B38" s="21">
        <f>data!K38</f>
        <v>3536684</v>
      </c>
      <c r="C38" s="24">
        <f>data!AU38</f>
        <v>4.3221299999999996</v>
      </c>
      <c r="D38" s="14">
        <f t="shared" si="0"/>
        <v>818273.39760719833</v>
      </c>
      <c r="E38" s="10">
        <f>data!AB38</f>
        <v>4.6554500000000001</v>
      </c>
      <c r="F38" s="10">
        <f>data!AE38</f>
        <v>1.6745399999999999</v>
      </c>
      <c r="G38" s="19"/>
      <c r="H38" s="10">
        <f t="shared" si="3"/>
        <v>0.5635024285714284</v>
      </c>
      <c r="I38" s="19"/>
      <c r="J38" s="10">
        <f t="shared" ref="J38:K69" si="7">LN(D38/D37)</f>
        <v>7.5208973713793148E-2</v>
      </c>
      <c r="K38" s="10">
        <f t="shared" si="7"/>
        <v>3.6631408083413988E-2</v>
      </c>
      <c r="L38" s="10">
        <f t="shared" si="4"/>
        <v>5.9219453047373999E-2</v>
      </c>
      <c r="M38" s="20"/>
      <c r="N38" s="10">
        <f t="shared" si="6"/>
        <v>0.53812095727948206</v>
      </c>
      <c r="O38" s="10">
        <f t="shared" si="2"/>
        <v>1.7127854395253606</v>
      </c>
    </row>
    <row r="39" spans="1:15" x14ac:dyDescent="0.3">
      <c r="A39" s="8">
        <v>1984</v>
      </c>
      <c r="B39" s="21">
        <f>data!K39</f>
        <v>3924395.5</v>
      </c>
      <c r="C39" s="24">
        <f>data!AU39</f>
        <v>4.3738299999999999</v>
      </c>
      <c r="D39" s="14">
        <f t="shared" si="0"/>
        <v>897244.63456512941</v>
      </c>
      <c r="E39" s="10">
        <f>data!AB39</f>
        <v>4.85426</v>
      </c>
      <c r="F39" s="10">
        <f>data!AE39</f>
        <v>1.76894</v>
      </c>
      <c r="G39" s="19"/>
      <c r="H39" s="10">
        <f t="shared" si="3"/>
        <v>0.5635024285714284</v>
      </c>
      <c r="I39" s="19"/>
      <c r="J39" s="10">
        <f t="shared" si="7"/>
        <v>9.2132042478680259E-2</v>
      </c>
      <c r="K39" s="10">
        <f t="shared" si="7"/>
        <v>4.1818093636966036E-2</v>
      </c>
      <c r="L39" s="10">
        <f t="shared" si="4"/>
        <v>7.3878546164371978E-2</v>
      </c>
      <c r="M39" s="20"/>
      <c r="N39" s="10">
        <f t="shared" si="6"/>
        <v>0.61199950344385401</v>
      </c>
      <c r="O39" s="10">
        <f t="shared" si="2"/>
        <v>1.8441150291902553</v>
      </c>
    </row>
    <row r="40" spans="1:15" x14ac:dyDescent="0.3">
      <c r="A40" s="8">
        <v>1985</v>
      </c>
      <c r="B40" s="21">
        <f>data!K40</f>
        <v>4225330.5</v>
      </c>
      <c r="C40" s="24">
        <f>data!AU40</f>
        <v>4.4317900000000003</v>
      </c>
      <c r="D40" s="14">
        <f t="shared" si="0"/>
        <v>953413.97042729903</v>
      </c>
      <c r="E40" s="10">
        <f>data!AB40</f>
        <v>5.0852199999999996</v>
      </c>
      <c r="F40" s="10">
        <f>data!AE40</f>
        <v>1.80694</v>
      </c>
      <c r="G40" s="19"/>
      <c r="H40" s="10">
        <f t="shared" si="3"/>
        <v>0.5635024285714284</v>
      </c>
      <c r="I40" s="19"/>
      <c r="J40" s="10">
        <f t="shared" si="7"/>
        <v>6.072064578930926E-2</v>
      </c>
      <c r="K40" s="10">
        <f t="shared" si="7"/>
        <v>4.6481623127307713E-2</v>
      </c>
      <c r="L40" s="10">
        <f t="shared" si="4"/>
        <v>4.0431530178181317E-2</v>
      </c>
      <c r="M40" s="20"/>
      <c r="N40" s="10">
        <f t="shared" si="6"/>
        <v>0.65243103362203536</v>
      </c>
      <c r="O40" s="10">
        <f t="shared" si="2"/>
        <v>1.9202032381140446</v>
      </c>
    </row>
    <row r="41" spans="1:15" x14ac:dyDescent="0.3">
      <c r="A41" s="8">
        <v>1986</v>
      </c>
      <c r="B41" s="21">
        <f>data!K41</f>
        <v>4466132.5</v>
      </c>
      <c r="C41" s="24">
        <f>data!AU41</f>
        <v>4.5179999999999998</v>
      </c>
      <c r="D41" s="14">
        <f t="shared" si="0"/>
        <v>988519.80965028773</v>
      </c>
      <c r="E41" s="10">
        <f>data!AB41</f>
        <v>5.3226000000000004</v>
      </c>
      <c r="F41" s="10">
        <f>data!AE41</f>
        <v>1.8209200000000001</v>
      </c>
      <c r="G41" s="19"/>
      <c r="H41" s="10">
        <f t="shared" si="3"/>
        <v>0.5635024285714284</v>
      </c>
      <c r="I41" s="19"/>
      <c r="J41" s="10">
        <f t="shared" si="7"/>
        <v>3.6159486588409485E-2</v>
      </c>
      <c r="K41" s="10">
        <f t="shared" si="7"/>
        <v>4.5623612704376093E-2</v>
      </c>
      <c r="L41" s="10">
        <f t="shared" si="4"/>
        <v>1.6244890443151597E-2</v>
      </c>
      <c r="M41" s="20"/>
      <c r="N41" s="10">
        <f t="shared" si="6"/>
        <v>0.66867592406518694</v>
      </c>
      <c r="O41" s="10">
        <f t="shared" si="2"/>
        <v>1.9516514743349882</v>
      </c>
    </row>
    <row r="42" spans="1:15" x14ac:dyDescent="0.3">
      <c r="A42" s="8">
        <v>1987</v>
      </c>
      <c r="B42" s="21">
        <f>data!K42</f>
        <v>4753138.5</v>
      </c>
      <c r="C42" s="24">
        <f>data!AU42</f>
        <v>4.5997199999999996</v>
      </c>
      <c r="D42" s="14">
        <f t="shared" si="0"/>
        <v>1033353.878062143</v>
      </c>
      <c r="E42" s="10">
        <f>data!AB42</f>
        <v>5.5711399999999998</v>
      </c>
      <c r="F42" s="10">
        <f>data!AE42</f>
        <v>1.8855500000000001</v>
      </c>
      <c r="G42" s="19"/>
      <c r="H42" s="10">
        <f t="shared" si="3"/>
        <v>0.5635024285714284</v>
      </c>
      <c r="I42" s="19"/>
      <c r="J42" s="10">
        <f t="shared" si="7"/>
        <v>4.435630108166385E-2</v>
      </c>
      <c r="K42" s="10">
        <f t="shared" si="7"/>
        <v>4.563779508867824E-2</v>
      </c>
      <c r="L42" s="10">
        <f t="shared" si="4"/>
        <v>2.4435514360101006E-2</v>
      </c>
      <c r="M42" s="20"/>
      <c r="N42" s="10">
        <f t="shared" si="6"/>
        <v>0.693111438425288</v>
      </c>
      <c r="O42" s="10">
        <f t="shared" si="2"/>
        <v>1.9999285170081704</v>
      </c>
    </row>
    <row r="43" spans="1:15" x14ac:dyDescent="0.3">
      <c r="A43" s="8">
        <v>1988</v>
      </c>
      <c r="B43" s="21">
        <f>data!K43</f>
        <v>5129091.5</v>
      </c>
      <c r="C43" s="24">
        <f>data!AU43</f>
        <v>4.7255500000000001</v>
      </c>
      <c r="D43" s="14">
        <f t="shared" si="0"/>
        <v>1085395.6682290949</v>
      </c>
      <c r="E43" s="10">
        <f>data!AB43</f>
        <v>5.7736299999999998</v>
      </c>
      <c r="F43" s="10">
        <f>data!AE43</f>
        <v>1.9368700000000001</v>
      </c>
      <c r="G43" s="19"/>
      <c r="H43" s="10">
        <f t="shared" si="3"/>
        <v>0.5635024285714284</v>
      </c>
      <c r="I43" s="19"/>
      <c r="J43" s="10">
        <f t="shared" si="7"/>
        <v>4.9134887073969756E-2</v>
      </c>
      <c r="K43" s="10">
        <f t="shared" si="7"/>
        <v>3.5701297966136275E-2</v>
      </c>
      <c r="L43" s="10">
        <f t="shared" si="4"/>
        <v>3.3551357214903467E-2</v>
      </c>
      <c r="M43" s="20"/>
      <c r="N43" s="10">
        <f t="shared" si="6"/>
        <v>0.72666279564019143</v>
      </c>
      <c r="O43" s="10">
        <f t="shared" si="2"/>
        <v>2.0681671817969232</v>
      </c>
    </row>
    <row r="44" spans="1:15" x14ac:dyDescent="0.3">
      <c r="A44" s="8">
        <v>1989</v>
      </c>
      <c r="B44" s="21">
        <f>data!K44</f>
        <v>5519883.5</v>
      </c>
      <c r="C44" s="24">
        <f>data!AU44</f>
        <v>4.8467799999999999</v>
      </c>
      <c r="D44" s="14">
        <f t="shared" si="0"/>
        <v>1138876.4292994523</v>
      </c>
      <c r="E44" s="10">
        <f>data!AB44</f>
        <v>5.9772499999999997</v>
      </c>
      <c r="F44" s="10">
        <f>data!AE44</f>
        <v>1.98933</v>
      </c>
      <c r="G44" s="19"/>
      <c r="H44" s="10">
        <f t="shared" si="3"/>
        <v>0.5635024285714284</v>
      </c>
      <c r="I44" s="19"/>
      <c r="J44" s="10">
        <f t="shared" si="7"/>
        <v>4.8097596366105361E-2</v>
      </c>
      <c r="K44" s="10">
        <f t="shared" si="7"/>
        <v>3.4659597143632065E-2</v>
      </c>
      <c r="L44" s="10">
        <f t="shared" si="4"/>
        <v>3.2968766386217305E-2</v>
      </c>
      <c r="M44" s="20"/>
      <c r="N44" s="10">
        <f t="shared" si="6"/>
        <v>0.75963156202640869</v>
      </c>
      <c r="O44" s="10">
        <f t="shared" si="2"/>
        <v>2.1374885434531374</v>
      </c>
    </row>
    <row r="45" spans="1:15" x14ac:dyDescent="0.3">
      <c r="A45" s="8">
        <v>1990</v>
      </c>
      <c r="B45" s="21">
        <f>data!K45</f>
        <v>5835094.5</v>
      </c>
      <c r="C45" s="24">
        <f>data!AU45</f>
        <v>4.9566400000000002</v>
      </c>
      <c r="D45" s="14">
        <f t="shared" si="0"/>
        <v>1177227.8196520223</v>
      </c>
      <c r="E45" s="10">
        <f>data!AB45</f>
        <v>6.1940999999999997</v>
      </c>
      <c r="F45" s="10">
        <f>data!AE45</f>
        <v>2.0140199999999999</v>
      </c>
      <c r="G45" s="19"/>
      <c r="H45" s="10">
        <f t="shared" si="3"/>
        <v>0.5635024285714284</v>
      </c>
      <c r="I45" s="19"/>
      <c r="J45" s="10">
        <f t="shared" si="7"/>
        <v>3.3120181089250633E-2</v>
      </c>
      <c r="K45" s="10">
        <f t="shared" si="7"/>
        <v>3.5636630105900409E-2</v>
      </c>
      <c r="L45" s="10">
        <f t="shared" si="4"/>
        <v>1.7564878594126785E-2</v>
      </c>
      <c r="M45" s="20"/>
      <c r="N45" s="10">
        <f t="shared" si="6"/>
        <v>0.7771964406205355</v>
      </c>
      <c r="O45" s="10">
        <f t="shared" si="2"/>
        <v>2.1753649435873026</v>
      </c>
    </row>
    <row r="46" spans="1:15" x14ac:dyDescent="0.3">
      <c r="A46" s="8">
        <v>1991</v>
      </c>
      <c r="B46" s="21">
        <f>data!K46</f>
        <v>6013991.5</v>
      </c>
      <c r="C46" s="24">
        <f>data!AU46</f>
        <v>5.0449400000000004</v>
      </c>
      <c r="D46" s="14">
        <f t="shared" si="0"/>
        <v>1192083.850353027</v>
      </c>
      <c r="E46" s="10">
        <f>data!AB46</f>
        <v>6.3761599999999996</v>
      </c>
      <c r="F46" s="10">
        <f>data!AE46</f>
        <v>1.9877499999999999</v>
      </c>
      <c r="G46" s="19"/>
      <c r="H46" s="10">
        <f t="shared" si="3"/>
        <v>0.5635024285714284</v>
      </c>
      <c r="I46" s="19"/>
      <c r="J46" s="10">
        <f t="shared" si="7"/>
        <v>1.2540541274717447E-2</v>
      </c>
      <c r="K46" s="10">
        <f t="shared" si="7"/>
        <v>2.896880919914167E-2</v>
      </c>
      <c r="L46" s="10">
        <f t="shared" si="4"/>
        <v>-1.0427358788555642E-4</v>
      </c>
      <c r="M46" s="20"/>
      <c r="N46" s="10">
        <f t="shared" si="6"/>
        <v>0.77709216703264994</v>
      </c>
      <c r="O46" s="10">
        <f t="shared" si="2"/>
        <v>2.1751381223056145</v>
      </c>
    </row>
    <row r="47" spans="1:15" x14ac:dyDescent="0.3">
      <c r="A47" s="8">
        <v>1992</v>
      </c>
      <c r="B47" s="21">
        <f>data!K47</f>
        <v>6370092.5</v>
      </c>
      <c r="C47" s="24">
        <f>data!AU47</f>
        <v>5.0573800000000002</v>
      </c>
      <c r="D47" s="14">
        <f t="shared" si="0"/>
        <v>1259563.7464457881</v>
      </c>
      <c r="E47" s="10">
        <f>data!AB47</f>
        <v>6.5597200000000004</v>
      </c>
      <c r="F47" s="10">
        <f>data!AE47</f>
        <v>1.9932799999999999</v>
      </c>
      <c r="G47" s="19"/>
      <c r="H47" s="10">
        <f t="shared" si="3"/>
        <v>0.5635024285714284</v>
      </c>
      <c r="I47" s="19"/>
      <c r="J47" s="10">
        <f t="shared" si="7"/>
        <v>5.506251760636461E-2</v>
      </c>
      <c r="K47" s="10">
        <f t="shared" si="7"/>
        <v>2.8381883842278497E-2</v>
      </c>
      <c r="L47" s="10">
        <f t="shared" si="4"/>
        <v>4.2673894236642231E-2</v>
      </c>
      <c r="M47" s="20"/>
      <c r="N47" s="10">
        <f t="shared" si="6"/>
        <v>0.81976606126929219</v>
      </c>
      <c r="O47" s="10">
        <f t="shared" si="2"/>
        <v>2.2699687418066934</v>
      </c>
    </row>
    <row r="48" spans="1:15" x14ac:dyDescent="0.3">
      <c r="A48" s="8">
        <v>1993</v>
      </c>
      <c r="B48" s="21">
        <f>data!K48</f>
        <v>6699666</v>
      </c>
      <c r="C48" s="24">
        <f>data!AU48</f>
        <v>5.1289300000000004</v>
      </c>
      <c r="D48" s="14">
        <f t="shared" si="0"/>
        <v>1306250.2315297732</v>
      </c>
      <c r="E48" s="10">
        <f>data!AB48</f>
        <v>6.7839700000000001</v>
      </c>
      <c r="F48" s="10">
        <f>data!AE48</f>
        <v>2.0386099999999998</v>
      </c>
      <c r="G48" s="19"/>
      <c r="H48" s="10">
        <f t="shared" si="3"/>
        <v>0.5635024285714284</v>
      </c>
      <c r="I48" s="19"/>
      <c r="J48" s="10">
        <f t="shared" si="7"/>
        <v>3.6395185947265082E-2</v>
      </c>
      <c r="K48" s="10">
        <f t="shared" si="7"/>
        <v>3.3614557191786403E-2</v>
      </c>
      <c r="L48" s="10">
        <f t="shared" si="4"/>
        <v>2.1722513368403494E-2</v>
      </c>
      <c r="M48" s="20"/>
      <c r="N48" s="10">
        <f t="shared" si="6"/>
        <v>0.84148857463769566</v>
      </c>
      <c r="O48" s="10">
        <f t="shared" si="2"/>
        <v>2.3198176295542461</v>
      </c>
    </row>
    <row r="49" spans="1:15" x14ac:dyDescent="0.3">
      <c r="A49" s="8">
        <v>1994</v>
      </c>
      <c r="B49" s="21">
        <f>data!K49</f>
        <v>7110672</v>
      </c>
      <c r="C49" s="24">
        <f>data!AU49</f>
        <v>5.2161299999999997</v>
      </c>
      <c r="D49" s="14">
        <f t="shared" si="0"/>
        <v>1363208.3556199712</v>
      </c>
      <c r="E49" s="10">
        <f>data!AB49</f>
        <v>7.0274200000000002</v>
      </c>
      <c r="F49" s="10">
        <f>data!AE49</f>
        <v>2.0909</v>
      </c>
      <c r="G49" s="19"/>
      <c r="H49" s="10">
        <f t="shared" si="3"/>
        <v>0.5635024285714284</v>
      </c>
      <c r="I49" s="19"/>
      <c r="J49" s="10">
        <f t="shared" si="7"/>
        <v>4.2680392511546365E-2</v>
      </c>
      <c r="K49" s="10">
        <f t="shared" si="7"/>
        <v>3.5257163574576658E-2</v>
      </c>
      <c r="L49" s="10">
        <f t="shared" si="4"/>
        <v>2.7290726235783758E-2</v>
      </c>
      <c r="M49" s="20"/>
      <c r="N49" s="10">
        <f t="shared" si="6"/>
        <v>0.86877930087347943</v>
      </c>
      <c r="O49" s="10">
        <f t="shared" si="2"/>
        <v>2.3839989311824161</v>
      </c>
    </row>
    <row r="50" spans="1:15" x14ac:dyDescent="0.3">
      <c r="A50" s="8">
        <v>1995</v>
      </c>
      <c r="B50" s="21">
        <f>data!K50</f>
        <v>7465376.5</v>
      </c>
      <c r="C50" s="24">
        <f>data!AU50</f>
        <v>5.31778</v>
      </c>
      <c r="D50" s="14">
        <f t="shared" si="0"/>
        <v>1403852.0773706322</v>
      </c>
      <c r="E50" s="10">
        <f>data!AB50</f>
        <v>7.30091</v>
      </c>
      <c r="F50" s="10">
        <f>data!AE50</f>
        <v>2.14378</v>
      </c>
      <c r="G50" s="19"/>
      <c r="H50" s="10">
        <f t="shared" si="3"/>
        <v>0.5635024285714284</v>
      </c>
      <c r="I50" s="19"/>
      <c r="J50" s="10">
        <f t="shared" si="7"/>
        <v>2.9378935564762274E-2</v>
      </c>
      <c r="K50" s="10">
        <f t="shared" si="7"/>
        <v>3.8179358034897783E-2</v>
      </c>
      <c r="L50" s="10">
        <f t="shared" si="4"/>
        <v>1.2713738503827468E-2</v>
      </c>
      <c r="M50" s="20"/>
      <c r="N50" s="10">
        <f t="shared" si="6"/>
        <v>0.88149303937730694</v>
      </c>
      <c r="O50" s="10">
        <f t="shared" si="2"/>
        <v>2.4145019630999967</v>
      </c>
    </row>
    <row r="51" spans="1:15" x14ac:dyDescent="0.3">
      <c r="A51" s="8">
        <v>1996</v>
      </c>
      <c r="B51" s="21">
        <f>data!K51</f>
        <v>7884917</v>
      </c>
      <c r="C51" s="24">
        <f>data!AU51</f>
        <v>5.3339400000000001</v>
      </c>
      <c r="D51" s="14">
        <f t="shared" si="0"/>
        <v>1478253.7861318274</v>
      </c>
      <c r="E51" s="10">
        <f>data!AB51</f>
        <v>7.6035500000000003</v>
      </c>
      <c r="F51" s="10">
        <f>data!AE51</f>
        <v>2.1777600000000001</v>
      </c>
      <c r="G51" s="19"/>
      <c r="H51" s="10">
        <f t="shared" si="3"/>
        <v>0.5635024285714284</v>
      </c>
      <c r="I51" s="19"/>
      <c r="J51" s="10">
        <f t="shared" si="7"/>
        <v>5.1641574886228878E-2</v>
      </c>
      <c r="K51" s="10">
        <f t="shared" si="7"/>
        <v>4.0616245576252819E-2</v>
      </c>
      <c r="L51" s="10">
        <f t="shared" si="4"/>
        <v>3.3912682331648056E-2</v>
      </c>
      <c r="M51" s="20"/>
      <c r="N51" s="10">
        <f t="shared" si="6"/>
        <v>0.91540572170895496</v>
      </c>
      <c r="O51" s="10">
        <f t="shared" si="2"/>
        <v>2.4977884533519803</v>
      </c>
    </row>
    <row r="52" spans="1:15" x14ac:dyDescent="0.3">
      <c r="A52" s="8">
        <v>1997</v>
      </c>
      <c r="B52" s="21">
        <f>data!K52</f>
        <v>8384974</v>
      </c>
      <c r="C52" s="24">
        <f>data!AU52</f>
        <v>5.3525799999999997</v>
      </c>
      <c r="D52" s="14">
        <f t="shared" si="0"/>
        <v>1566529.4119845009</v>
      </c>
      <c r="E52" s="10">
        <f>data!AB52</f>
        <v>7.9690099999999999</v>
      </c>
      <c r="F52" s="10">
        <f>data!AE52</f>
        <v>2.2414200000000002</v>
      </c>
      <c r="G52" s="19"/>
      <c r="H52" s="10">
        <f t="shared" si="3"/>
        <v>0.5635024285714284</v>
      </c>
      <c r="I52" s="19"/>
      <c r="J52" s="10">
        <f t="shared" si="7"/>
        <v>5.8001089897203727E-2</v>
      </c>
      <c r="K52" s="10">
        <f t="shared" si="7"/>
        <v>4.69450257816761E-2</v>
      </c>
      <c r="L52" s="10">
        <f t="shared" si="4"/>
        <v>3.7509700152850427E-2</v>
      </c>
      <c r="M52" s="20"/>
      <c r="N52" s="10">
        <f t="shared" si="6"/>
        <v>0.95291542186180533</v>
      </c>
      <c r="O52" s="10">
        <f t="shared" si="2"/>
        <v>2.5932590933300648</v>
      </c>
    </row>
    <row r="53" spans="1:15" x14ac:dyDescent="0.3">
      <c r="A53" s="8">
        <v>1998</v>
      </c>
      <c r="B53" s="21">
        <f>data!K53</f>
        <v>8843244</v>
      </c>
      <c r="C53" s="24">
        <f>data!AU53</f>
        <v>5.3357200000000002</v>
      </c>
      <c r="D53" s="14">
        <f t="shared" si="0"/>
        <v>1657366.5784561408</v>
      </c>
      <c r="E53" s="10">
        <f>data!AB53</f>
        <v>8.4069199999999995</v>
      </c>
      <c r="F53" s="10">
        <f>data!AE53</f>
        <v>2.30654</v>
      </c>
      <c r="G53" s="19"/>
      <c r="H53" s="10">
        <f t="shared" si="3"/>
        <v>0.5635024285714284</v>
      </c>
      <c r="I53" s="19"/>
      <c r="J53" s="10">
        <f t="shared" si="7"/>
        <v>5.6367337347145011E-2</v>
      </c>
      <c r="K53" s="10">
        <f t="shared" si="7"/>
        <v>5.3494906950843024E-2</v>
      </c>
      <c r="L53" s="10">
        <f t="shared" si="4"/>
        <v>3.3016940379304617E-2</v>
      </c>
      <c r="M53" s="20"/>
      <c r="N53" s="10">
        <f t="shared" si="6"/>
        <v>0.98593236224110992</v>
      </c>
      <c r="O53" s="10">
        <f t="shared" si="2"/>
        <v>2.6803097393827557</v>
      </c>
    </row>
    <row r="54" spans="1:15" x14ac:dyDescent="0.3">
      <c r="A54" s="8">
        <v>1999</v>
      </c>
      <c r="B54" s="21">
        <f>data!K54</f>
        <v>9409659</v>
      </c>
      <c r="C54" s="24">
        <f>data!AU54</f>
        <v>5.3597999999999999</v>
      </c>
      <c r="D54" s="14">
        <f t="shared" si="0"/>
        <v>1755598.9029441397</v>
      </c>
      <c r="E54" s="10">
        <f>data!AB54</f>
        <v>8.9096700000000002</v>
      </c>
      <c r="F54" s="10">
        <f>data!AE54</f>
        <v>2.3501500000000002</v>
      </c>
      <c r="G54" s="19"/>
      <c r="H54" s="10">
        <f t="shared" si="3"/>
        <v>0.5635024285714284</v>
      </c>
      <c r="I54" s="19"/>
      <c r="J54" s="10">
        <f t="shared" si="7"/>
        <v>5.7580109756801744E-2</v>
      </c>
      <c r="K54" s="10">
        <f t="shared" si="7"/>
        <v>5.8082027531533582E-2</v>
      </c>
      <c r="L54" s="10">
        <f t="shared" si="4"/>
        <v>3.2227445795639902E-2</v>
      </c>
      <c r="M54" s="20"/>
      <c r="N54" s="10">
        <f t="shared" si="6"/>
        <v>1.0181598080367498</v>
      </c>
      <c r="O54" s="10">
        <f t="shared" si="2"/>
        <v>2.7680962458119494</v>
      </c>
    </row>
    <row r="55" spans="1:15" x14ac:dyDescent="0.3">
      <c r="A55" s="8">
        <v>2000</v>
      </c>
      <c r="B55" s="21">
        <f>data!K55</f>
        <v>10022643</v>
      </c>
      <c r="C55" s="24">
        <f>data!AU55</f>
        <v>5.4460899999999999</v>
      </c>
      <c r="D55" s="14">
        <f t="shared" si="0"/>
        <v>1840337.3796613717</v>
      </c>
      <c r="E55" s="10">
        <f>data!AB55</f>
        <v>9.4075500000000005</v>
      </c>
      <c r="F55" s="10">
        <f>data!AE55</f>
        <v>2.3958300000000001</v>
      </c>
      <c r="G55" s="19"/>
      <c r="H55" s="10">
        <f t="shared" si="3"/>
        <v>0.5635024285714284</v>
      </c>
      <c r="I55" s="19"/>
      <c r="J55" s="10">
        <f t="shared" si="7"/>
        <v>4.7138859382062318E-2</v>
      </c>
      <c r="K55" s="10">
        <f t="shared" si="7"/>
        <v>5.4375354619856202E-2</v>
      </c>
      <c r="L55" s="10">
        <f t="shared" si="4"/>
        <v>2.3404149144927725E-2</v>
      </c>
      <c r="M55" s="20"/>
      <c r="N55" s="10">
        <f t="shared" si="6"/>
        <v>1.0415639571816775</v>
      </c>
      <c r="O55" s="10">
        <f t="shared" si="2"/>
        <v>2.8336452505029364</v>
      </c>
    </row>
    <row r="56" spans="1:15" x14ac:dyDescent="0.3">
      <c r="A56" s="8">
        <v>2001</v>
      </c>
      <c r="B56" s="21">
        <f>data!K56</f>
        <v>10359473</v>
      </c>
      <c r="C56" s="24">
        <f>data!AU56</f>
        <v>5.4975500000000004</v>
      </c>
      <c r="D56" s="14">
        <f t="shared" si="0"/>
        <v>1884379.9510691124</v>
      </c>
      <c r="E56" s="10">
        <f>data!AB56</f>
        <v>9.8063400000000005</v>
      </c>
      <c r="F56" s="10">
        <f>data!AE56</f>
        <v>2.3863599999999998</v>
      </c>
      <c r="G56" s="19"/>
      <c r="H56" s="10">
        <f t="shared" si="3"/>
        <v>0.5635024285714284</v>
      </c>
      <c r="I56" s="19"/>
      <c r="J56" s="10">
        <f t="shared" si="7"/>
        <v>2.3649915038597574E-2</v>
      </c>
      <c r="K56" s="10">
        <f t="shared" si="7"/>
        <v>4.1516556897708473E-2</v>
      </c>
      <c r="L56" s="10">
        <f t="shared" si="4"/>
        <v>5.5280387786717129E-3</v>
      </c>
      <c r="M56" s="20"/>
      <c r="N56" s="10">
        <f t="shared" si="6"/>
        <v>1.0470919959603493</v>
      </c>
      <c r="O56" s="10">
        <f t="shared" si="2"/>
        <v>2.8493531282095845</v>
      </c>
    </row>
    <row r="57" spans="1:15" x14ac:dyDescent="0.3">
      <c r="A57" s="8">
        <v>2002</v>
      </c>
      <c r="B57" s="21">
        <f>data!K57</f>
        <v>10700323</v>
      </c>
      <c r="C57" s="24">
        <f>data!AU57</f>
        <v>5.5199400000000001</v>
      </c>
      <c r="D57" s="14">
        <f t="shared" si="0"/>
        <v>1938485.3820874863</v>
      </c>
      <c r="E57" s="10">
        <f>data!AB57</f>
        <v>10.08292</v>
      </c>
      <c r="F57" s="10">
        <f>data!AE57</f>
        <v>2.3727399999999998</v>
      </c>
      <c r="G57" s="19"/>
      <c r="H57" s="10">
        <f t="shared" si="3"/>
        <v>0.5635024285714284</v>
      </c>
      <c r="I57" s="19"/>
      <c r="J57" s="10">
        <f t="shared" si="7"/>
        <v>2.830810890043051E-2</v>
      </c>
      <c r="K57" s="10">
        <f t="shared" si="7"/>
        <v>2.7813787955661966E-2</v>
      </c>
      <c r="L57" s="10">
        <f t="shared" si="4"/>
        <v>1.6167458005554809E-2</v>
      </c>
      <c r="M57" s="20"/>
      <c r="N57" s="10">
        <f t="shared" si="6"/>
        <v>1.0632594539659042</v>
      </c>
      <c r="O57" s="10">
        <f t="shared" si="2"/>
        <v>2.895794331768712</v>
      </c>
    </row>
    <row r="58" spans="1:15" x14ac:dyDescent="0.3">
      <c r="A58" s="8">
        <v>2003</v>
      </c>
      <c r="B58" s="21">
        <f>data!K58</f>
        <v>11220648</v>
      </c>
      <c r="C58" s="24">
        <f>data!AU58</f>
        <v>5.5724299999999998</v>
      </c>
      <c r="D58" s="14">
        <f t="shared" si="0"/>
        <v>2013600.5297509346</v>
      </c>
      <c r="E58" s="10">
        <f>data!AB58</f>
        <v>10.36509</v>
      </c>
      <c r="F58" s="10">
        <f>data!AE58</f>
        <v>2.36835</v>
      </c>
      <c r="G58" s="19"/>
      <c r="H58" s="10">
        <f t="shared" si="3"/>
        <v>0.5635024285714284</v>
      </c>
      <c r="I58" s="19"/>
      <c r="J58" s="10">
        <f t="shared" si="7"/>
        <v>3.8017490661993496E-2</v>
      </c>
      <c r="K58" s="10">
        <f t="shared" si="7"/>
        <v>2.760052568504321E-2</v>
      </c>
      <c r="L58" s="10">
        <f t="shared" si="4"/>
        <v>2.5969928230320224E-2</v>
      </c>
      <c r="M58" s="20"/>
      <c r="N58" s="10">
        <f t="shared" si="6"/>
        <v>1.0892293821962244</v>
      </c>
      <c r="O58" s="10">
        <f t="shared" si="2"/>
        <v>2.9719829269216347</v>
      </c>
    </row>
    <row r="59" spans="1:15" x14ac:dyDescent="0.3">
      <c r="A59" s="8">
        <v>2004</v>
      </c>
      <c r="B59" s="21">
        <f>data!K59</f>
        <v>11964224</v>
      </c>
      <c r="C59" s="24">
        <f>data!AU59</f>
        <v>5.7374200000000002</v>
      </c>
      <c r="D59" s="14">
        <f t="shared" si="0"/>
        <v>2085296.8755991368</v>
      </c>
      <c r="E59" s="10">
        <f>data!AB59</f>
        <v>10.68078</v>
      </c>
      <c r="F59" s="10">
        <f>data!AE59</f>
        <v>2.3992300000000002</v>
      </c>
      <c r="G59" s="19"/>
      <c r="H59" s="10">
        <f t="shared" si="3"/>
        <v>0.5635024285714284</v>
      </c>
      <c r="I59" s="19"/>
      <c r="J59" s="10">
        <f t="shared" si="7"/>
        <v>3.4986803567855648E-2</v>
      </c>
      <c r="K59" s="10">
        <f t="shared" si="7"/>
        <v>3.0002435655019904E-2</v>
      </c>
      <c r="L59" s="10">
        <f t="shared" si="4"/>
        <v>2.1890813267497474E-2</v>
      </c>
      <c r="M59" s="20"/>
      <c r="N59" s="10">
        <f t="shared" si="6"/>
        <v>1.111120195463722</v>
      </c>
      <c r="O59" s="10">
        <f t="shared" si="2"/>
        <v>3.0377593734694321</v>
      </c>
    </row>
    <row r="60" spans="1:15" x14ac:dyDescent="0.3">
      <c r="A60" s="8">
        <v>2005</v>
      </c>
      <c r="B60" s="21">
        <f>data!K60</f>
        <v>12763681</v>
      </c>
      <c r="C60" s="24">
        <f>data!AU60</f>
        <v>5.9841699999999998</v>
      </c>
      <c r="D60" s="14">
        <f t="shared" si="0"/>
        <v>2132907.4875880866</v>
      </c>
      <c r="E60" s="10">
        <f>data!AB60</f>
        <v>11.027340000000001</v>
      </c>
      <c r="F60" s="10">
        <f>data!AE60</f>
        <v>2.4361999999999999</v>
      </c>
      <c r="G60" s="19"/>
      <c r="H60" s="10">
        <f t="shared" si="3"/>
        <v>0.5635024285714284</v>
      </c>
      <c r="I60" s="19"/>
      <c r="J60" s="10">
        <f t="shared" si="7"/>
        <v>2.2574835085398221E-2</v>
      </c>
      <c r="K60" s="10">
        <f t="shared" si="7"/>
        <v>3.1931779137024552E-2</v>
      </c>
      <c r="L60" s="10">
        <f t="shared" si="4"/>
        <v>8.6366910406934748E-3</v>
      </c>
      <c r="M60" s="20"/>
      <c r="N60" s="10">
        <f t="shared" si="6"/>
        <v>1.1197568865044154</v>
      </c>
      <c r="O60" s="10">
        <f t="shared" si="2"/>
        <v>3.0641091864396777</v>
      </c>
    </row>
    <row r="61" spans="1:15" x14ac:dyDescent="0.3">
      <c r="A61" s="8">
        <v>2006</v>
      </c>
      <c r="B61" s="21">
        <f>data!K61</f>
        <v>13497656</v>
      </c>
      <c r="C61" s="24">
        <f>data!AU61</f>
        <v>6.2032299999999996</v>
      </c>
      <c r="D61" s="14">
        <f t="shared" si="0"/>
        <v>2175907.71259489</v>
      </c>
      <c r="E61" s="10">
        <f>data!AB61</f>
        <v>11.39472</v>
      </c>
      <c r="F61" s="10">
        <f>data!AE61</f>
        <v>2.5070000000000001</v>
      </c>
      <c r="G61" s="19"/>
      <c r="H61" s="10">
        <f t="shared" si="3"/>
        <v>0.5635024285714284</v>
      </c>
      <c r="I61" s="19"/>
      <c r="J61" s="10">
        <f t="shared" si="7"/>
        <v>1.9959850024316866E-2</v>
      </c>
      <c r="K61" s="10">
        <f t="shared" si="7"/>
        <v>3.2772446504858284E-2</v>
      </c>
      <c r="L61" s="10">
        <f t="shared" si="4"/>
        <v>5.6547567151734451E-3</v>
      </c>
      <c r="M61" s="20"/>
      <c r="N61" s="10">
        <f t="shared" si="6"/>
        <v>1.1254116432195889</v>
      </c>
      <c r="O61" s="10">
        <f t="shared" si="2"/>
        <v>3.0814850603061528</v>
      </c>
    </row>
    <row r="62" spans="1:15" x14ac:dyDescent="0.3">
      <c r="A62" s="8">
        <v>2007</v>
      </c>
      <c r="B62" s="21">
        <f>data!K62</f>
        <v>14117333</v>
      </c>
      <c r="C62" s="24">
        <f>data!AU62</f>
        <v>6.3338700000000001</v>
      </c>
      <c r="D62" s="14">
        <f t="shared" si="0"/>
        <v>2228863.7120749243</v>
      </c>
      <c r="E62" s="10">
        <f>data!AB62</f>
        <v>11.674239999999999</v>
      </c>
      <c r="F62" s="10">
        <f>data!AE62</f>
        <v>2.5516999999999999</v>
      </c>
      <c r="G62" s="19"/>
      <c r="H62" s="10">
        <f t="shared" si="3"/>
        <v>0.5635024285714284</v>
      </c>
      <c r="I62" s="19"/>
      <c r="J62" s="10">
        <f t="shared" si="7"/>
        <v>2.4045992851542516E-2</v>
      </c>
      <c r="K62" s="10">
        <f t="shared" si="7"/>
        <v>2.4234614861392459E-2</v>
      </c>
      <c r="L62" s="10">
        <f t="shared" si="4"/>
        <v>1.3467642320037939E-2</v>
      </c>
      <c r="M62" s="20"/>
      <c r="N62" s="10">
        <f t="shared" si="6"/>
        <v>1.1388792855396268</v>
      </c>
      <c r="O62" s="10">
        <f t="shared" si="2"/>
        <v>3.1232661135436532</v>
      </c>
    </row>
    <row r="63" spans="1:15" x14ac:dyDescent="0.3">
      <c r="A63" s="8">
        <v>2008</v>
      </c>
      <c r="B63" s="21">
        <f>data!K63</f>
        <v>14363465</v>
      </c>
      <c r="C63" s="24">
        <f>data!AU63</f>
        <v>6.4182600000000001</v>
      </c>
      <c r="D63" s="14">
        <f t="shared" si="0"/>
        <v>2237906.3796106731</v>
      </c>
      <c r="E63" s="10">
        <f>data!AB63</f>
        <v>11.99663</v>
      </c>
      <c r="F63" s="10">
        <f>data!AE63</f>
        <v>2.54284</v>
      </c>
      <c r="G63" s="19"/>
      <c r="H63" s="10">
        <f t="shared" si="3"/>
        <v>0.5635024285714284</v>
      </c>
      <c r="I63" s="19"/>
      <c r="J63" s="10">
        <f t="shared" si="7"/>
        <v>4.0488673934042157E-3</v>
      </c>
      <c r="K63" s="10">
        <f t="shared" si="7"/>
        <v>2.7241071937243951E-2</v>
      </c>
      <c r="L63" s="10">
        <f t="shared" si="4"/>
        <v>-7.8417943503137841E-3</v>
      </c>
      <c r="M63" s="20"/>
      <c r="N63" s="10">
        <f t="shared" si="6"/>
        <v>1.1310374911893131</v>
      </c>
      <c r="O63" s="10">
        <f t="shared" si="2"/>
        <v>3.0988698831087604</v>
      </c>
    </row>
    <row r="64" spans="1:15" x14ac:dyDescent="0.3">
      <c r="A64" s="8">
        <v>2009</v>
      </c>
      <c r="B64" s="21">
        <f>data!K64</f>
        <v>14068688</v>
      </c>
      <c r="C64" s="24">
        <f>data!AU64</f>
        <v>6.3706699999999996</v>
      </c>
      <c r="D64" s="14">
        <f t="shared" si="0"/>
        <v>2208352.9675842575</v>
      </c>
      <c r="E64" s="10">
        <f>data!AB64</f>
        <v>12.125389999999999</v>
      </c>
      <c r="F64" s="10">
        <f>data!AE64</f>
        <v>2.4314399999999998</v>
      </c>
      <c r="G64" s="19"/>
      <c r="H64" s="10">
        <f t="shared" si="3"/>
        <v>0.5635024285714284</v>
      </c>
      <c r="I64" s="19"/>
      <c r="J64" s="10">
        <f t="shared" si="7"/>
        <v>-1.3293802701728983E-2</v>
      </c>
      <c r="K64" s="10">
        <f t="shared" si="7"/>
        <v>1.0675824241117664E-2</v>
      </c>
      <c r="L64" s="10">
        <f t="shared" si="4"/>
        <v>-1.7953774055975116E-2</v>
      </c>
      <c r="M64" s="20"/>
      <c r="N64" s="10">
        <f t="shared" si="6"/>
        <v>1.1130837171333379</v>
      </c>
      <c r="O64" s="10">
        <f t="shared" si="2"/>
        <v>3.0437299395760316</v>
      </c>
    </row>
    <row r="65" spans="1:15" x14ac:dyDescent="0.3">
      <c r="A65" s="8">
        <v>2010</v>
      </c>
      <c r="B65" s="21">
        <f>data!K65</f>
        <v>14610398</v>
      </c>
      <c r="C65" s="24">
        <f>data!AU65</f>
        <v>6.3064</v>
      </c>
      <c r="D65" s="14">
        <f t="shared" si="0"/>
        <v>2316757.2624635291</v>
      </c>
      <c r="E65" s="10">
        <f>data!AB65</f>
        <v>12.15888</v>
      </c>
      <c r="F65" s="10">
        <f>data!AE65</f>
        <v>2.43174</v>
      </c>
      <c r="G65" s="19"/>
      <c r="H65" s="10">
        <f t="shared" si="3"/>
        <v>0.5635024285714284</v>
      </c>
      <c r="I65" s="19"/>
      <c r="J65" s="10">
        <f t="shared" si="7"/>
        <v>4.7921502097130295E-2</v>
      </c>
      <c r="K65" s="10">
        <f t="shared" si="7"/>
        <v>2.7581657781931669E-3</v>
      </c>
      <c r="L65" s="10">
        <f t="shared" si="4"/>
        <v>4.6717569433351584E-2</v>
      </c>
      <c r="M65" s="20"/>
      <c r="N65" s="10">
        <f t="shared" si="6"/>
        <v>1.1598012865666893</v>
      </c>
      <c r="O65" s="10">
        <f t="shared" si="2"/>
        <v>3.1892994564991777</v>
      </c>
    </row>
    <row r="66" spans="1:15" x14ac:dyDescent="0.3">
      <c r="A66" s="8">
        <v>2011</v>
      </c>
      <c r="B66" s="21">
        <f>data!K66</f>
        <v>15148135</v>
      </c>
      <c r="C66" s="24">
        <f>data!AU66</f>
        <v>6.3955200000000003</v>
      </c>
      <c r="D66" s="14">
        <f t="shared" si="0"/>
        <v>2368554.0816071248</v>
      </c>
      <c r="E66" s="10">
        <f>data!AB66</f>
        <v>12.27711</v>
      </c>
      <c r="F66" s="10">
        <f>data!AE66</f>
        <v>2.4856699999999998</v>
      </c>
      <c r="G66" s="19"/>
      <c r="H66" s="10">
        <f t="shared" si="3"/>
        <v>0.5635024285714284</v>
      </c>
      <c r="I66" s="19"/>
      <c r="J66" s="10">
        <f t="shared" si="7"/>
        <v>2.2111200572870356E-2</v>
      </c>
      <c r="K66" s="10">
        <f t="shared" si="7"/>
        <v>9.6767859692609131E-3</v>
      </c>
      <c r="L66" s="10">
        <f t="shared" si="4"/>
        <v>1.7887306998053892E-2</v>
      </c>
      <c r="M66" s="20"/>
      <c r="N66" s="10">
        <f t="shared" si="6"/>
        <v>1.1776885935647432</v>
      </c>
      <c r="O66" s="10">
        <f t="shared" si="2"/>
        <v>3.2468607081295806</v>
      </c>
    </row>
    <row r="67" spans="1:15" x14ac:dyDescent="0.3">
      <c r="A67" s="8">
        <v>2012</v>
      </c>
      <c r="B67" s="21">
        <f>data!K67</f>
        <v>15765227</v>
      </c>
      <c r="C67" s="24">
        <f>data!AU67</f>
        <v>6.4935099999999997</v>
      </c>
      <c r="D67" s="14">
        <f t="shared" ref="D67:D72" si="8">B67/C67</f>
        <v>2427843.6469644308</v>
      </c>
      <c r="E67" s="10">
        <f>data!AB67</f>
        <v>12.420249999999999</v>
      </c>
      <c r="F67" s="10">
        <f>data!AE67</f>
        <v>2.5379399999999999</v>
      </c>
      <c r="G67" s="19"/>
      <c r="H67" s="10">
        <f t="shared" si="3"/>
        <v>0.5635024285714284</v>
      </c>
      <c r="I67" s="19"/>
      <c r="J67" s="10">
        <f t="shared" si="7"/>
        <v>2.4723798493888373E-2</v>
      </c>
      <c r="K67" s="10">
        <f t="shared" si="7"/>
        <v>1.1591652125053521E-2</v>
      </c>
      <c r="L67" s="10">
        <f t="shared" si="4"/>
        <v>1.9664070492457671E-2</v>
      </c>
      <c r="M67" s="20"/>
      <c r="N67" s="10">
        <f t="shared" ref="N67:N71" si="9">N66+L67</f>
        <v>1.197352664057201</v>
      </c>
      <c r="O67" s="10">
        <f t="shared" ref="O67:O71" si="10">EXP(N67)</f>
        <v>3.3113390819459463</v>
      </c>
    </row>
    <row r="68" spans="1:15" x14ac:dyDescent="0.3">
      <c r="A68" s="8">
        <v>2013</v>
      </c>
      <c r="B68" s="21">
        <f>data!K68</f>
        <v>16280440</v>
      </c>
      <c r="C68" s="24">
        <f>data!AU68</f>
        <v>6.5669500000000003</v>
      </c>
      <c r="D68" s="14">
        <f t="shared" si="8"/>
        <v>2479147.8540266026</v>
      </c>
      <c r="E68" s="10">
        <f>data!AB68</f>
        <v>12.610139999999999</v>
      </c>
      <c r="F68" s="10">
        <f>data!AE68</f>
        <v>2.59077</v>
      </c>
      <c r="G68" s="19"/>
      <c r="H68" s="10">
        <f t="shared" ref="H68:H72" si="11">H67</f>
        <v>0.5635024285714284</v>
      </c>
      <c r="I68" s="19"/>
      <c r="J68" s="10">
        <f t="shared" si="7"/>
        <v>2.0911418572965385E-2</v>
      </c>
      <c r="K68" s="10">
        <f t="shared" si="7"/>
        <v>1.5173047087732851E-2</v>
      </c>
      <c r="L68" s="10">
        <f t="shared" ref="L68:L72" si="12">J68-(1-H68)*K68</f>
        <v>1.4288420367998635E-2</v>
      </c>
      <c r="M68" s="20"/>
      <c r="N68" s="10">
        <f t="shared" si="9"/>
        <v>1.2116410844251997</v>
      </c>
      <c r="O68" s="10">
        <f t="shared" si="10"/>
        <v>3.3589925221858765</v>
      </c>
    </row>
    <row r="69" spans="1:15" x14ac:dyDescent="0.3">
      <c r="A69" s="8">
        <v>2014</v>
      </c>
      <c r="B69" s="21">
        <f>data!K69</f>
        <v>16964216</v>
      </c>
      <c r="C69" s="24">
        <f>data!AU69</f>
        <v>6.6992399999999996</v>
      </c>
      <c r="D69" s="14">
        <f t="shared" si="8"/>
        <v>2532259.7787211686</v>
      </c>
      <c r="E69" s="10">
        <f>data!AB69</f>
        <v>12.81054</v>
      </c>
      <c r="F69" s="10">
        <f>data!AE69</f>
        <v>2.6348699999999998</v>
      </c>
      <c r="G69" s="19"/>
      <c r="H69" s="10">
        <f t="shared" si="11"/>
        <v>0.5635024285714284</v>
      </c>
      <c r="I69" s="19"/>
      <c r="J69" s="10">
        <f t="shared" si="7"/>
        <v>2.1197203367143726E-2</v>
      </c>
      <c r="K69" s="10">
        <f t="shared" si="7"/>
        <v>1.5767017371948706E-2</v>
      </c>
      <c r="L69" s="10">
        <f t="shared" si="12"/>
        <v>1.4314938575616016E-2</v>
      </c>
      <c r="M69" s="20"/>
      <c r="N69" s="10">
        <f t="shared" si="9"/>
        <v>1.2259560230008157</v>
      </c>
      <c r="O69" s="10">
        <f t="shared" si="10"/>
        <v>3.4074221000302551</v>
      </c>
    </row>
    <row r="70" spans="1:15" x14ac:dyDescent="0.3">
      <c r="A70" s="8">
        <v>2015</v>
      </c>
      <c r="B70" s="21">
        <f>data!K70</f>
        <v>17565464</v>
      </c>
      <c r="C70" s="24">
        <f>data!AU70</f>
        <v>6.7538499999999999</v>
      </c>
      <c r="D70" s="14">
        <f t="shared" si="8"/>
        <v>2600807.5394034516</v>
      </c>
      <c r="E70" s="10">
        <f>data!AB70</f>
        <v>13.25835</v>
      </c>
      <c r="F70" s="10">
        <f>data!AE70</f>
        <v>2.69713</v>
      </c>
      <c r="G70" s="19"/>
      <c r="H70" s="10">
        <f t="shared" si="11"/>
        <v>0.5635024285714284</v>
      </c>
      <c r="I70" s="19"/>
      <c r="J70" s="10">
        <f t="shared" ref="J70:K72" si="13">LN(D70/D69)</f>
        <v>2.6709891631751938E-2</v>
      </c>
      <c r="K70" s="10">
        <f t="shared" si="13"/>
        <v>3.435927303906653E-2</v>
      </c>
      <c r="L70" s="10">
        <f t="shared" si="12"/>
        <v>1.1712152394148202E-2</v>
      </c>
      <c r="M70" s="20"/>
      <c r="N70" s="10">
        <f t="shared" si="9"/>
        <v>1.2376681753949639</v>
      </c>
      <c r="O70" s="10">
        <f t="shared" si="10"/>
        <v>3.4475649677486451</v>
      </c>
    </row>
    <row r="71" spans="1:15" x14ac:dyDescent="0.3">
      <c r="A71" s="8">
        <v>2016</v>
      </c>
      <c r="B71" s="21">
        <f>data!K71</f>
        <v>18026634</v>
      </c>
      <c r="C71" s="24">
        <f>data!AU71</f>
        <v>6.7654100000000001</v>
      </c>
      <c r="D71" s="14">
        <f t="shared" si="8"/>
        <v>2664529.4224592447</v>
      </c>
      <c r="E71" s="10">
        <f>data!AB71</f>
        <v>13.81265</v>
      </c>
      <c r="F71" s="10">
        <f>data!AE71</f>
        <v>2.7511000000000001</v>
      </c>
      <c r="G71" s="19"/>
      <c r="H71" s="10">
        <f t="shared" si="11"/>
        <v>0.5635024285714284</v>
      </c>
      <c r="I71" s="19"/>
      <c r="J71" s="10">
        <f t="shared" si="13"/>
        <v>2.4205476205942628E-2</v>
      </c>
      <c r="K71" s="10">
        <f t="shared" si="13"/>
        <v>4.0957296321536593E-2</v>
      </c>
      <c r="L71" s="10">
        <f t="shared" si="12"/>
        <v>6.3277158293115372E-3</v>
      </c>
      <c r="M71" s="20"/>
      <c r="N71" s="10">
        <f t="shared" si="9"/>
        <v>1.2439958912242755</v>
      </c>
      <c r="O71" s="10">
        <f t="shared" si="10"/>
        <v>3.469449345207678</v>
      </c>
    </row>
    <row r="72" spans="1:15" x14ac:dyDescent="0.3">
      <c r="A72" s="8">
        <v>2017</v>
      </c>
      <c r="B72" s="21">
        <f>data!K72</f>
        <v>18810856</v>
      </c>
      <c r="C72" s="24">
        <f>data!AU72</f>
        <v>6.8795099999999998</v>
      </c>
      <c r="D72" s="14">
        <f t="shared" si="8"/>
        <v>2734330.7880939194</v>
      </c>
      <c r="E72" s="10">
        <f>data!AB72</f>
        <v>14.540050000000001</v>
      </c>
      <c r="F72" s="10">
        <f>data!AE72</f>
        <v>2.7782399999999998</v>
      </c>
      <c r="G72" s="19"/>
      <c r="H72" s="10">
        <f t="shared" si="11"/>
        <v>0.5635024285714284</v>
      </c>
      <c r="I72" s="19"/>
      <c r="J72" s="10">
        <f t="shared" si="13"/>
        <v>2.5859256419576131E-2</v>
      </c>
      <c r="K72" s="10">
        <f t="shared" si="13"/>
        <v>5.1322071941494886E-2</v>
      </c>
      <c r="L72" s="10">
        <f t="shared" si="12"/>
        <v>3.4572966564311788E-3</v>
      </c>
      <c r="M72" s="20"/>
      <c r="N72" s="10">
        <f>N71+L72</f>
        <v>1.2474531878807067</v>
      </c>
      <c r="O72" s="10">
        <f>EXP(N72)</f>
        <v>3.4814650197356962</v>
      </c>
    </row>
    <row r="74" spans="1:15" x14ac:dyDescent="0.3">
      <c r="D74" s="10"/>
      <c r="E74" s="10"/>
      <c r="F74" s="10"/>
      <c r="G74" s="10"/>
      <c r="I74" s="10"/>
      <c r="M74" s="6" t="s">
        <v>98</v>
      </c>
      <c r="O74" s="10">
        <f>LN(O72)-LN(O35)</f>
        <v>0.74305310898509702</v>
      </c>
    </row>
    <row r="75" spans="1:15" x14ac:dyDescent="0.3">
      <c r="D75" s="9"/>
      <c r="E75" s="9"/>
      <c r="F75" s="9"/>
      <c r="G75" s="9"/>
      <c r="H75" s="9"/>
      <c r="I75" s="9"/>
      <c r="M75" s="6" t="s">
        <v>99</v>
      </c>
      <c r="O75" s="10">
        <f>O74/($A$72-$A$35)</f>
        <v>2.0082516459056676E-2</v>
      </c>
    </row>
    <row r="76" spans="1:15" x14ac:dyDescent="0.3">
      <c r="H76" s="9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7B8E-DF07-4B3C-B3E3-AEB223D94992}">
  <sheetPr>
    <tabColor rgb="FFFFFF00"/>
  </sheetPr>
  <dimension ref="A1:S76"/>
  <sheetViews>
    <sheetView workbookViewId="0">
      <pane xSplit="10" ySplit="14" topLeftCell="M64" activePane="bottomRight" state="frozen"/>
      <selection pane="topRight" activeCell="K1" sqref="K1"/>
      <selection pane="bottomLeft" activeCell="A15" sqref="A15"/>
      <selection pane="bottomRight" activeCell="B70" sqref="B70"/>
    </sheetView>
  </sheetViews>
  <sheetFormatPr defaultColWidth="8.77734375" defaultRowHeight="14.4" x14ac:dyDescent="0.3"/>
  <cols>
    <col min="1" max="1" width="8.77734375" style="8"/>
    <col min="2" max="3" width="13.33203125" style="8" customWidth="1"/>
    <col min="4" max="4" width="13.33203125" style="6" customWidth="1"/>
    <col min="5" max="5" width="2.77734375" style="6" customWidth="1"/>
    <col min="6" max="6" width="15.77734375" style="6" bestFit="1" customWidth="1"/>
    <col min="7" max="7" width="2.77734375" style="6" customWidth="1"/>
    <col min="8" max="8" width="17.77734375" style="8" bestFit="1" customWidth="1"/>
    <col min="9" max="10" width="16.6640625" style="8" bestFit="1" customWidth="1"/>
    <col min="11" max="11" width="17.77734375" style="8" bestFit="1" customWidth="1"/>
    <col min="12" max="12" width="2.77734375" style="6" customWidth="1"/>
    <col min="13" max="13" width="12" style="8" bestFit="1" customWidth="1"/>
    <col min="14" max="16" width="11.33203125" style="8" customWidth="1"/>
    <col min="17" max="17" width="8.77734375" style="6"/>
    <col min="18" max="18" width="12.77734375" style="6" bestFit="1" customWidth="1"/>
    <col min="19" max="19" width="10.77734375" style="6" bestFit="1" customWidth="1"/>
    <col min="20" max="16384" width="8.77734375" style="6"/>
  </cols>
  <sheetData>
    <row r="1" spans="1:19" x14ac:dyDescent="0.3">
      <c r="A1" s="8" t="s">
        <v>0</v>
      </c>
      <c r="B1" s="8" t="s">
        <v>25</v>
      </c>
      <c r="C1" s="8" t="s">
        <v>28</v>
      </c>
      <c r="D1" s="8" t="s">
        <v>31</v>
      </c>
      <c r="E1" s="7"/>
      <c r="F1" s="8" t="s">
        <v>100</v>
      </c>
      <c r="G1" s="7"/>
      <c r="H1" s="8" t="s">
        <v>20</v>
      </c>
      <c r="I1" s="8" t="s">
        <v>21</v>
      </c>
      <c r="J1" s="8" t="s">
        <v>22</v>
      </c>
      <c r="K1" s="8" t="s">
        <v>102</v>
      </c>
      <c r="L1" s="7"/>
      <c r="M1" s="8" t="s">
        <v>103</v>
      </c>
      <c r="N1" s="8" t="s">
        <v>94</v>
      </c>
      <c r="O1" s="8" t="s">
        <v>101</v>
      </c>
      <c r="P1" s="8" t="s">
        <v>95</v>
      </c>
      <c r="R1" s="8" t="s">
        <v>96</v>
      </c>
      <c r="S1" s="8" t="s">
        <v>97</v>
      </c>
    </row>
    <row r="2" spans="1:19" x14ac:dyDescent="0.3">
      <c r="A2" s="8">
        <v>1947</v>
      </c>
      <c r="B2" s="10">
        <f>data!Z2</f>
        <v>1</v>
      </c>
      <c r="C2" s="10">
        <f>data!AC2</f>
        <v>1</v>
      </c>
      <c r="D2" s="10">
        <f>data!AF2</f>
        <v>1</v>
      </c>
      <c r="E2" s="19"/>
      <c r="F2" s="10">
        <f>+data!X74</f>
        <v>0.5635024285714284</v>
      </c>
      <c r="G2" s="17"/>
      <c r="H2" s="21">
        <f>data!U2</f>
        <v>128228.3</v>
      </c>
      <c r="I2" s="21">
        <f>data!V2</f>
        <v>62056.7</v>
      </c>
      <c r="J2" s="21">
        <f>data!W2</f>
        <v>66171.600000000006</v>
      </c>
      <c r="K2" s="9">
        <f>I2/H2</f>
        <v>0.48395479001125336</v>
      </c>
      <c r="L2" s="17"/>
      <c r="M2" s="9"/>
      <c r="N2" s="9"/>
      <c r="O2" s="9"/>
      <c r="P2" s="9"/>
      <c r="Q2" s="18"/>
      <c r="R2" s="10">
        <v>0</v>
      </c>
      <c r="S2" s="10">
        <f>EXP(R2)</f>
        <v>1</v>
      </c>
    </row>
    <row r="3" spans="1:19" x14ac:dyDescent="0.3">
      <c r="A3" s="8">
        <v>1948</v>
      </c>
      <c r="B3" s="10">
        <f>data!Z3</f>
        <v>1.0894200000000001</v>
      </c>
      <c r="C3" s="10">
        <f>data!AC3</f>
        <v>1.06134</v>
      </c>
      <c r="D3" s="10">
        <f>data!AF3</f>
        <v>1.01999</v>
      </c>
      <c r="E3" s="19"/>
      <c r="F3" s="10">
        <f>F2</f>
        <v>0.5635024285714284</v>
      </c>
      <c r="G3" s="17"/>
      <c r="H3" s="21">
        <f>data!U3</f>
        <v>141262.29999999999</v>
      </c>
      <c r="I3" s="21">
        <f>data!V3</f>
        <v>70286.899999999994</v>
      </c>
      <c r="J3" s="21">
        <f>data!W3</f>
        <v>70975.399999999994</v>
      </c>
      <c r="K3" s="9">
        <f t="shared" ref="K3:K65" si="0">I3/H3</f>
        <v>0.49756304406766705</v>
      </c>
      <c r="L3" s="17"/>
      <c r="M3" s="9">
        <f t="shared" ref="M3:M34" si="1">LN(B3/B2)</f>
        <v>8.5645444528493597E-2</v>
      </c>
      <c r="N3" s="9">
        <f t="shared" ref="N3:N34" si="2">LN(C3/C2)</f>
        <v>5.9532260701334064E-2</v>
      </c>
      <c r="O3" s="9">
        <f>LN(K3/K2)</f>
        <v>2.7730777028105114E-2</v>
      </c>
      <c r="P3" s="9">
        <f>M3-(1-F3)*N3-F3*O3</f>
        <v>4.403339710919868E-2</v>
      </c>
      <c r="Q3" s="18"/>
      <c r="R3" s="10">
        <f>R2+P3</f>
        <v>4.403339710919868E-2</v>
      </c>
      <c r="S3" s="10">
        <f>EXP(R3)</f>
        <v>1.0450172548610366</v>
      </c>
    </row>
    <row r="4" spans="1:19" x14ac:dyDescent="0.3">
      <c r="A4" s="8">
        <v>1949</v>
      </c>
      <c r="B4" s="10">
        <f>data!Z4</f>
        <v>1.0591200000000001</v>
      </c>
      <c r="C4" s="10">
        <f>data!AC4</f>
        <v>1.08348</v>
      </c>
      <c r="D4" s="10">
        <f>data!AF4</f>
        <v>0.95074999999999998</v>
      </c>
      <c r="E4" s="19"/>
      <c r="F4" s="10">
        <f t="shared" ref="F4:F67" si="3">F3</f>
        <v>0.5635024285714284</v>
      </c>
      <c r="G4" s="17"/>
      <c r="H4" s="21">
        <f>data!U4</f>
        <v>144455.79999999999</v>
      </c>
      <c r="I4" s="21">
        <f>data!V4</f>
        <v>68189.2</v>
      </c>
      <c r="J4" s="21">
        <f>data!W4</f>
        <v>76266.5</v>
      </c>
      <c r="K4" s="9">
        <f t="shared" si="0"/>
        <v>0.47204196716227387</v>
      </c>
      <c r="L4" s="17"/>
      <c r="M4" s="9">
        <f t="shared" si="1"/>
        <v>-2.8207069881229143E-2</v>
      </c>
      <c r="N4" s="9">
        <f t="shared" si="2"/>
        <v>2.0645822423917E-2</v>
      </c>
      <c r="O4" s="9">
        <f>LN(K4/K3)</f>
        <v>-5.2654375201799844E-2</v>
      </c>
      <c r="P4" s="9">
        <f t="shared" ref="P4:P67" si="4">M4-(1-F4)*N4-F4*O4</f>
        <v>-7.5480529282890528E-3</v>
      </c>
      <c r="Q4" s="18"/>
      <c r="R4" s="10">
        <f>R3+P4</f>
        <v>3.6485344180909624E-2</v>
      </c>
      <c r="S4" s="10">
        <f>EXP(R4)</f>
        <v>1.0371591034901733</v>
      </c>
    </row>
    <row r="5" spans="1:19" x14ac:dyDescent="0.3">
      <c r="A5" s="8">
        <v>1950</v>
      </c>
      <c r="B5" s="10">
        <f>data!Z5</f>
        <v>1.1729000000000001</v>
      </c>
      <c r="C5" s="10">
        <f>data!AC5</f>
        <v>1.12103</v>
      </c>
      <c r="D5" s="10">
        <f>data!AF5</f>
        <v>1.0108999999999999</v>
      </c>
      <c r="E5" s="19"/>
      <c r="F5" s="10">
        <f t="shared" si="3"/>
        <v>0.5635024285714284</v>
      </c>
      <c r="G5" s="17"/>
      <c r="H5" s="21">
        <f>data!U5</f>
        <v>153536.1</v>
      </c>
      <c r="I5" s="21">
        <f>data!V5</f>
        <v>73332.3</v>
      </c>
      <c r="J5" s="21">
        <f>data!W5</f>
        <v>80203.8</v>
      </c>
      <c r="K5" s="9">
        <f t="shared" si="0"/>
        <v>0.47762252655890047</v>
      </c>
      <c r="L5" s="17"/>
      <c r="M5" s="9">
        <f t="shared" si="1"/>
        <v>0.10204093989805797</v>
      </c>
      <c r="N5" s="9">
        <f t="shared" si="2"/>
        <v>3.4069822426484472E-2</v>
      </c>
      <c r="O5" s="9">
        <f>LN(K5/K4)</f>
        <v>1.175283201557586E-2</v>
      </c>
      <c r="P5" s="9">
        <f t="shared" si="4"/>
        <v>8.0546795766525792E-2</v>
      </c>
      <c r="Q5" s="18"/>
      <c r="R5" s="10">
        <f t="shared" ref="R5:R67" si="5">R4+P5</f>
        <v>0.11703213994743542</v>
      </c>
      <c r="S5" s="10">
        <f t="shared" ref="S5:S66" si="6">EXP(R5)</f>
        <v>1.1241555594105188</v>
      </c>
    </row>
    <row r="6" spans="1:19" x14ac:dyDescent="0.3">
      <c r="A6" s="8">
        <v>1951</v>
      </c>
      <c r="B6" s="10">
        <f>data!Z6</f>
        <v>1.24522</v>
      </c>
      <c r="C6" s="10">
        <f>data!AC6</f>
        <v>1.1901299999999999</v>
      </c>
      <c r="D6" s="10">
        <f>data!AF6</f>
        <v>1.0784499999999999</v>
      </c>
      <c r="E6" s="19"/>
      <c r="F6" s="10">
        <f t="shared" si="3"/>
        <v>0.5635024285714284</v>
      </c>
      <c r="G6" s="17"/>
      <c r="H6" s="21">
        <f>data!U6</f>
        <v>174406.8</v>
      </c>
      <c r="I6" s="21">
        <f>data!V6</f>
        <v>86367.1</v>
      </c>
      <c r="J6" s="21">
        <f>data!W6</f>
        <v>88039.7</v>
      </c>
      <c r="K6" s="9">
        <f t="shared" si="0"/>
        <v>0.49520488880020741</v>
      </c>
      <c r="L6" s="17"/>
      <c r="M6" s="9">
        <f t="shared" si="1"/>
        <v>5.9832906587845451E-2</v>
      </c>
      <c r="N6" s="9">
        <f t="shared" si="2"/>
        <v>5.9814639302523384E-2</v>
      </c>
      <c r="O6" s="9">
        <f t="shared" ref="O6:O67" si="7">LN(K6/K5)</f>
        <v>3.6150866568915779E-2</v>
      </c>
      <c r="P6" s="9">
        <f t="shared" si="4"/>
        <v>1.3352860689872303E-2</v>
      </c>
      <c r="Q6" s="18"/>
      <c r="R6" s="10">
        <f t="shared" si="5"/>
        <v>0.13038500063730771</v>
      </c>
      <c r="S6" s="10">
        <f t="shared" si="6"/>
        <v>1.1392669173905166</v>
      </c>
    </row>
    <row r="7" spans="1:19" x14ac:dyDescent="0.3">
      <c r="A7" s="8">
        <v>1952</v>
      </c>
      <c r="B7" s="10">
        <f>data!Z7</f>
        <v>1.30071</v>
      </c>
      <c r="C7" s="10">
        <f>data!AC7</f>
        <v>1.2407999999999999</v>
      </c>
      <c r="D7" s="10">
        <f>data!AF7</f>
        <v>1.0965</v>
      </c>
      <c r="E7" s="19"/>
      <c r="F7" s="10">
        <f t="shared" si="3"/>
        <v>0.5635024285714284</v>
      </c>
      <c r="G7" s="17"/>
      <c r="H7" s="21">
        <f>data!U7</f>
        <v>184289.9</v>
      </c>
      <c r="I7" s="21">
        <f>data!V7</f>
        <v>90294.399999999994</v>
      </c>
      <c r="J7" s="21">
        <f>data!W7</f>
        <v>93995.5</v>
      </c>
      <c r="K7" s="9">
        <f t="shared" si="0"/>
        <v>0.48995848388869928</v>
      </c>
      <c r="L7" s="17"/>
      <c r="M7" s="9">
        <f t="shared" si="1"/>
        <v>4.3598048092746033E-2</v>
      </c>
      <c r="N7" s="9">
        <f t="shared" si="2"/>
        <v>4.1693788025933265E-2</v>
      </c>
      <c r="O7" s="9">
        <f t="shared" si="7"/>
        <v>-1.0650932939470439E-2</v>
      </c>
      <c r="P7" s="9">
        <f t="shared" si="4"/>
        <v>3.1400637453711522E-2</v>
      </c>
      <c r="Q7" s="18"/>
      <c r="R7" s="10">
        <f>R6+P7</f>
        <v>0.16178563809101923</v>
      </c>
      <c r="S7" s="10">
        <f t="shared" si="6"/>
        <v>1.1756082086890387</v>
      </c>
    </row>
    <row r="8" spans="1:19" x14ac:dyDescent="0.3">
      <c r="A8" s="8">
        <v>1953</v>
      </c>
      <c r="B8" s="10">
        <f>data!Z8</f>
        <v>1.3923399999999999</v>
      </c>
      <c r="C8" s="10">
        <f>data!AC8</f>
        <v>1.2997099999999999</v>
      </c>
      <c r="D8" s="10">
        <f>data!AF8</f>
        <v>1.1255599999999999</v>
      </c>
      <c r="E8" s="19"/>
      <c r="F8" s="10">
        <f t="shared" si="3"/>
        <v>0.5635024285714284</v>
      </c>
      <c r="G8" s="17"/>
      <c r="H8" s="21">
        <f>data!U8</f>
        <v>202171.1</v>
      </c>
      <c r="I8" s="21">
        <f>data!V8</f>
        <v>100464.4</v>
      </c>
      <c r="J8" s="21">
        <f>data!W8</f>
        <v>101706.7</v>
      </c>
      <c r="K8" s="9">
        <f t="shared" si="0"/>
        <v>0.49692760241201633</v>
      </c>
      <c r="L8" s="17"/>
      <c r="M8" s="9">
        <f t="shared" si="1"/>
        <v>6.8075515735000508E-2</v>
      </c>
      <c r="N8" s="9">
        <f t="shared" si="2"/>
        <v>4.6384829778864364E-2</v>
      </c>
      <c r="O8" s="9">
        <f t="shared" si="7"/>
        <v>1.4123685537326297E-2</v>
      </c>
      <c r="P8" s="9">
        <f t="shared" si="4"/>
        <v>3.9869919084736E-2</v>
      </c>
      <c r="Q8" s="18"/>
      <c r="R8" s="10">
        <f t="shared" si="5"/>
        <v>0.20165555717575523</v>
      </c>
      <c r="S8" s="10">
        <f t="shared" si="6"/>
        <v>1.2234265350378528</v>
      </c>
    </row>
    <row r="9" spans="1:19" x14ac:dyDescent="0.3">
      <c r="A9" s="8">
        <v>1954</v>
      </c>
      <c r="B9" s="10">
        <f>data!Z9</f>
        <v>1.35503</v>
      </c>
      <c r="C9" s="10">
        <f>data!AC9</f>
        <v>1.36591</v>
      </c>
      <c r="D9" s="10">
        <f>data!AF9</f>
        <v>1.0536799999999999</v>
      </c>
      <c r="E9" s="19"/>
      <c r="F9" s="10">
        <f t="shared" si="3"/>
        <v>0.5635024285714284</v>
      </c>
      <c r="G9" s="17"/>
      <c r="H9" s="21">
        <f>data!U9</f>
        <v>197065.8</v>
      </c>
      <c r="I9" s="21">
        <f>data!V9</f>
        <v>94278.399999999994</v>
      </c>
      <c r="J9" s="21">
        <f>data!W9</f>
        <v>102787.3</v>
      </c>
      <c r="K9" s="9">
        <f t="shared" si="0"/>
        <v>0.47841076432338842</v>
      </c>
      <c r="L9" s="17"/>
      <c r="M9" s="9">
        <f t="shared" si="1"/>
        <v>-2.7162190652939074E-2</v>
      </c>
      <c r="N9" s="9">
        <f t="shared" si="2"/>
        <v>4.9679710521027327E-2</v>
      </c>
      <c r="O9" s="9">
        <f t="shared" si="7"/>
        <v>-3.7974643235462908E-2</v>
      </c>
      <c r="P9" s="9">
        <f t="shared" si="4"/>
        <v>-2.7448459957325044E-2</v>
      </c>
      <c r="Q9" s="18"/>
      <c r="R9" s="10">
        <f t="shared" si="5"/>
        <v>0.1742070972184302</v>
      </c>
      <c r="S9" s="10">
        <f t="shared" si="6"/>
        <v>1.1903020485398832</v>
      </c>
    </row>
    <row r="10" spans="1:19" x14ac:dyDescent="0.3">
      <c r="A10" s="8">
        <v>1955</v>
      </c>
      <c r="B10" s="10">
        <f>data!Z10</f>
        <v>1.4808300000000001</v>
      </c>
      <c r="C10" s="10">
        <f>data!AC10</f>
        <v>1.4175599999999999</v>
      </c>
      <c r="D10" s="10">
        <f>data!AF10</f>
        <v>1.1026400000000001</v>
      </c>
      <c r="E10" s="19"/>
      <c r="F10" s="10">
        <f t="shared" si="3"/>
        <v>0.5635024285714284</v>
      </c>
      <c r="G10" s="17"/>
      <c r="H10" s="21">
        <f>data!U10</f>
        <v>222725.8</v>
      </c>
      <c r="I10" s="21">
        <f>data!V10</f>
        <v>105471.1</v>
      </c>
      <c r="J10" s="21">
        <f>data!W10</f>
        <v>117254.6</v>
      </c>
      <c r="K10" s="9">
        <f t="shared" si="0"/>
        <v>0.4735468454934274</v>
      </c>
      <c r="L10" s="17"/>
      <c r="M10" s="9">
        <f t="shared" si="1"/>
        <v>8.8779147083244983E-2</v>
      </c>
      <c r="N10" s="9">
        <f t="shared" si="2"/>
        <v>3.7116210586208231E-2</v>
      </c>
      <c r="O10" s="9">
        <f t="shared" si="7"/>
        <v>-1.0218860810614084E-2</v>
      </c>
      <c r="P10" s="9">
        <f t="shared" si="4"/>
        <v>7.8336364185748075E-2</v>
      </c>
      <c r="Q10" s="18"/>
      <c r="R10" s="10">
        <f t="shared" si="5"/>
        <v>0.25254346140417827</v>
      </c>
      <c r="S10" s="10">
        <f t="shared" si="6"/>
        <v>1.2872954426065586</v>
      </c>
    </row>
    <row r="11" spans="1:19" x14ac:dyDescent="0.3">
      <c r="A11" s="8">
        <v>1956</v>
      </c>
      <c r="B11" s="10">
        <f>data!Z11</f>
        <v>1.4807399999999999</v>
      </c>
      <c r="C11" s="10">
        <f>data!AC11</f>
        <v>1.4920800000000001</v>
      </c>
      <c r="D11" s="10">
        <f>data!AF11</f>
        <v>1.1195999999999999</v>
      </c>
      <c r="E11" s="19"/>
      <c r="F11" s="10">
        <f t="shared" si="3"/>
        <v>0.5635024285714284</v>
      </c>
      <c r="G11" s="17"/>
      <c r="H11" s="21">
        <f>data!U11</f>
        <v>236725</v>
      </c>
      <c r="I11" s="21">
        <f>data!V11</f>
        <v>110789.3</v>
      </c>
      <c r="J11" s="21">
        <f>data!W11</f>
        <v>125935.7</v>
      </c>
      <c r="K11" s="9">
        <f t="shared" si="0"/>
        <v>0.46800844862181856</v>
      </c>
      <c r="L11" s="17"/>
      <c r="M11" s="9">
        <f t="shared" si="1"/>
        <v>-6.0778573545652086E-5</v>
      </c>
      <c r="N11" s="9">
        <f t="shared" si="2"/>
        <v>5.1234035880763029E-2</v>
      </c>
      <c r="O11" s="9">
        <f t="shared" si="7"/>
        <v>-1.1764493883226847E-2</v>
      </c>
      <c r="P11" s="9">
        <f t="shared" si="4"/>
        <v>-1.5794989935870973E-2</v>
      </c>
      <c r="Q11" s="18"/>
      <c r="R11" s="10">
        <f t="shared" si="5"/>
        <v>0.2367484714683073</v>
      </c>
      <c r="S11" s="10">
        <f t="shared" si="6"/>
        <v>1.2671223602619079</v>
      </c>
    </row>
    <row r="12" spans="1:19" x14ac:dyDescent="0.3">
      <c r="A12" s="8">
        <v>1957</v>
      </c>
      <c r="B12" s="10">
        <f>data!Z12</f>
        <v>1.4855499999999999</v>
      </c>
      <c r="C12" s="10">
        <f>data!AC12</f>
        <v>1.56315</v>
      </c>
      <c r="D12" s="10">
        <f>data!AF12</f>
        <v>1.1003400000000001</v>
      </c>
      <c r="E12" s="19"/>
      <c r="F12" s="10">
        <f t="shared" si="3"/>
        <v>0.5635024285714284</v>
      </c>
      <c r="G12" s="17"/>
      <c r="H12" s="21">
        <f>data!U12</f>
        <v>253734.3</v>
      </c>
      <c r="I12" s="21">
        <f>data!V12</f>
        <v>117129.3</v>
      </c>
      <c r="J12" s="21">
        <f>data!W12</f>
        <v>136605</v>
      </c>
      <c r="K12" s="9">
        <f t="shared" si="0"/>
        <v>0.46162186192406784</v>
      </c>
      <c r="L12" s="17"/>
      <c r="M12" s="9">
        <f t="shared" si="1"/>
        <v>3.2431112371834043E-3</v>
      </c>
      <c r="N12" s="9">
        <f t="shared" si="2"/>
        <v>4.6531896477354354E-2</v>
      </c>
      <c r="O12" s="9">
        <f t="shared" si="7"/>
        <v>-1.374027310571755E-2</v>
      </c>
      <c r="P12" s="9">
        <f t="shared" si="4"/>
        <v>-9.3252713048409524E-3</v>
      </c>
      <c r="Q12" s="18"/>
      <c r="R12" s="10">
        <f t="shared" si="5"/>
        <v>0.22742320016346634</v>
      </c>
      <c r="S12" s="10">
        <f t="shared" si="6"/>
        <v>1.2553610245303646</v>
      </c>
    </row>
    <row r="13" spans="1:19" x14ac:dyDescent="0.3">
      <c r="A13" s="8">
        <v>1958</v>
      </c>
      <c r="B13" s="10">
        <f>data!Z13</f>
        <v>1.42265</v>
      </c>
      <c r="C13" s="10">
        <f>data!AC13</f>
        <v>1.6031299999999999</v>
      </c>
      <c r="D13" s="10">
        <f>data!AF13</f>
        <v>1.0229699999999999</v>
      </c>
      <c r="E13" s="19"/>
      <c r="F13" s="10">
        <f t="shared" si="3"/>
        <v>0.5635024285714284</v>
      </c>
      <c r="G13" s="17"/>
      <c r="H13" s="21">
        <f>data!U13</f>
        <v>259092.8</v>
      </c>
      <c r="I13" s="21">
        <f>data!V13</f>
        <v>114589.2</v>
      </c>
      <c r="J13" s="21">
        <f>data!W13</f>
        <v>144503.6</v>
      </c>
      <c r="K13" s="9">
        <f t="shared" si="0"/>
        <v>0.44227087746166627</v>
      </c>
      <c r="L13" s="17"/>
      <c r="M13" s="9">
        <f t="shared" si="1"/>
        <v>-4.3263744441117642E-2</v>
      </c>
      <c r="N13" s="9">
        <f t="shared" si="2"/>
        <v>2.5254952156106465E-2</v>
      </c>
      <c r="O13" s="9">
        <f t="shared" si="7"/>
        <v>-4.2823535958880665E-2</v>
      </c>
      <c r="P13" s="9">
        <f t="shared" si="4"/>
        <v>-3.0156303210957736E-2</v>
      </c>
      <c r="Q13" s="18"/>
      <c r="R13" s="10">
        <f t="shared" si="5"/>
        <v>0.1972668969525086</v>
      </c>
      <c r="S13" s="10">
        <f t="shared" si="6"/>
        <v>1.2180690962555465</v>
      </c>
    </row>
    <row r="14" spans="1:19" x14ac:dyDescent="0.3">
      <c r="A14" s="8">
        <v>1959</v>
      </c>
      <c r="B14" s="10">
        <f>data!Z14</f>
        <v>1.5250999999999999</v>
      </c>
      <c r="C14" s="10">
        <f>data!AC14</f>
        <v>1.6388100000000001</v>
      </c>
      <c r="D14" s="10">
        <f>data!AF14</f>
        <v>1.0798399999999999</v>
      </c>
      <c r="E14" s="19"/>
      <c r="F14" s="10">
        <f t="shared" si="3"/>
        <v>0.5635024285714284</v>
      </c>
      <c r="G14" s="17"/>
      <c r="H14" s="21">
        <f>data!U14</f>
        <v>275964.79999999999</v>
      </c>
      <c r="I14" s="21">
        <f>data!V14</f>
        <v>124572.5</v>
      </c>
      <c r="J14" s="21">
        <f>data!W14</f>
        <v>151392.29999999999</v>
      </c>
      <c r="K14" s="9">
        <f t="shared" si="0"/>
        <v>0.45140720845557114</v>
      </c>
      <c r="L14" s="17"/>
      <c r="M14" s="9">
        <f t="shared" si="1"/>
        <v>6.9538652066260545E-2</v>
      </c>
      <c r="N14" s="9">
        <f t="shared" si="2"/>
        <v>2.2012400417318782E-2</v>
      </c>
      <c r="O14" s="9">
        <f t="shared" si="7"/>
        <v>2.0447294063592195E-2</v>
      </c>
      <c r="P14" s="9">
        <f t="shared" si="4"/>
        <v>4.8408192880239266E-2</v>
      </c>
      <c r="Q14" s="18"/>
      <c r="R14" s="10">
        <f t="shared" si="5"/>
        <v>0.24567508983274786</v>
      </c>
      <c r="S14" s="10">
        <f t="shared" si="6"/>
        <v>1.2784841135646403</v>
      </c>
    </row>
    <row r="15" spans="1:19" x14ac:dyDescent="0.3">
      <c r="A15" s="8">
        <v>1960</v>
      </c>
      <c r="B15" s="10">
        <f>data!Z15</f>
        <v>1.5572299999999999</v>
      </c>
      <c r="C15" s="10">
        <f>data!AC15</f>
        <v>1.6794899999999999</v>
      </c>
      <c r="D15" s="10">
        <f>data!AF15</f>
        <v>1.0785899999999999</v>
      </c>
      <c r="E15" s="19"/>
      <c r="F15" s="10">
        <f t="shared" si="3"/>
        <v>0.5635024285714284</v>
      </c>
      <c r="G15" s="17"/>
      <c r="H15" s="21">
        <f>data!U15</f>
        <v>297053.8</v>
      </c>
      <c r="I15" s="21">
        <f>data!V15</f>
        <v>130059.3</v>
      </c>
      <c r="J15" s="21">
        <f>data!W15</f>
        <v>166994.5</v>
      </c>
      <c r="K15" s="9">
        <f t="shared" si="0"/>
        <v>0.43783079024742322</v>
      </c>
      <c r="L15" s="17"/>
      <c r="M15" s="9">
        <f t="shared" si="1"/>
        <v>2.0848620236648813E-2</v>
      </c>
      <c r="N15" s="9">
        <f t="shared" si="2"/>
        <v>2.4519807201628212E-2</v>
      </c>
      <c r="O15" s="9">
        <f t="shared" si="7"/>
        <v>-3.0537321266192154E-2</v>
      </c>
      <c r="P15" s="9">
        <f t="shared" si="4"/>
        <v>2.7353638636806506E-2</v>
      </c>
      <c r="Q15" s="18"/>
      <c r="R15" s="10">
        <f t="shared" si="5"/>
        <v>0.27302872846955434</v>
      </c>
      <c r="S15" s="10">
        <f t="shared" si="6"/>
        <v>1.3139379917101226</v>
      </c>
    </row>
    <row r="16" spans="1:19" x14ac:dyDescent="0.3">
      <c r="A16" s="8">
        <v>1961</v>
      </c>
      <c r="B16" s="10">
        <f>data!Z16</f>
        <v>1.57253</v>
      </c>
      <c r="C16" s="10">
        <f>data!AC16</f>
        <v>1.7218100000000001</v>
      </c>
      <c r="D16" s="10">
        <f>data!AF16</f>
        <v>1.0630200000000001</v>
      </c>
      <c r="E16" s="19"/>
      <c r="F16" s="10">
        <f t="shared" si="3"/>
        <v>0.5635024285714284</v>
      </c>
      <c r="G16" s="17"/>
      <c r="H16" s="21">
        <f>data!U16</f>
        <v>301880.8</v>
      </c>
      <c r="I16" s="21">
        <f>data!V16</f>
        <v>129954.7</v>
      </c>
      <c r="J16" s="21">
        <f>data!W16</f>
        <v>171926.1</v>
      </c>
      <c r="K16" s="9">
        <f t="shared" si="0"/>
        <v>0.43048348884725363</v>
      </c>
      <c r="L16" s="17"/>
      <c r="M16" s="9">
        <f t="shared" si="1"/>
        <v>9.7771853952587154E-3</v>
      </c>
      <c r="N16" s="9">
        <f t="shared" si="2"/>
        <v>2.4885887200868286E-2</v>
      </c>
      <c r="O16" s="9">
        <f t="shared" si="7"/>
        <v>-1.692354239857986E-2</v>
      </c>
      <c r="P16" s="9">
        <f t="shared" si="4"/>
        <v>8.4510133108656234E-3</v>
      </c>
      <c r="Q16" s="18"/>
      <c r="R16" s="10">
        <f t="shared" si="5"/>
        <v>0.28147974178041996</v>
      </c>
      <c r="S16" s="10">
        <f t="shared" si="6"/>
        <v>1.325089152102608</v>
      </c>
    </row>
    <row r="17" spans="1:19" x14ac:dyDescent="0.3">
      <c r="A17" s="8">
        <v>1962</v>
      </c>
      <c r="B17" s="10">
        <f>data!Z17</f>
        <v>1.69706</v>
      </c>
      <c r="C17" s="10">
        <f>data!AC17</f>
        <v>1.7723199999999999</v>
      </c>
      <c r="D17" s="10">
        <f>data!AF17</f>
        <v>1.10392</v>
      </c>
      <c r="E17" s="19"/>
      <c r="F17" s="10">
        <f t="shared" si="3"/>
        <v>0.5635024285714284</v>
      </c>
      <c r="G17" s="17"/>
      <c r="H17" s="21">
        <f>data!U17</f>
        <v>314614.2</v>
      </c>
      <c r="I17" s="21">
        <f>data!V17</f>
        <v>138979.1</v>
      </c>
      <c r="J17" s="21">
        <f>data!W17</f>
        <v>175635.1</v>
      </c>
      <c r="K17" s="9">
        <f t="shared" si="0"/>
        <v>0.44174452392803631</v>
      </c>
      <c r="L17" s="17"/>
      <c r="M17" s="9">
        <f t="shared" si="1"/>
        <v>7.6211554826644892E-2</v>
      </c>
      <c r="N17" s="9">
        <f t="shared" si="2"/>
        <v>2.8913359686154834E-2</v>
      </c>
      <c r="O17" s="9">
        <f t="shared" si="7"/>
        <v>2.5822745108749753E-2</v>
      </c>
      <c r="P17" s="9">
        <f t="shared" si="4"/>
        <v>4.9039763960636071E-2</v>
      </c>
      <c r="Q17" s="18"/>
      <c r="R17" s="10">
        <f t="shared" si="5"/>
        <v>0.33051950574105604</v>
      </c>
      <c r="S17" s="10">
        <f t="shared" si="6"/>
        <v>1.3916909321262132</v>
      </c>
    </row>
    <row r="18" spans="1:19" x14ac:dyDescent="0.3">
      <c r="A18" s="8">
        <v>1963</v>
      </c>
      <c r="B18" s="10">
        <f>data!Z18</f>
        <v>1.7844500000000001</v>
      </c>
      <c r="C18" s="10">
        <f>data!AC18</f>
        <v>1.8388199999999999</v>
      </c>
      <c r="D18" s="10">
        <f>data!AF18</f>
        <v>1.1186700000000001</v>
      </c>
      <c r="E18" s="19"/>
      <c r="F18" s="10">
        <f t="shared" si="3"/>
        <v>0.5635024285714284</v>
      </c>
      <c r="G18" s="17"/>
      <c r="H18" s="21">
        <f>data!U18</f>
        <v>337196.3</v>
      </c>
      <c r="I18" s="21">
        <f>data!V18</f>
        <v>147642.20000000001</v>
      </c>
      <c r="J18" s="21">
        <f>data!W18</f>
        <v>189554.1</v>
      </c>
      <c r="K18" s="9">
        <f t="shared" si="0"/>
        <v>0.43785237263872712</v>
      </c>
      <c r="L18" s="17"/>
      <c r="M18" s="9">
        <f t="shared" si="1"/>
        <v>5.0212902364027701E-2</v>
      </c>
      <c r="N18" s="9">
        <f t="shared" si="2"/>
        <v>3.6834638762990167E-2</v>
      </c>
      <c r="O18" s="9">
        <f t="shared" si="7"/>
        <v>-8.8499100156817848E-3</v>
      </c>
      <c r="P18" s="9">
        <f t="shared" si="4"/>
        <v>3.9121617786009061E-2</v>
      </c>
      <c r="Q18" s="18"/>
      <c r="R18" s="10">
        <f t="shared" si="5"/>
        <v>0.36964112352706513</v>
      </c>
      <c r="S18" s="10">
        <f t="shared" si="6"/>
        <v>1.4472151499884687</v>
      </c>
    </row>
    <row r="19" spans="1:19" x14ac:dyDescent="0.3">
      <c r="A19" s="8">
        <v>1964</v>
      </c>
      <c r="B19" s="10">
        <f>data!Z19</f>
        <v>1.8940399999999999</v>
      </c>
      <c r="C19" s="10">
        <f>data!AC19</f>
        <v>1.91442</v>
      </c>
      <c r="D19" s="10">
        <f>data!AF19</f>
        <v>1.1389100000000001</v>
      </c>
      <c r="E19" s="19"/>
      <c r="F19" s="10">
        <f t="shared" si="3"/>
        <v>0.5635024285714284</v>
      </c>
      <c r="G19" s="17"/>
      <c r="H19" s="21">
        <f>data!U19</f>
        <v>365229.3</v>
      </c>
      <c r="I19" s="21">
        <f>data!V19</f>
        <v>157930.6</v>
      </c>
      <c r="J19" s="21">
        <f>data!W19</f>
        <v>207298.7</v>
      </c>
      <c r="K19" s="9">
        <f t="shared" si="0"/>
        <v>0.43241492399432357</v>
      </c>
      <c r="L19" s="17"/>
      <c r="M19" s="9">
        <f t="shared" si="1"/>
        <v>5.9601869362477279E-2</v>
      </c>
      <c r="N19" s="9">
        <f t="shared" si="2"/>
        <v>4.0290643145464107E-2</v>
      </c>
      <c r="O19" s="9">
        <f t="shared" si="7"/>
        <v>-1.2496205297818367E-2</v>
      </c>
      <c r="P19" s="9">
        <f t="shared" si="4"/>
        <v>4.9056743511434776E-2</v>
      </c>
      <c r="Q19" s="18"/>
      <c r="R19" s="10">
        <f t="shared" si="5"/>
        <v>0.41869786703849993</v>
      </c>
      <c r="S19" s="10">
        <f t="shared" si="6"/>
        <v>1.5199810490322174</v>
      </c>
    </row>
    <row r="20" spans="1:19" x14ac:dyDescent="0.3">
      <c r="A20" s="8">
        <v>1965</v>
      </c>
      <c r="B20" s="10">
        <f>data!Z20</f>
        <v>2.0490499999999998</v>
      </c>
      <c r="C20" s="10">
        <f>data!AC20</f>
        <v>2.0143599999999999</v>
      </c>
      <c r="D20" s="10">
        <f>data!AF20</f>
        <v>1.19459</v>
      </c>
      <c r="E20" s="19"/>
      <c r="F20" s="10">
        <f t="shared" si="3"/>
        <v>0.5635024285714284</v>
      </c>
      <c r="G20" s="17"/>
      <c r="H20" s="21">
        <f>data!U20</f>
        <v>390363.7</v>
      </c>
      <c r="I20" s="21">
        <f>data!V20</f>
        <v>170224.2</v>
      </c>
      <c r="J20" s="21">
        <f>data!W20</f>
        <v>220139.5</v>
      </c>
      <c r="K20" s="9">
        <f t="shared" si="0"/>
        <v>0.43606564852213464</v>
      </c>
      <c r="L20" s="17"/>
      <c r="M20" s="9">
        <f t="shared" si="1"/>
        <v>7.8664157241365648E-2</v>
      </c>
      <c r="N20" s="9">
        <f t="shared" si="2"/>
        <v>5.0886822386464019E-2</v>
      </c>
      <c r="O20" s="9">
        <f t="shared" si="7"/>
        <v>8.4072025245096379E-3</v>
      </c>
      <c r="P20" s="9">
        <f t="shared" si="4"/>
        <v>5.171470381190401E-2</v>
      </c>
      <c r="Q20" s="18"/>
      <c r="R20" s="10">
        <f t="shared" si="5"/>
        <v>0.47041257085040394</v>
      </c>
      <c r="S20" s="10">
        <f t="shared" si="6"/>
        <v>1.6006544403722971</v>
      </c>
    </row>
    <row r="21" spans="1:19" x14ac:dyDescent="0.3">
      <c r="A21" s="8">
        <v>1966</v>
      </c>
      <c r="B21" s="10">
        <f>data!Z21</f>
        <v>2.1841699999999999</v>
      </c>
      <c r="C21" s="10">
        <f>data!AC21</f>
        <v>2.15848</v>
      </c>
      <c r="D21" s="10">
        <f>data!AF21</f>
        <v>1.25139</v>
      </c>
      <c r="E21" s="19"/>
      <c r="F21" s="10">
        <f t="shared" si="3"/>
        <v>0.5635024285714284</v>
      </c>
      <c r="G21" s="17"/>
      <c r="H21" s="21">
        <f>data!U21</f>
        <v>436812.79999999999</v>
      </c>
      <c r="I21" s="21">
        <f>data!V21</f>
        <v>189492.3</v>
      </c>
      <c r="J21" s="21">
        <f>data!W21</f>
        <v>247320.5</v>
      </c>
      <c r="K21" s="9">
        <f t="shared" si="0"/>
        <v>0.43380665584891281</v>
      </c>
      <c r="L21" s="17"/>
      <c r="M21" s="9">
        <f t="shared" si="1"/>
        <v>6.3859622574789096E-2</v>
      </c>
      <c r="N21" s="9">
        <f t="shared" si="2"/>
        <v>6.910274319529576E-2</v>
      </c>
      <c r="O21" s="9">
        <f t="shared" si="7"/>
        <v>-5.1938606163667621E-3</v>
      </c>
      <c r="P21" s="9">
        <f t="shared" si="4"/>
        <v>3.6623196061974408E-2</v>
      </c>
      <c r="Q21" s="18"/>
      <c r="R21" s="10">
        <f t="shared" si="5"/>
        <v>0.50703576691237839</v>
      </c>
      <c r="S21" s="10">
        <f t="shared" si="6"/>
        <v>1.6603621926502787</v>
      </c>
    </row>
    <row r="22" spans="1:19" x14ac:dyDescent="0.3">
      <c r="A22" s="8">
        <v>1967</v>
      </c>
      <c r="B22" s="10">
        <f>data!Z22</f>
        <v>2.21197</v>
      </c>
      <c r="C22" s="10">
        <f>data!AC22</f>
        <v>2.3094899999999998</v>
      </c>
      <c r="D22" s="10">
        <f>data!AF22</f>
        <v>1.2463</v>
      </c>
      <c r="E22" s="19"/>
      <c r="F22" s="10">
        <f t="shared" si="3"/>
        <v>0.5635024285714284</v>
      </c>
      <c r="G22" s="17"/>
      <c r="H22" s="21">
        <f>data!U22</f>
        <v>470879.1</v>
      </c>
      <c r="I22" s="21">
        <f>data!V22</f>
        <v>198423.5</v>
      </c>
      <c r="J22" s="21">
        <f>data!W22</f>
        <v>272455.59999999998</v>
      </c>
      <c r="K22" s="9">
        <f t="shared" si="0"/>
        <v>0.42138948192858849</v>
      </c>
      <c r="L22" s="17"/>
      <c r="M22" s="9">
        <f t="shared" si="1"/>
        <v>1.264762749992519E-2</v>
      </c>
      <c r="N22" s="9">
        <f t="shared" si="2"/>
        <v>6.762245066090343E-2</v>
      </c>
      <c r="O22" s="9">
        <f t="shared" si="7"/>
        <v>-2.9041400172195558E-2</v>
      </c>
      <c r="P22" s="9">
        <f t="shared" si="4"/>
        <v>-5.0450846146066902E-4</v>
      </c>
      <c r="Q22" s="18"/>
      <c r="R22" s="10">
        <f t="shared" si="5"/>
        <v>0.50653125845091773</v>
      </c>
      <c r="S22" s="10">
        <f t="shared" si="6"/>
        <v>1.6595247371444546</v>
      </c>
    </row>
    <row r="23" spans="1:19" x14ac:dyDescent="0.3">
      <c r="A23" s="8">
        <v>1968</v>
      </c>
      <c r="B23" s="10">
        <f>data!Z23</f>
        <v>2.3360300000000001</v>
      </c>
      <c r="C23" s="10">
        <f>data!AC23</f>
        <v>2.4442900000000001</v>
      </c>
      <c r="D23" s="10">
        <f>data!AF23</f>
        <v>1.24949</v>
      </c>
      <c r="E23" s="19"/>
      <c r="F23" s="10">
        <f t="shared" si="3"/>
        <v>0.5635024285714284</v>
      </c>
      <c r="G23" s="17"/>
      <c r="H23" s="21">
        <f>data!U23</f>
        <v>511077.4</v>
      </c>
      <c r="I23" s="21">
        <f>data!V23</f>
        <v>212542.5</v>
      </c>
      <c r="J23" s="21">
        <f>data!W23</f>
        <v>298534.90000000002</v>
      </c>
      <c r="K23" s="9">
        <f t="shared" si="0"/>
        <v>0.41587145117354041</v>
      </c>
      <c r="L23" s="17"/>
      <c r="M23" s="9">
        <f t="shared" si="1"/>
        <v>5.4569386168131999E-2</v>
      </c>
      <c r="N23" s="9">
        <f t="shared" si="2"/>
        <v>5.67279712702565E-2</v>
      </c>
      <c r="O23" s="9">
        <f t="shared" si="7"/>
        <v>-1.318134032556857E-2</v>
      </c>
      <c r="P23" s="9">
        <f t="shared" si="4"/>
        <v>3.7235481761879644E-2</v>
      </c>
      <c r="Q23" s="18"/>
      <c r="R23" s="10">
        <f t="shared" si="5"/>
        <v>0.54376674021279736</v>
      </c>
      <c r="S23" s="10">
        <f t="shared" si="6"/>
        <v>1.7224828031748596</v>
      </c>
    </row>
    <row r="24" spans="1:19" x14ac:dyDescent="0.3">
      <c r="A24" s="8">
        <v>1969</v>
      </c>
      <c r="B24" s="10">
        <f>data!Z24</f>
        <v>2.40198</v>
      </c>
      <c r="C24" s="10">
        <f>data!AC24</f>
        <v>2.5789200000000001</v>
      </c>
      <c r="D24" s="10">
        <f>data!AF24</f>
        <v>1.2720800000000001</v>
      </c>
      <c r="E24" s="19"/>
      <c r="F24" s="10">
        <f t="shared" si="3"/>
        <v>0.5635024285714284</v>
      </c>
      <c r="G24" s="17"/>
      <c r="H24" s="21">
        <f>data!U24</f>
        <v>563248.69999999995</v>
      </c>
      <c r="I24" s="21">
        <f>data!V24</f>
        <v>234578.6</v>
      </c>
      <c r="J24" s="21">
        <f>data!W24</f>
        <v>328670.09999999998</v>
      </c>
      <c r="K24" s="9">
        <f t="shared" si="0"/>
        <v>0.41647428569298078</v>
      </c>
      <c r="L24" s="17"/>
      <c r="M24" s="9">
        <f t="shared" si="1"/>
        <v>2.7840489879185814E-2</v>
      </c>
      <c r="N24" s="9">
        <f t="shared" si="2"/>
        <v>5.3616014435118493E-2</v>
      </c>
      <c r="O24" s="9">
        <f t="shared" si="7"/>
        <v>1.4485197632318034E-3</v>
      </c>
      <c r="P24" s="9">
        <f t="shared" si="4"/>
        <v>3.6209853841625218E-3</v>
      </c>
      <c r="Q24" s="18"/>
      <c r="R24" s="10">
        <f t="shared" si="5"/>
        <v>0.54738772559695992</v>
      </c>
      <c r="S24" s="10">
        <f t="shared" si="6"/>
        <v>1.7287311940685124</v>
      </c>
    </row>
    <row r="25" spans="1:19" x14ac:dyDescent="0.3">
      <c r="A25" s="8">
        <v>1970</v>
      </c>
      <c r="B25" s="10">
        <f>data!Z25</f>
        <v>2.3420299999999998</v>
      </c>
      <c r="C25" s="10">
        <f>data!AC25</f>
        <v>2.6910400000000001</v>
      </c>
      <c r="D25" s="10">
        <f>data!AF25</f>
        <v>1.20566</v>
      </c>
      <c r="E25" s="19"/>
      <c r="F25" s="10">
        <f t="shared" si="3"/>
        <v>0.5635024285714284</v>
      </c>
      <c r="G25" s="17"/>
      <c r="H25" s="21">
        <f>data!U25</f>
        <v>610929.80000000005</v>
      </c>
      <c r="I25" s="21">
        <f>data!V25</f>
        <v>237534.9</v>
      </c>
      <c r="J25" s="21">
        <f>data!W25</f>
        <v>373394.9</v>
      </c>
      <c r="K25" s="9">
        <f t="shared" si="0"/>
        <v>0.38880882877214368</v>
      </c>
      <c r="L25" s="17"/>
      <c r="M25" s="9">
        <f t="shared" si="1"/>
        <v>-2.5275322570497534E-2</v>
      </c>
      <c r="N25" s="9">
        <f t="shared" si="2"/>
        <v>4.2557029354007771E-2</v>
      </c>
      <c r="O25" s="9">
        <f t="shared" si="7"/>
        <v>-6.873694059275566E-2</v>
      </c>
      <c r="P25" s="9">
        <f t="shared" si="4"/>
        <v>-5.1179295741485484E-3</v>
      </c>
      <c r="Q25" s="18"/>
      <c r="R25" s="10">
        <f t="shared" si="5"/>
        <v>0.54226979602281133</v>
      </c>
      <c r="S25" s="10">
        <f t="shared" si="6"/>
        <v>1.7199062714934947</v>
      </c>
    </row>
    <row r="26" spans="1:19" x14ac:dyDescent="0.3">
      <c r="A26" s="8">
        <v>1971</v>
      </c>
      <c r="B26" s="10">
        <f>data!Z26</f>
        <v>2.4110800000000001</v>
      </c>
      <c r="C26" s="10">
        <f>data!AC26</f>
        <v>2.8003300000000002</v>
      </c>
      <c r="D26" s="10">
        <f>data!AF26</f>
        <v>1.17838</v>
      </c>
      <c r="E26" s="19"/>
      <c r="F26" s="10">
        <f t="shared" si="3"/>
        <v>0.5635024285714284</v>
      </c>
      <c r="G26" s="17"/>
      <c r="H26" s="21">
        <f>data!U26</f>
        <v>642072.1</v>
      </c>
      <c r="I26" s="21">
        <f>data!V26</f>
        <v>247686</v>
      </c>
      <c r="J26" s="21">
        <f>data!W26</f>
        <v>394386.2</v>
      </c>
      <c r="K26" s="9">
        <f t="shared" si="0"/>
        <v>0.38576041538014189</v>
      </c>
      <c r="L26" s="17"/>
      <c r="M26" s="9">
        <f t="shared" si="1"/>
        <v>2.9056705243182202E-2</v>
      </c>
      <c r="N26" s="9">
        <f t="shared" si="2"/>
        <v>3.9809531382422429E-2</v>
      </c>
      <c r="O26" s="9">
        <f t="shared" si="7"/>
        <v>-7.8712888596087997E-3</v>
      </c>
      <c r="P26" s="9">
        <f t="shared" si="4"/>
        <v>1.611543186342209E-2</v>
      </c>
      <c r="Q26" s="18"/>
      <c r="R26" s="10">
        <f t="shared" si="5"/>
        <v>0.55838522788623346</v>
      </c>
      <c r="S26" s="10">
        <f t="shared" si="6"/>
        <v>1.7478478443638716</v>
      </c>
    </row>
    <row r="27" spans="1:19" x14ac:dyDescent="0.3">
      <c r="A27" s="8">
        <v>1972</v>
      </c>
      <c r="B27" s="10">
        <f>data!Z27</f>
        <v>2.5701100000000001</v>
      </c>
      <c r="C27" s="10">
        <f>data!AC27</f>
        <v>2.8997099999999998</v>
      </c>
      <c r="D27" s="10">
        <f>data!AF27</f>
        <v>1.2160599999999999</v>
      </c>
      <c r="E27" s="19"/>
      <c r="F27" s="10">
        <f t="shared" si="3"/>
        <v>0.5635024285714284</v>
      </c>
      <c r="G27" s="17"/>
      <c r="H27" s="21">
        <f>data!U27</f>
        <v>709898.8</v>
      </c>
      <c r="I27" s="21">
        <f>data!V27</f>
        <v>274307.3</v>
      </c>
      <c r="J27" s="21">
        <f>data!W27</f>
        <v>435591.4</v>
      </c>
      <c r="K27" s="9">
        <f t="shared" si="0"/>
        <v>0.38640338594740542</v>
      </c>
      <c r="L27" s="17"/>
      <c r="M27" s="9">
        <f t="shared" si="1"/>
        <v>6.3873919646447383E-2</v>
      </c>
      <c r="N27" s="9">
        <f t="shared" si="2"/>
        <v>3.4873464612686811E-2</v>
      </c>
      <c r="O27" s="9">
        <f t="shared" si="7"/>
        <v>1.6653738876728323E-3</v>
      </c>
      <c r="P27" s="9">
        <f t="shared" si="4"/>
        <v>4.7713294805526274E-2</v>
      </c>
      <c r="Q27" s="18"/>
      <c r="R27" s="10">
        <f t="shared" si="5"/>
        <v>0.60609852269175968</v>
      </c>
      <c r="S27" s="10">
        <f t="shared" si="6"/>
        <v>1.833264986330007</v>
      </c>
    </row>
    <row r="28" spans="1:19" x14ac:dyDescent="0.3">
      <c r="A28" s="8">
        <v>1973</v>
      </c>
      <c r="B28" s="10">
        <f>data!Z28</f>
        <v>2.72255</v>
      </c>
      <c r="C28" s="10">
        <f>data!AC28</f>
        <v>3.0202300000000002</v>
      </c>
      <c r="D28" s="10">
        <f>data!AF28</f>
        <v>1.2814000000000001</v>
      </c>
      <c r="E28" s="19"/>
      <c r="F28" s="10">
        <f t="shared" si="3"/>
        <v>0.5635024285714284</v>
      </c>
      <c r="G28" s="17"/>
      <c r="H28" s="21">
        <f>data!U28</f>
        <v>795746.8</v>
      </c>
      <c r="I28" s="21">
        <f>data!V28</f>
        <v>314278.90000000002</v>
      </c>
      <c r="J28" s="21">
        <f>data!W28</f>
        <v>481467.9</v>
      </c>
      <c r="K28" s="9">
        <f t="shared" si="0"/>
        <v>0.39494836799846383</v>
      </c>
      <c r="L28" s="17"/>
      <c r="M28" s="9">
        <f t="shared" si="1"/>
        <v>5.7620241581657954E-2</v>
      </c>
      <c r="N28" s="9">
        <f t="shared" si="2"/>
        <v>4.0722255435135968E-2</v>
      </c>
      <c r="O28" s="9">
        <f t="shared" si="7"/>
        <v>2.1873177325558043E-2</v>
      </c>
      <c r="P28" s="9">
        <f t="shared" si="4"/>
        <v>2.7519487437601693E-2</v>
      </c>
      <c r="Q28" s="18"/>
      <c r="R28" s="10">
        <f t="shared" si="5"/>
        <v>0.63361801012936136</v>
      </c>
      <c r="S28" s="10">
        <f t="shared" si="6"/>
        <v>1.8844160971517612</v>
      </c>
    </row>
    <row r="29" spans="1:19" x14ac:dyDescent="0.3">
      <c r="A29" s="8">
        <v>1974</v>
      </c>
      <c r="B29" s="10">
        <f>data!Z29</f>
        <v>2.5641699999999998</v>
      </c>
      <c r="C29" s="10">
        <f>data!AC29</f>
        <v>3.1576399999999998</v>
      </c>
      <c r="D29" s="10">
        <f>data!AF29</f>
        <v>1.2593799999999999</v>
      </c>
      <c r="E29" s="19"/>
      <c r="F29" s="10">
        <f t="shared" si="3"/>
        <v>0.5635024285714284</v>
      </c>
      <c r="G29" s="17"/>
      <c r="H29" s="21">
        <f>data!U29</f>
        <v>839624.3</v>
      </c>
      <c r="I29" s="21">
        <f>data!V29</f>
        <v>328322.8</v>
      </c>
      <c r="J29" s="21">
        <f>data!W29</f>
        <v>511301.5</v>
      </c>
      <c r="K29" s="9">
        <f t="shared" si="0"/>
        <v>0.39103537141552475</v>
      </c>
      <c r="L29" s="17"/>
      <c r="M29" s="9">
        <f t="shared" si="1"/>
        <v>-5.9934101616640277E-2</v>
      </c>
      <c r="N29" s="9">
        <f t="shared" si="2"/>
        <v>4.4491925708032225E-2</v>
      </c>
      <c r="O29" s="9">
        <f t="shared" si="7"/>
        <v>-9.9570225573011699E-3</v>
      </c>
      <c r="P29" s="9">
        <f t="shared" si="4"/>
        <v>-7.3743912743997067E-2</v>
      </c>
      <c r="Q29" s="18"/>
      <c r="R29" s="10">
        <f t="shared" si="5"/>
        <v>0.55987409738536431</v>
      </c>
      <c r="S29" s="10">
        <f t="shared" si="6"/>
        <v>1.7504520999257256</v>
      </c>
    </row>
    <row r="30" spans="1:19" x14ac:dyDescent="0.3">
      <c r="A30" s="8">
        <v>1975</v>
      </c>
      <c r="B30" s="10">
        <f>data!Z30</f>
        <v>2.4448400000000001</v>
      </c>
      <c r="C30" s="10">
        <f>data!AC30</f>
        <v>3.2863000000000002</v>
      </c>
      <c r="D30" s="10">
        <f>data!AF30</f>
        <v>1.1641699999999999</v>
      </c>
      <c r="E30" s="19"/>
      <c r="F30" s="10">
        <f t="shared" si="3"/>
        <v>0.5635024285714284</v>
      </c>
      <c r="G30" s="17"/>
      <c r="H30" s="21">
        <f>data!U30</f>
        <v>911870.1</v>
      </c>
      <c r="I30" s="21">
        <f>data!V30</f>
        <v>342504.9</v>
      </c>
      <c r="J30" s="21">
        <f>data!W30</f>
        <v>569365.19999999995</v>
      </c>
      <c r="K30" s="9">
        <f t="shared" si="0"/>
        <v>0.37560711772433381</v>
      </c>
      <c r="L30" s="17"/>
      <c r="M30" s="9">
        <f t="shared" si="1"/>
        <v>-4.7655158399840997E-2</v>
      </c>
      <c r="N30" s="9">
        <f t="shared" si="2"/>
        <v>3.9937398721557903E-2</v>
      </c>
      <c r="O30" s="9">
        <f t="shared" si="7"/>
        <v>-4.0254322439738345E-2</v>
      </c>
      <c r="P30" s="9">
        <f t="shared" si="4"/>
        <v>-4.2404327495685651E-2</v>
      </c>
      <c r="Q30" s="18"/>
      <c r="R30" s="10">
        <f t="shared" si="5"/>
        <v>0.51746976988967863</v>
      </c>
      <c r="S30" s="10">
        <f t="shared" si="6"/>
        <v>1.6777771123796645</v>
      </c>
    </row>
    <row r="31" spans="1:19" x14ac:dyDescent="0.3">
      <c r="A31" s="8">
        <v>1976</v>
      </c>
      <c r="B31" s="10">
        <f>data!Z31</f>
        <v>2.621</v>
      </c>
      <c r="C31" s="10">
        <f>data!AC31</f>
        <v>3.40232</v>
      </c>
      <c r="D31" s="10">
        <f>data!AF31</f>
        <v>1.2079500000000001</v>
      </c>
      <c r="E31" s="19"/>
      <c r="F31" s="10">
        <f t="shared" si="3"/>
        <v>0.5635024285714284</v>
      </c>
      <c r="G31" s="17"/>
      <c r="H31" s="21">
        <f>data!U31</f>
        <v>1030431.8</v>
      </c>
      <c r="I31" s="21">
        <f>data!V31</f>
        <v>388488.6</v>
      </c>
      <c r="J31" s="21">
        <f>data!W31</f>
        <v>641943.19999999995</v>
      </c>
      <c r="K31" s="9">
        <f t="shared" si="0"/>
        <v>0.37701534444103912</v>
      </c>
      <c r="L31" s="17"/>
      <c r="M31" s="9">
        <f t="shared" si="1"/>
        <v>6.9576243228504281E-2</v>
      </c>
      <c r="N31" s="9">
        <f t="shared" si="2"/>
        <v>3.469524000955139E-2</v>
      </c>
      <c r="O31" s="9">
        <f t="shared" si="7"/>
        <v>3.742190622514303E-3</v>
      </c>
      <c r="P31" s="9">
        <f t="shared" si="4"/>
        <v>5.2323121720239646E-2</v>
      </c>
      <c r="Q31" s="18"/>
      <c r="R31" s="10">
        <f t="shared" si="5"/>
        <v>0.56979289160991831</v>
      </c>
      <c r="S31" s="10">
        <f t="shared" si="6"/>
        <v>1.7679008664127822</v>
      </c>
    </row>
    <row r="32" spans="1:19" x14ac:dyDescent="0.3">
      <c r="A32" s="8">
        <v>1977</v>
      </c>
      <c r="B32" s="10">
        <f>data!Z32</f>
        <v>2.7403599999999999</v>
      </c>
      <c r="C32" s="10">
        <f>data!AC32</f>
        <v>3.5186299999999999</v>
      </c>
      <c r="D32" s="10">
        <f>data!AF32</f>
        <v>1.26125</v>
      </c>
      <c r="E32" s="19"/>
      <c r="F32" s="10">
        <f t="shared" si="3"/>
        <v>0.5635024285714284</v>
      </c>
      <c r="G32" s="17"/>
      <c r="H32" s="21">
        <f>data!U32</f>
        <v>1149704</v>
      </c>
      <c r="I32" s="21">
        <f>data!V32</f>
        <v>437670.40000000002</v>
      </c>
      <c r="J32" s="21">
        <f>data!W32</f>
        <v>712033.6</v>
      </c>
      <c r="K32" s="9">
        <f t="shared" si="0"/>
        <v>0.38068094048555107</v>
      </c>
      <c r="L32" s="17"/>
      <c r="M32" s="9">
        <f t="shared" si="1"/>
        <v>4.4533374289525758E-2</v>
      </c>
      <c r="N32" s="9">
        <f t="shared" si="2"/>
        <v>3.3614157438431699E-2</v>
      </c>
      <c r="O32" s="9">
        <f t="shared" si="7"/>
        <v>9.6757096872524002E-3</v>
      </c>
      <c r="P32" s="9">
        <f t="shared" si="4"/>
        <v>2.4408590295113844E-2</v>
      </c>
      <c r="Q32" s="18"/>
      <c r="R32" s="10">
        <f t="shared" si="5"/>
        <v>0.59420148190503219</v>
      </c>
      <c r="S32" s="10">
        <f t="shared" si="6"/>
        <v>1.8115837848125476</v>
      </c>
    </row>
    <row r="33" spans="1:19" x14ac:dyDescent="0.3">
      <c r="A33" s="8">
        <v>1978</v>
      </c>
      <c r="B33" s="10">
        <f>data!Z33</f>
        <v>2.8520500000000002</v>
      </c>
      <c r="C33" s="10">
        <f>data!AC33</f>
        <v>3.6835</v>
      </c>
      <c r="D33" s="10">
        <f>data!AF33</f>
        <v>1.33036</v>
      </c>
      <c r="E33" s="19"/>
      <c r="F33" s="10">
        <f t="shared" si="3"/>
        <v>0.5635024285714284</v>
      </c>
      <c r="G33" s="17"/>
      <c r="H33" s="21">
        <f>data!U33</f>
        <v>1298036.3</v>
      </c>
      <c r="I33" s="21">
        <f>data!V33</f>
        <v>495253.8</v>
      </c>
      <c r="J33" s="21">
        <f>data!W33</f>
        <v>802782.6</v>
      </c>
      <c r="K33" s="9">
        <f t="shared" si="0"/>
        <v>0.38154079358181275</v>
      </c>
      <c r="L33" s="17"/>
      <c r="M33" s="9">
        <f t="shared" si="1"/>
        <v>3.9948735324380966E-2</v>
      </c>
      <c r="N33" s="9">
        <f t="shared" si="2"/>
        <v>4.5791677835927212E-2</v>
      </c>
      <c r="O33" s="9">
        <f t="shared" si="7"/>
        <v>2.2561767070541187E-3</v>
      </c>
      <c r="P33" s="9">
        <f t="shared" si="4"/>
        <v>1.8689418103647906E-2</v>
      </c>
      <c r="Q33" s="18"/>
      <c r="R33" s="10">
        <f t="shared" si="5"/>
        <v>0.61289090000868007</v>
      </c>
      <c r="S33" s="10">
        <f t="shared" si="6"/>
        <v>1.8457595998658487</v>
      </c>
    </row>
    <row r="34" spans="1:19" x14ac:dyDescent="0.3">
      <c r="A34" s="8">
        <v>1979</v>
      </c>
      <c r="B34" s="10">
        <f>data!Z34</f>
        <v>2.8714599999999999</v>
      </c>
      <c r="C34" s="10">
        <f>data!AC34</f>
        <v>3.8551700000000002</v>
      </c>
      <c r="D34" s="10">
        <f>data!AF34</f>
        <v>1.3723099999999999</v>
      </c>
      <c r="E34" s="19"/>
      <c r="F34" s="10">
        <f t="shared" si="3"/>
        <v>0.5635024285714284</v>
      </c>
      <c r="G34" s="17"/>
      <c r="H34" s="21">
        <f>data!U34</f>
        <v>1481996.5</v>
      </c>
      <c r="I34" s="21">
        <f>data!V34</f>
        <v>559856.9</v>
      </c>
      <c r="J34" s="21">
        <f>data!W34</f>
        <v>922139.5</v>
      </c>
      <c r="K34" s="9">
        <f t="shared" si="0"/>
        <v>0.37777207975862293</v>
      </c>
      <c r="L34" s="17"/>
      <c r="M34" s="9">
        <f t="shared" si="1"/>
        <v>6.7825772682736018E-3</v>
      </c>
      <c r="N34" s="9">
        <f t="shared" si="2"/>
        <v>4.5551717475529656E-2</v>
      </c>
      <c r="O34" s="9">
        <f t="shared" si="7"/>
        <v>-9.9267242867499082E-3</v>
      </c>
      <c r="P34" s="9">
        <f t="shared" si="4"/>
        <v>-7.5069035408529628E-3</v>
      </c>
      <c r="Q34" s="18"/>
      <c r="R34" s="10">
        <f t="shared" si="5"/>
        <v>0.60538399646782715</v>
      </c>
      <c r="S34" s="10">
        <f t="shared" si="6"/>
        <v>1.8319555382950481</v>
      </c>
    </row>
    <row r="35" spans="1:19" x14ac:dyDescent="0.3">
      <c r="A35" s="8">
        <v>1980</v>
      </c>
      <c r="B35" s="10">
        <f>data!Z35</f>
        <v>2.7331599999999998</v>
      </c>
      <c r="C35" s="10">
        <f>data!AC35</f>
        <v>4.0397699999999999</v>
      </c>
      <c r="D35" s="10">
        <f>data!AF35</f>
        <v>1.32013</v>
      </c>
      <c r="E35" s="19"/>
      <c r="F35" s="10">
        <f t="shared" si="3"/>
        <v>0.5635024285714284</v>
      </c>
      <c r="G35" s="17"/>
      <c r="H35" s="21">
        <f>data!U35</f>
        <v>1646776.1</v>
      </c>
      <c r="I35" s="21">
        <f>data!V35</f>
        <v>590986.6</v>
      </c>
      <c r="J35" s="21">
        <f>data!W35</f>
        <v>1055789.5</v>
      </c>
      <c r="K35" s="9">
        <f t="shared" si="0"/>
        <v>0.35887489501456815</v>
      </c>
      <c r="L35" s="17"/>
      <c r="M35" s="9">
        <f t="shared" ref="M35:M66" si="8">LN(B35/B34)</f>
        <v>-4.9362162266291101E-2</v>
      </c>
      <c r="N35" s="9">
        <f t="shared" ref="N35:N66" si="9">LN(C35/C34)</f>
        <v>4.6772655043115126E-2</v>
      </c>
      <c r="O35" s="9">
        <f t="shared" si="7"/>
        <v>-5.1317204261606471E-2</v>
      </c>
      <c r="P35" s="9">
        <f t="shared" si="4"/>
        <v>-4.0860943372965877E-2</v>
      </c>
      <c r="Q35" s="18"/>
      <c r="R35" s="10">
        <f t="shared" si="5"/>
        <v>0.56452305309486128</v>
      </c>
      <c r="S35" s="10">
        <f t="shared" si="6"/>
        <v>1.7586088196334209</v>
      </c>
    </row>
    <row r="36" spans="1:19" x14ac:dyDescent="0.3">
      <c r="A36" s="8">
        <v>1981</v>
      </c>
      <c r="B36" s="10">
        <f>data!Z36</f>
        <v>2.7829700000000002</v>
      </c>
      <c r="C36" s="10">
        <f>data!AC36</f>
        <v>4.1842600000000001</v>
      </c>
      <c r="D36" s="10">
        <f>data!AF36</f>
        <v>1.32179</v>
      </c>
      <c r="E36" s="19"/>
      <c r="F36" s="10">
        <f t="shared" si="3"/>
        <v>0.5635024285714284</v>
      </c>
      <c r="G36" s="17"/>
      <c r="H36" s="21">
        <f>data!U36</f>
        <v>1814615.1</v>
      </c>
      <c r="I36" s="21">
        <f>data!V36</f>
        <v>648645.4</v>
      </c>
      <c r="J36" s="21">
        <f>data!W36</f>
        <v>1165969.8</v>
      </c>
      <c r="K36" s="9">
        <f t="shared" si="0"/>
        <v>0.35745619002068263</v>
      </c>
      <c r="L36" s="17"/>
      <c r="M36" s="9">
        <f t="shared" si="8"/>
        <v>1.8060253794393799E-2</v>
      </c>
      <c r="N36" s="9">
        <f t="shared" si="9"/>
        <v>3.5142106663939097E-2</v>
      </c>
      <c r="O36" s="9">
        <f t="shared" si="7"/>
        <v>-3.9610366727271355E-3</v>
      </c>
      <c r="P36" s="9">
        <f t="shared" si="4"/>
        <v>4.9528633654427924E-3</v>
      </c>
      <c r="Q36" s="18"/>
      <c r="R36" s="10">
        <f t="shared" si="5"/>
        <v>0.56947591646030404</v>
      </c>
      <c r="S36" s="10">
        <f t="shared" si="6"/>
        <v>1.7673405745751336</v>
      </c>
    </row>
    <row r="37" spans="1:19" x14ac:dyDescent="0.3">
      <c r="A37" s="8">
        <v>1982</v>
      </c>
      <c r="B37" s="10">
        <f>data!Z37</f>
        <v>2.6431900000000002</v>
      </c>
      <c r="C37" s="10">
        <f>data!AC37</f>
        <v>4.3826499999999999</v>
      </c>
      <c r="D37" s="10">
        <f>data!AF37</f>
        <v>1.2284600000000001</v>
      </c>
      <c r="E37" s="19"/>
      <c r="F37" s="10">
        <f t="shared" si="3"/>
        <v>0.5635024285714284</v>
      </c>
      <c r="G37" s="17"/>
      <c r="H37" s="21">
        <f>data!U37</f>
        <v>1911405.8</v>
      </c>
      <c r="I37" s="21">
        <f>data!V37</f>
        <v>653979.5</v>
      </c>
      <c r="J37" s="21">
        <f>data!W37</f>
        <v>1257426.3</v>
      </c>
      <c r="K37" s="9">
        <f t="shared" si="0"/>
        <v>0.34214581749202599</v>
      </c>
      <c r="L37" s="17"/>
      <c r="M37" s="9">
        <f t="shared" si="8"/>
        <v>-5.1532181707165114E-2</v>
      </c>
      <c r="N37" s="9">
        <f t="shared" si="9"/>
        <v>4.6323697943566722E-2</v>
      </c>
      <c r="O37" s="9">
        <f t="shared" si="7"/>
        <v>-4.3775796098270037E-2</v>
      </c>
      <c r="P37" s="9">
        <f t="shared" si="4"/>
        <v>-4.708459594509988E-2</v>
      </c>
      <c r="Q37" s="18"/>
      <c r="R37" s="10">
        <f t="shared" si="5"/>
        <v>0.5223913205152042</v>
      </c>
      <c r="S37" s="10">
        <f t="shared" si="6"/>
        <v>1.6860547300256103</v>
      </c>
    </row>
    <row r="38" spans="1:19" x14ac:dyDescent="0.3">
      <c r="A38" s="8">
        <v>1983</v>
      </c>
      <c r="B38" s="10">
        <f>data!Z38</f>
        <v>2.75786</v>
      </c>
      <c r="C38" s="10">
        <f>data!AC38</f>
        <v>4.5598299999999998</v>
      </c>
      <c r="D38" s="10">
        <f>data!AF38</f>
        <v>1.2419</v>
      </c>
      <c r="E38" s="19"/>
      <c r="F38" s="10">
        <f t="shared" si="3"/>
        <v>0.5635024285714284</v>
      </c>
      <c r="G38" s="17"/>
      <c r="H38" s="21">
        <f>data!U38</f>
        <v>2042380.5</v>
      </c>
      <c r="I38" s="21">
        <f>data!V38</f>
        <v>670899.4</v>
      </c>
      <c r="J38" s="21">
        <f>data!W38</f>
        <v>1371481.1</v>
      </c>
      <c r="K38" s="9">
        <f t="shared" si="0"/>
        <v>0.32848893729645384</v>
      </c>
      <c r="L38" s="17"/>
      <c r="M38" s="9">
        <f t="shared" si="8"/>
        <v>4.2468495616998593E-2</v>
      </c>
      <c r="N38" s="9">
        <f t="shared" si="9"/>
        <v>3.9631777862715829E-2</v>
      </c>
      <c r="O38" s="9">
        <f t="shared" si="7"/>
        <v>-4.0733852190907541E-2</v>
      </c>
      <c r="P38" s="9">
        <f t="shared" si="4"/>
        <v>4.8122945463172501E-2</v>
      </c>
      <c r="Q38" s="18"/>
      <c r="R38" s="10">
        <f t="shared" si="5"/>
        <v>0.57051426597837673</v>
      </c>
      <c r="S38" s="10">
        <f t="shared" si="6"/>
        <v>1.7691766448854085</v>
      </c>
    </row>
    <row r="39" spans="1:19" x14ac:dyDescent="0.3">
      <c r="A39" s="8">
        <v>1984</v>
      </c>
      <c r="B39" s="10">
        <f>data!Z39</f>
        <v>3.03254</v>
      </c>
      <c r="C39" s="10">
        <f>data!AC39</f>
        <v>4.6733399999999996</v>
      </c>
      <c r="D39" s="10">
        <f>data!AF39</f>
        <v>1.3339000000000001</v>
      </c>
      <c r="E39" s="19"/>
      <c r="F39" s="10">
        <f t="shared" si="3"/>
        <v>0.5635024285714284</v>
      </c>
      <c r="G39" s="17"/>
      <c r="H39" s="21">
        <f>data!U39</f>
        <v>2272605.2999999998</v>
      </c>
      <c r="I39" s="21">
        <f>data!V39</f>
        <v>760622.4</v>
      </c>
      <c r="J39" s="21">
        <f>data!W39</f>
        <v>1511982.9</v>
      </c>
      <c r="K39" s="9">
        <f t="shared" si="0"/>
        <v>0.33469181824050137</v>
      </c>
      <c r="L39" s="17"/>
      <c r="M39" s="9">
        <f t="shared" si="8"/>
        <v>9.4945535524622593E-2</v>
      </c>
      <c r="N39" s="9">
        <f t="shared" si="9"/>
        <v>2.4588677341242572E-2</v>
      </c>
      <c r="O39" s="9">
        <f t="shared" si="7"/>
        <v>1.8707001925828168E-2</v>
      </c>
      <c r="P39" s="9">
        <f t="shared" si="4"/>
        <v>7.3671196564034896E-2</v>
      </c>
      <c r="Q39" s="18"/>
      <c r="R39" s="10">
        <f t="shared" si="5"/>
        <v>0.6441854625424116</v>
      </c>
      <c r="S39" s="10">
        <f t="shared" si="6"/>
        <v>1.9044351635550825</v>
      </c>
    </row>
    <row r="40" spans="1:19" x14ac:dyDescent="0.3">
      <c r="A40" s="8">
        <v>1985</v>
      </c>
      <c r="B40" s="10">
        <f>data!Z40</f>
        <v>3.1846999999999999</v>
      </c>
      <c r="C40" s="10">
        <f>data!AC40</f>
        <v>4.8268800000000001</v>
      </c>
      <c r="D40" s="10">
        <f>data!AF40</f>
        <v>1.3505499999999999</v>
      </c>
      <c r="E40" s="19"/>
      <c r="F40" s="10">
        <f t="shared" si="3"/>
        <v>0.5635024285714284</v>
      </c>
      <c r="G40" s="17"/>
      <c r="H40" s="21">
        <f>data!U40</f>
        <v>2468433.2999999998</v>
      </c>
      <c r="I40" s="21">
        <f>data!V40</f>
        <v>806297.59999999998</v>
      </c>
      <c r="J40" s="21">
        <f>data!W40</f>
        <v>1662135.6</v>
      </c>
      <c r="K40" s="9">
        <f t="shared" si="0"/>
        <v>0.32664346247476084</v>
      </c>
      <c r="L40" s="17"/>
      <c r="M40" s="9">
        <f t="shared" si="8"/>
        <v>4.8957540879055357E-2</v>
      </c>
      <c r="N40" s="9">
        <f t="shared" si="9"/>
        <v>3.2326276736905676E-2</v>
      </c>
      <c r="O40" s="9">
        <f t="shared" si="7"/>
        <v>-2.4340915631720545E-2</v>
      </c>
      <c r="P40" s="9">
        <f t="shared" si="4"/>
        <v>4.8563364662194873E-2</v>
      </c>
      <c r="Q40" s="18"/>
      <c r="R40" s="10">
        <f t="shared" si="5"/>
        <v>0.69274882720460651</v>
      </c>
      <c r="S40" s="10">
        <f t="shared" si="6"/>
        <v>1.9992034519536492</v>
      </c>
    </row>
    <row r="41" spans="1:19" x14ac:dyDescent="0.3">
      <c r="A41" s="8">
        <v>1986</v>
      </c>
      <c r="B41" s="10">
        <f>data!Z41</f>
        <v>3.2635100000000001</v>
      </c>
      <c r="C41" s="10">
        <f>data!AC41</f>
        <v>4.9581499999999998</v>
      </c>
      <c r="D41" s="10">
        <f>data!AF41</f>
        <v>1.32504</v>
      </c>
      <c r="E41" s="19"/>
      <c r="F41" s="10">
        <f t="shared" si="3"/>
        <v>0.5635024285714284</v>
      </c>
      <c r="G41" s="17"/>
      <c r="H41" s="21">
        <f>data!U41</f>
        <v>2613823</v>
      </c>
      <c r="I41" s="21">
        <f>data!V41</f>
        <v>832855.6</v>
      </c>
      <c r="J41" s="21">
        <f>data!W41</f>
        <v>1780967.3</v>
      </c>
      <c r="K41" s="9">
        <f t="shared" si="0"/>
        <v>0.31863504146990823</v>
      </c>
      <c r="L41" s="17"/>
      <c r="M41" s="9">
        <f t="shared" si="8"/>
        <v>2.4445210218259673E-2</v>
      </c>
      <c r="N41" s="9">
        <f t="shared" si="9"/>
        <v>2.683239108233753E-2</v>
      </c>
      <c r="O41" s="9">
        <f t="shared" si="7"/>
        <v>-2.4822870023787941E-2</v>
      </c>
      <c r="P41" s="9">
        <f t="shared" si="4"/>
        <v>2.6720684217715094E-2</v>
      </c>
      <c r="Q41" s="18"/>
      <c r="R41" s="10">
        <f t="shared" si="5"/>
        <v>0.71946951142232163</v>
      </c>
      <c r="S41" s="10">
        <f t="shared" si="6"/>
        <v>2.0533436463183046</v>
      </c>
    </row>
    <row r="42" spans="1:19" x14ac:dyDescent="0.3">
      <c r="A42" s="8">
        <v>1987</v>
      </c>
      <c r="B42" s="10">
        <f>data!Z42</f>
        <v>3.4411999999999998</v>
      </c>
      <c r="C42" s="10">
        <f>data!AC42</f>
        <v>5.0682700000000001</v>
      </c>
      <c r="D42" s="10">
        <f>data!AF42</f>
        <v>1.3492999999999999</v>
      </c>
      <c r="E42" s="19"/>
      <c r="F42" s="10">
        <f t="shared" si="3"/>
        <v>0.5635024285714284</v>
      </c>
      <c r="G42" s="17"/>
      <c r="H42" s="21">
        <f>data!U42</f>
        <v>2806064.5</v>
      </c>
      <c r="I42" s="21">
        <f>data!V42</f>
        <v>864301.3</v>
      </c>
      <c r="J42" s="21">
        <f>data!W42</f>
        <v>1941763</v>
      </c>
      <c r="K42" s="9">
        <f t="shared" si="0"/>
        <v>0.30801191490787189</v>
      </c>
      <c r="L42" s="17"/>
      <c r="M42" s="9">
        <f t="shared" si="8"/>
        <v>5.3016944481732685E-2</v>
      </c>
      <c r="N42" s="9">
        <f t="shared" si="9"/>
        <v>2.1966849203550517E-2</v>
      </c>
      <c r="O42" s="9">
        <f t="shared" si="7"/>
        <v>-3.3907910218055747E-2</v>
      </c>
      <c r="P42" s="9">
        <f t="shared" si="4"/>
        <v>6.2535657908101602E-2</v>
      </c>
      <c r="Q42" s="18"/>
      <c r="R42" s="10">
        <f t="shared" si="5"/>
        <v>0.78200516933042319</v>
      </c>
      <c r="S42" s="10">
        <f t="shared" si="6"/>
        <v>2.1858508752400381</v>
      </c>
    </row>
    <row r="43" spans="1:19" x14ac:dyDescent="0.3">
      <c r="A43" s="8">
        <v>1988</v>
      </c>
      <c r="B43" s="10">
        <f>data!Z43</f>
        <v>3.5917599999999998</v>
      </c>
      <c r="C43" s="10">
        <f>data!AC43</f>
        <v>5.0646699999999996</v>
      </c>
      <c r="D43" s="10">
        <f>data!AF43</f>
        <v>1.4036599999999999</v>
      </c>
      <c r="E43" s="19"/>
      <c r="F43" s="10">
        <f t="shared" si="3"/>
        <v>0.5635024285714284</v>
      </c>
      <c r="G43" s="17"/>
      <c r="H43" s="21">
        <f>data!U43</f>
        <v>3071243.3</v>
      </c>
      <c r="I43" s="21">
        <f>data!V43</f>
        <v>933561.6</v>
      </c>
      <c r="J43" s="21">
        <f>data!W43</f>
        <v>2137681.5</v>
      </c>
      <c r="K43" s="9">
        <f t="shared" si="0"/>
        <v>0.30396862404225677</v>
      </c>
      <c r="L43" s="17"/>
      <c r="M43" s="9">
        <f t="shared" si="8"/>
        <v>4.2822085297899742E-2</v>
      </c>
      <c r="N43" s="9">
        <f t="shared" si="9"/>
        <v>-7.1055392639576603E-4</v>
      </c>
      <c r="O43" s="9">
        <f t="shared" si="7"/>
        <v>-1.3213981298806155E-2</v>
      </c>
      <c r="P43" s="9">
        <f t="shared" si="4"/>
        <v>5.0578350914115236E-2</v>
      </c>
      <c r="Q43" s="18"/>
      <c r="R43" s="10">
        <f t="shared" si="5"/>
        <v>0.83258352024453841</v>
      </c>
      <c r="S43" s="10">
        <f t="shared" si="6"/>
        <v>2.2992512357181467</v>
      </c>
    </row>
    <row r="44" spans="1:19" x14ac:dyDescent="0.3">
      <c r="A44" s="8">
        <v>1989</v>
      </c>
      <c r="B44" s="10">
        <f>data!Z44</f>
        <v>3.6445699999999999</v>
      </c>
      <c r="C44" s="10">
        <f>data!AC44</f>
        <v>5.149</v>
      </c>
      <c r="D44" s="10">
        <f>data!AF44</f>
        <v>1.4126399999999999</v>
      </c>
      <c r="E44" s="19"/>
      <c r="F44" s="10">
        <f t="shared" si="3"/>
        <v>0.5635024285714284</v>
      </c>
      <c r="G44" s="17"/>
      <c r="H44" s="21">
        <f>data!U44</f>
        <v>3220815.3</v>
      </c>
      <c r="I44" s="21">
        <f>data!V44</f>
        <v>975114.6</v>
      </c>
      <c r="J44" s="21">
        <f>data!W44</f>
        <v>2245700.5</v>
      </c>
      <c r="K44" s="9">
        <f t="shared" si="0"/>
        <v>0.30275396419037132</v>
      </c>
      <c r="L44" s="17"/>
      <c r="M44" s="9">
        <f t="shared" si="8"/>
        <v>1.4596055617005358E-2</v>
      </c>
      <c r="N44" s="9">
        <f t="shared" si="9"/>
        <v>1.6513538496766109E-2</v>
      </c>
      <c r="O44" s="9">
        <f t="shared" si="7"/>
        <v>-4.0040094047532476E-3</v>
      </c>
      <c r="P44" s="9">
        <f t="shared" si="4"/>
        <v>9.6442051910760225E-3</v>
      </c>
      <c r="Q44" s="18"/>
      <c r="R44" s="10">
        <f t="shared" si="5"/>
        <v>0.84222772543561442</v>
      </c>
      <c r="S44" s="10">
        <f t="shared" si="6"/>
        <v>2.3215329584714293</v>
      </c>
    </row>
    <row r="45" spans="1:19" x14ac:dyDescent="0.3">
      <c r="A45" s="8">
        <v>1990</v>
      </c>
      <c r="B45" s="10">
        <f>data!Z45</f>
        <v>3.6505100000000001</v>
      </c>
      <c r="C45" s="10">
        <f>data!AC45</f>
        <v>5.2593199999999998</v>
      </c>
      <c r="D45" s="10">
        <f>data!AF45</f>
        <v>1.40269</v>
      </c>
      <c r="E45" s="19"/>
      <c r="F45" s="10">
        <f t="shared" si="3"/>
        <v>0.5635024285714284</v>
      </c>
      <c r="G45" s="17"/>
      <c r="H45" s="21">
        <f>data!U45</f>
        <v>3418432.3</v>
      </c>
      <c r="I45" s="21">
        <f>data!V45</f>
        <v>990332.9</v>
      </c>
      <c r="J45" s="21">
        <f>data!W45</f>
        <v>2428099.5</v>
      </c>
      <c r="K45" s="9">
        <f t="shared" si="0"/>
        <v>0.28970382125163047</v>
      </c>
      <c r="L45" s="17"/>
      <c r="M45" s="9">
        <f t="shared" si="8"/>
        <v>1.6284951810641682E-3</v>
      </c>
      <c r="N45" s="9">
        <f t="shared" si="9"/>
        <v>2.1199219762009346E-2</v>
      </c>
      <c r="O45" s="9">
        <f t="shared" si="7"/>
        <v>-4.4061381224308437E-2</v>
      </c>
      <c r="P45" s="9">
        <f t="shared" si="4"/>
        <v>1.7203782564875848E-2</v>
      </c>
      <c r="Q45" s="18"/>
      <c r="R45" s="10">
        <f t="shared" si="5"/>
        <v>0.85943150800049029</v>
      </c>
      <c r="S45" s="10">
        <f t="shared" si="6"/>
        <v>2.3618176375523774</v>
      </c>
    </row>
    <row r="46" spans="1:19" x14ac:dyDescent="0.3">
      <c r="A46" s="8">
        <v>1991</v>
      </c>
      <c r="B46" s="10">
        <f>data!Z46</f>
        <v>3.58127</v>
      </c>
      <c r="C46" s="10">
        <f>data!AC46</f>
        <v>5.3583400000000001</v>
      </c>
      <c r="D46" s="10">
        <f>data!AF46</f>
        <v>1.3529100000000001</v>
      </c>
      <c r="E46" s="19"/>
      <c r="F46" s="10">
        <f t="shared" si="3"/>
        <v>0.5635024285714284</v>
      </c>
      <c r="G46" s="17"/>
      <c r="H46" s="21">
        <f>data!U46</f>
        <v>3577624.5</v>
      </c>
      <c r="I46" s="21">
        <f>data!V46</f>
        <v>998328.8</v>
      </c>
      <c r="J46" s="21">
        <f>data!W46</f>
        <v>2579295.7999999998</v>
      </c>
      <c r="K46" s="9">
        <f t="shared" si="0"/>
        <v>0.27904795486502287</v>
      </c>
      <c r="L46" s="17"/>
      <c r="M46" s="9">
        <f t="shared" si="8"/>
        <v>-1.9149397753472824E-2</v>
      </c>
      <c r="N46" s="9">
        <f t="shared" si="9"/>
        <v>1.8652484796748404E-2</v>
      </c>
      <c r="O46" s="9">
        <f t="shared" si="7"/>
        <v>-3.7475446775168758E-2</v>
      </c>
      <c r="P46" s="9">
        <f t="shared" si="4"/>
        <v>-6.1736567987549576E-3</v>
      </c>
      <c r="Q46" s="18"/>
      <c r="R46" s="10">
        <f t="shared" si="5"/>
        <v>0.85325785120173536</v>
      </c>
      <c r="S46" s="10">
        <f t="shared" si="6"/>
        <v>2.347281502759782</v>
      </c>
    </row>
    <row r="47" spans="1:19" x14ac:dyDescent="0.3">
      <c r="A47" s="8">
        <v>1992</v>
      </c>
      <c r="B47" s="10">
        <f>data!Z47</f>
        <v>3.6973600000000002</v>
      </c>
      <c r="C47" s="10">
        <f>data!AC47</f>
        <v>5.4644500000000003</v>
      </c>
      <c r="D47" s="10">
        <f>data!AF47</f>
        <v>1.3496699999999999</v>
      </c>
      <c r="E47" s="19"/>
      <c r="F47" s="10">
        <f t="shared" si="3"/>
        <v>0.5635024285714284</v>
      </c>
      <c r="G47" s="17"/>
      <c r="H47" s="21">
        <f>data!U47</f>
        <v>3740753.8</v>
      </c>
      <c r="I47" s="21">
        <f>data!V47</f>
        <v>1033005.1</v>
      </c>
      <c r="J47" s="21">
        <f>data!W47</f>
        <v>2707748.8</v>
      </c>
      <c r="K47" s="9">
        <f t="shared" si="0"/>
        <v>0.27614891415735515</v>
      </c>
      <c r="L47" s="17"/>
      <c r="M47" s="9">
        <f t="shared" si="8"/>
        <v>3.190156535719748E-2</v>
      </c>
      <c r="N47" s="9">
        <f t="shared" si="9"/>
        <v>1.9609250501992675E-2</v>
      </c>
      <c r="O47" s="9">
        <f t="shared" si="7"/>
        <v>-1.0443384024137234E-2</v>
      </c>
      <c r="P47" s="9">
        <f t="shared" si="4"/>
        <v>2.9227047395648569E-2</v>
      </c>
      <c r="Q47" s="18"/>
      <c r="R47" s="10">
        <f t="shared" si="5"/>
        <v>0.88248489859738388</v>
      </c>
      <c r="S47" s="10">
        <f t="shared" si="6"/>
        <v>2.4168979972018172</v>
      </c>
    </row>
    <row r="48" spans="1:19" x14ac:dyDescent="0.3">
      <c r="A48" s="8">
        <v>1993</v>
      </c>
      <c r="B48" s="10">
        <f>data!Z48</f>
        <v>3.7805200000000001</v>
      </c>
      <c r="C48" s="10">
        <f>data!AC48</f>
        <v>5.5819400000000003</v>
      </c>
      <c r="D48" s="10">
        <f>data!AF48</f>
        <v>1.3728400000000001</v>
      </c>
      <c r="E48" s="19"/>
      <c r="F48" s="10">
        <f t="shared" si="3"/>
        <v>0.5635024285714284</v>
      </c>
      <c r="G48" s="17"/>
      <c r="H48" s="21">
        <f>data!U48</f>
        <v>3962040.5</v>
      </c>
      <c r="I48" s="21">
        <f>data!V48</f>
        <v>1065297.3999999999</v>
      </c>
      <c r="J48" s="21">
        <f>data!W48</f>
        <v>2896743</v>
      </c>
      <c r="K48" s="9">
        <f t="shared" si="0"/>
        <v>0.26887594914792007</v>
      </c>
      <c r="L48" s="17"/>
      <c r="M48" s="9">
        <f t="shared" si="8"/>
        <v>2.224251484295928E-2</v>
      </c>
      <c r="N48" s="9">
        <f t="shared" si="9"/>
        <v>2.1272910096063618E-2</v>
      </c>
      <c r="O48" s="9">
        <f t="shared" si="7"/>
        <v>-2.669014661102137E-2</v>
      </c>
      <c r="P48" s="9">
        <f t="shared" si="4"/>
        <v>2.7996903683047192E-2</v>
      </c>
      <c r="Q48" s="18"/>
      <c r="R48" s="10">
        <f t="shared" si="5"/>
        <v>0.91048180228043107</v>
      </c>
      <c r="S48" s="10">
        <f t="shared" si="6"/>
        <v>2.4855197740402066</v>
      </c>
    </row>
    <row r="49" spans="1:19" x14ac:dyDescent="0.3">
      <c r="A49" s="8">
        <v>1994</v>
      </c>
      <c r="B49" s="10">
        <f>data!Z49</f>
        <v>4.0222100000000003</v>
      </c>
      <c r="C49" s="10">
        <f>data!AC49</f>
        <v>5.7040800000000003</v>
      </c>
      <c r="D49" s="10">
        <f>data!AF49</f>
        <v>1.41401</v>
      </c>
      <c r="E49" s="19"/>
      <c r="F49" s="10">
        <f t="shared" si="3"/>
        <v>0.5635024285714284</v>
      </c>
      <c r="G49" s="17"/>
      <c r="H49" s="21">
        <f>data!U49</f>
        <v>4108492.7999999998</v>
      </c>
      <c r="I49" s="21">
        <f>data!V49</f>
        <v>1109825.1000000001</v>
      </c>
      <c r="J49" s="21">
        <f>data!W49</f>
        <v>2998667.5</v>
      </c>
      <c r="K49" s="9">
        <f t="shared" si="0"/>
        <v>0.27012949858400631</v>
      </c>
      <c r="L49" s="17"/>
      <c r="M49" s="9">
        <f t="shared" si="8"/>
        <v>6.1969936509147068E-2</v>
      </c>
      <c r="N49" s="9">
        <f t="shared" si="9"/>
        <v>2.1645322038265309E-2</v>
      </c>
      <c r="O49" s="9">
        <f t="shared" si="7"/>
        <v>4.651350747611427E-3</v>
      </c>
      <c r="P49" s="9">
        <f t="shared" si="4"/>
        <v>4.9900758564238354E-2</v>
      </c>
      <c r="Q49" s="18"/>
      <c r="R49" s="10">
        <f t="shared" si="5"/>
        <v>0.96038256084466944</v>
      </c>
      <c r="S49" s="10">
        <f t="shared" si="6"/>
        <v>2.6126957973709297</v>
      </c>
    </row>
    <row r="50" spans="1:19" x14ac:dyDescent="0.3">
      <c r="A50" s="8">
        <v>1995</v>
      </c>
      <c r="B50" s="10">
        <f>data!Z50</f>
        <v>4.1044400000000003</v>
      </c>
      <c r="C50" s="10">
        <f>data!AC50</f>
        <v>5.87662</v>
      </c>
      <c r="D50" s="10">
        <f>data!AF50</f>
        <v>1.4318299999999999</v>
      </c>
      <c r="E50" s="19"/>
      <c r="F50" s="10">
        <f t="shared" si="3"/>
        <v>0.5635024285714284</v>
      </c>
      <c r="G50" s="17"/>
      <c r="H50" s="21">
        <f>data!U50</f>
        <v>4331886.5</v>
      </c>
      <c r="I50" s="21">
        <f>data!V50</f>
        <v>1137367.5</v>
      </c>
      <c r="J50" s="21">
        <f>data!W50</f>
        <v>3194519</v>
      </c>
      <c r="K50" s="9">
        <f t="shared" si="0"/>
        <v>0.26255708684888213</v>
      </c>
      <c r="L50" s="17"/>
      <c r="M50" s="9">
        <f t="shared" si="8"/>
        <v>2.023781178039925E-2</v>
      </c>
      <c r="N50" s="9">
        <f t="shared" si="9"/>
        <v>2.9800058441412647E-2</v>
      </c>
      <c r="O50" s="9">
        <f t="shared" si="7"/>
        <v>-2.8432936302846008E-2</v>
      </c>
      <c r="P50" s="9">
        <f t="shared" si="4"/>
        <v>2.3252187300363582E-2</v>
      </c>
      <c r="Q50" s="18"/>
      <c r="R50" s="10">
        <f t="shared" si="5"/>
        <v>0.98363474814503304</v>
      </c>
      <c r="S50" s="10">
        <f t="shared" si="6"/>
        <v>2.6741584912469625</v>
      </c>
    </row>
    <row r="51" spans="1:19" x14ac:dyDescent="0.3">
      <c r="A51" s="8">
        <v>1996</v>
      </c>
      <c r="B51" s="10">
        <f>data!Z51</f>
        <v>4.2611600000000003</v>
      </c>
      <c r="C51" s="10">
        <f>data!AC51</f>
        <v>6.0986000000000002</v>
      </c>
      <c r="D51" s="10">
        <f>data!AF51</f>
        <v>1.45495</v>
      </c>
      <c r="E51" s="19"/>
      <c r="F51" s="10">
        <f t="shared" si="3"/>
        <v>0.5635024285714284</v>
      </c>
      <c r="G51" s="17"/>
      <c r="H51" s="21">
        <f>data!U51</f>
        <v>4551839.5</v>
      </c>
      <c r="I51" s="21">
        <f>data!V51</f>
        <v>1193016.5</v>
      </c>
      <c r="J51" s="21">
        <f>data!W51</f>
        <v>3358822.8</v>
      </c>
      <c r="K51" s="9">
        <f t="shared" si="0"/>
        <v>0.26209546711829362</v>
      </c>
      <c r="L51" s="17"/>
      <c r="M51" s="9">
        <f t="shared" si="8"/>
        <v>3.7472109086463229E-2</v>
      </c>
      <c r="N51" s="9">
        <f t="shared" si="9"/>
        <v>3.7077469941011194E-2</v>
      </c>
      <c r="O51" s="9">
        <f t="shared" si="7"/>
        <v>-1.7597163921874745E-3</v>
      </c>
      <c r="P51" s="9">
        <f t="shared" si="4"/>
        <v>2.2279487963090573E-2</v>
      </c>
      <c r="Q51" s="18"/>
      <c r="R51" s="10">
        <f t="shared" si="5"/>
        <v>1.0059142361081237</v>
      </c>
      <c r="S51" s="10">
        <f t="shared" si="6"/>
        <v>2.7344060231486318</v>
      </c>
    </row>
    <row r="52" spans="1:19" x14ac:dyDescent="0.3">
      <c r="A52" s="8">
        <v>1997</v>
      </c>
      <c r="B52" s="10">
        <f>data!Z52</f>
        <v>4.4793799999999999</v>
      </c>
      <c r="C52" s="10">
        <f>data!AC52</f>
        <v>6.3500699999999997</v>
      </c>
      <c r="D52" s="10">
        <f>data!AF52</f>
        <v>1.48705</v>
      </c>
      <c r="E52" s="19"/>
      <c r="F52" s="10">
        <f t="shared" si="3"/>
        <v>0.5635024285714284</v>
      </c>
      <c r="G52" s="17"/>
      <c r="H52" s="21">
        <f>data!U52</f>
        <v>4892870.5</v>
      </c>
      <c r="I52" s="21">
        <f>data!V52</f>
        <v>1244620.3999999999</v>
      </c>
      <c r="J52" s="21">
        <f>data!W52</f>
        <v>3648250.3</v>
      </c>
      <c r="K52" s="9">
        <f t="shared" si="0"/>
        <v>0.25437427783956268</v>
      </c>
      <c r="L52" s="17"/>
      <c r="M52" s="9">
        <f t="shared" si="8"/>
        <v>4.9943220308857179E-2</v>
      </c>
      <c r="N52" s="9">
        <f t="shared" si="9"/>
        <v>4.0406599824380024E-2</v>
      </c>
      <c r="O52" s="9">
        <f t="shared" si="7"/>
        <v>-2.9902098472659247E-2</v>
      </c>
      <c r="P52" s="9">
        <f t="shared" si="4"/>
        <v>4.9155742724554641E-2</v>
      </c>
      <c r="Q52" s="18"/>
      <c r="R52" s="10">
        <f t="shared" si="5"/>
        <v>1.0550699788326783</v>
      </c>
      <c r="S52" s="10">
        <f t="shared" si="6"/>
        <v>2.8721761384023456</v>
      </c>
    </row>
    <row r="53" spans="1:19" x14ac:dyDescent="0.3">
      <c r="A53" s="8">
        <v>1998</v>
      </c>
      <c r="B53" s="10">
        <f>data!Z53</f>
        <v>4.6318700000000002</v>
      </c>
      <c r="C53" s="10">
        <f>data!AC53</f>
        <v>6.6430400000000001</v>
      </c>
      <c r="D53" s="10">
        <f>data!AF53</f>
        <v>1.4984</v>
      </c>
      <c r="E53" s="19"/>
      <c r="F53" s="10">
        <f t="shared" si="3"/>
        <v>0.5635024285714284</v>
      </c>
      <c r="G53" s="17"/>
      <c r="H53" s="21">
        <f>data!U53</f>
        <v>5330721.5</v>
      </c>
      <c r="I53" s="21">
        <f>data!V53</f>
        <v>1311015.3999999999</v>
      </c>
      <c r="J53" s="21">
        <f>data!W53</f>
        <v>4019706</v>
      </c>
      <c r="K53" s="9">
        <f t="shared" si="0"/>
        <v>0.24593582688572269</v>
      </c>
      <c r="L53" s="17"/>
      <c r="M53" s="9">
        <f t="shared" si="8"/>
        <v>3.3476030253873933E-2</v>
      </c>
      <c r="N53" s="9">
        <f t="shared" si="9"/>
        <v>4.5103853574972319E-2</v>
      </c>
      <c r="O53" s="9">
        <f t="shared" si="7"/>
        <v>-3.3736081650253602E-2</v>
      </c>
      <c r="P53" s="9">
        <f t="shared" si="4"/>
        <v>3.2798671646730525E-2</v>
      </c>
      <c r="Q53" s="18"/>
      <c r="R53" s="10">
        <f t="shared" si="5"/>
        <v>1.0878686504794088</v>
      </c>
      <c r="S53" s="10">
        <f t="shared" si="6"/>
        <v>2.9679416056916983</v>
      </c>
    </row>
    <row r="54" spans="1:19" x14ac:dyDescent="0.3">
      <c r="A54" s="8">
        <v>1999</v>
      </c>
      <c r="B54" s="10">
        <f>data!Z54</f>
        <v>4.8693400000000002</v>
      </c>
      <c r="C54" s="10">
        <f>data!AC54</f>
        <v>6.9041899999999998</v>
      </c>
      <c r="D54" s="10">
        <f>data!AF54</f>
        <v>1.51017</v>
      </c>
      <c r="E54" s="19"/>
      <c r="F54" s="10">
        <f t="shared" si="3"/>
        <v>0.5635024285714284</v>
      </c>
      <c r="G54" s="17"/>
      <c r="H54" s="21">
        <f>data!U54</f>
        <v>5614821.5</v>
      </c>
      <c r="I54" s="21">
        <f>data!V54</f>
        <v>1375409.3</v>
      </c>
      <c r="J54" s="21">
        <f>data!W54</f>
        <v>4239412</v>
      </c>
      <c r="K54" s="9">
        <f t="shared" si="0"/>
        <v>0.24496046757675199</v>
      </c>
      <c r="L54" s="17"/>
      <c r="M54" s="9">
        <f t="shared" si="8"/>
        <v>4.9997730049930959E-2</v>
      </c>
      <c r="N54" s="9">
        <f t="shared" si="9"/>
        <v>3.8558783639690411E-2</v>
      </c>
      <c r="O54" s="9">
        <f t="shared" si="7"/>
        <v>-3.9737948868962944E-3</v>
      </c>
      <c r="P54" s="9">
        <f t="shared" si="4"/>
        <v>3.5406157703377142E-2</v>
      </c>
      <c r="Q54" s="18"/>
      <c r="R54" s="10">
        <f t="shared" si="5"/>
        <v>1.1232748081827859</v>
      </c>
      <c r="S54" s="10">
        <f t="shared" si="6"/>
        <v>3.0749074651845727</v>
      </c>
    </row>
    <row r="55" spans="1:19" x14ac:dyDescent="0.3">
      <c r="A55" s="8">
        <v>2000</v>
      </c>
      <c r="B55" s="10">
        <f>data!Z55</f>
        <v>5.1124000000000001</v>
      </c>
      <c r="C55" s="10">
        <f>data!AC55</f>
        <v>7.0885800000000003</v>
      </c>
      <c r="D55" s="10">
        <f>data!AF55</f>
        <v>1.51519</v>
      </c>
      <c r="E55" s="19"/>
      <c r="F55" s="10">
        <f t="shared" si="3"/>
        <v>0.5635024285714284</v>
      </c>
      <c r="G55" s="17"/>
      <c r="H55" s="21">
        <f>data!U55</f>
        <v>6093353.5</v>
      </c>
      <c r="I55" s="21">
        <f>data!V55</f>
        <v>1480172.5</v>
      </c>
      <c r="J55" s="21">
        <f>data!W55</f>
        <v>4613181.5</v>
      </c>
      <c r="K55" s="9">
        <f t="shared" si="0"/>
        <v>0.24291590829253545</v>
      </c>
      <c r="L55" s="17"/>
      <c r="M55" s="9">
        <f t="shared" si="8"/>
        <v>4.8710556979041635E-2</v>
      </c>
      <c r="N55" s="9">
        <f t="shared" si="9"/>
        <v>2.6356564716902876E-2</v>
      </c>
      <c r="O55" s="9">
        <f t="shared" si="7"/>
        <v>-8.3815136558369665E-3</v>
      </c>
      <c r="P55" s="9">
        <f t="shared" si="4"/>
        <v>4.1928983789082268E-2</v>
      </c>
      <c r="Q55" s="18"/>
      <c r="R55" s="10">
        <f t="shared" si="5"/>
        <v>1.1652037919718681</v>
      </c>
      <c r="S55" s="10">
        <f t="shared" si="6"/>
        <v>3.2065762911262228</v>
      </c>
    </row>
    <row r="56" spans="1:19" x14ac:dyDescent="0.3">
      <c r="A56" s="8">
        <v>2001</v>
      </c>
      <c r="B56" s="10">
        <f>data!Z56</f>
        <v>4.9205699999999997</v>
      </c>
      <c r="C56" s="10">
        <f>data!AC56</f>
        <v>7.2298600000000004</v>
      </c>
      <c r="D56" s="10">
        <f>data!AF56</f>
        <v>1.46811</v>
      </c>
      <c r="E56" s="19"/>
      <c r="F56" s="10">
        <f t="shared" si="3"/>
        <v>0.5635024285714284</v>
      </c>
      <c r="G56" s="17"/>
      <c r="H56" s="21">
        <f>data!U56</f>
        <v>6282005.5</v>
      </c>
      <c r="I56" s="21">
        <f>data!V56</f>
        <v>1428762.5</v>
      </c>
      <c r="J56" s="21">
        <f>data!W56</f>
        <v>4853243</v>
      </c>
      <c r="K56" s="9">
        <f t="shared" si="0"/>
        <v>0.22743732077280099</v>
      </c>
      <c r="L56" s="17"/>
      <c r="M56" s="9">
        <f t="shared" si="8"/>
        <v>-3.8244583823185872E-2</v>
      </c>
      <c r="N56" s="9">
        <f t="shared" si="9"/>
        <v>1.9734633823637646E-2</v>
      </c>
      <c r="O56" s="9">
        <f t="shared" si="7"/>
        <v>-6.5840639696179537E-2</v>
      </c>
      <c r="P56" s="9">
        <f t="shared" si="4"/>
        <v>-9.7573431927422891E-3</v>
      </c>
      <c r="Q56" s="18"/>
      <c r="R56" s="10">
        <f t="shared" si="5"/>
        <v>1.1554464487791258</v>
      </c>
      <c r="S56" s="10">
        <f t="shared" si="6"/>
        <v>3.1754407727719896</v>
      </c>
    </row>
    <row r="57" spans="1:19" x14ac:dyDescent="0.3">
      <c r="A57" s="8">
        <v>2002</v>
      </c>
      <c r="B57" s="10">
        <f>data!Z57</f>
        <v>4.9539499999999999</v>
      </c>
      <c r="C57" s="10">
        <f>data!AC57</f>
        <v>7.3315799999999998</v>
      </c>
      <c r="D57" s="10">
        <f>data!AF57</f>
        <v>1.40394</v>
      </c>
      <c r="E57" s="19"/>
      <c r="F57" s="10">
        <f t="shared" si="3"/>
        <v>0.5635024285714284</v>
      </c>
      <c r="G57" s="17"/>
      <c r="H57" s="21">
        <f>data!U57</f>
        <v>6338332</v>
      </c>
      <c r="I57" s="21">
        <f>data!V57</f>
        <v>1394944.1</v>
      </c>
      <c r="J57" s="21">
        <f>data!W57</f>
        <v>4943388</v>
      </c>
      <c r="K57" s="9">
        <f t="shared" si="0"/>
        <v>0.22008063004588591</v>
      </c>
      <c r="L57" s="17"/>
      <c r="M57" s="9">
        <f t="shared" si="8"/>
        <v>6.7608607097389478E-3</v>
      </c>
      <c r="N57" s="9">
        <f t="shared" si="9"/>
        <v>1.3971372973236137E-2</v>
      </c>
      <c r="O57" s="9">
        <f t="shared" si="7"/>
        <v>-3.2880707927575421E-2</v>
      </c>
      <c r="P57" s="9">
        <f t="shared" si="4"/>
        <v>1.9190749107735161E-2</v>
      </c>
      <c r="Q57" s="18"/>
      <c r="R57" s="10">
        <f t="shared" si="5"/>
        <v>1.1746371978868611</v>
      </c>
      <c r="S57" s="10">
        <f t="shared" si="6"/>
        <v>3.2369683518204071</v>
      </c>
    </row>
    <row r="58" spans="1:19" x14ac:dyDescent="0.3">
      <c r="A58" s="8">
        <v>2003</v>
      </c>
      <c r="B58" s="10">
        <f>data!Z58</f>
        <v>5.1064600000000002</v>
      </c>
      <c r="C58" s="10">
        <f>data!AC58</f>
        <v>7.38232</v>
      </c>
      <c r="D58" s="10">
        <f>data!AF58</f>
        <v>1.35686</v>
      </c>
      <c r="E58" s="19"/>
      <c r="F58" s="10">
        <f t="shared" si="3"/>
        <v>0.5635024285714284</v>
      </c>
      <c r="G58" s="17"/>
      <c r="H58" s="21">
        <f>data!U58</f>
        <v>6580236.5</v>
      </c>
      <c r="I58" s="21">
        <f>data!V58</f>
        <v>1440760.3</v>
      </c>
      <c r="J58" s="21">
        <f>data!W58</f>
        <v>5139476</v>
      </c>
      <c r="K58" s="9">
        <f t="shared" si="0"/>
        <v>0.21895266226373475</v>
      </c>
      <c r="L58" s="17"/>
      <c r="M58" s="9">
        <f t="shared" si="8"/>
        <v>3.0321166689538298E-2</v>
      </c>
      <c r="N58" s="9">
        <f t="shared" si="9"/>
        <v>6.8969071599455853E-3</v>
      </c>
      <c r="O58" s="9">
        <f t="shared" si="7"/>
        <v>-5.1384270111630827E-3</v>
      </c>
      <c r="P58" s="9">
        <f t="shared" si="4"/>
        <v>3.0206199563681146E-2</v>
      </c>
      <c r="Q58" s="18"/>
      <c r="R58" s="10">
        <f t="shared" si="5"/>
        <v>1.2048433974505421</v>
      </c>
      <c r="S58" s="10">
        <f t="shared" si="6"/>
        <v>3.3362365740026649</v>
      </c>
    </row>
    <row r="59" spans="1:19" x14ac:dyDescent="0.3">
      <c r="A59" s="8">
        <v>2004</v>
      </c>
      <c r="B59" s="10">
        <f>data!Z59</f>
        <v>5.3833299999999999</v>
      </c>
      <c r="C59" s="10">
        <f>data!AC59</f>
        <v>7.45322</v>
      </c>
      <c r="D59" s="10">
        <f>data!AF59</f>
        <v>1.37876</v>
      </c>
      <c r="E59" s="19"/>
      <c r="F59" s="10">
        <f t="shared" si="3"/>
        <v>0.5635024285714284</v>
      </c>
      <c r="G59" s="17"/>
      <c r="H59" s="21">
        <f>data!U59</f>
        <v>6947251</v>
      </c>
      <c r="I59" s="21">
        <f>data!V59</f>
        <v>1512635.5</v>
      </c>
      <c r="J59" s="21">
        <f>data!W59</f>
        <v>5434615</v>
      </c>
      <c r="K59" s="9">
        <f t="shared" si="0"/>
        <v>0.21773151711374758</v>
      </c>
      <c r="L59" s="17"/>
      <c r="M59" s="9">
        <f t="shared" si="8"/>
        <v>5.2800736953803953E-2</v>
      </c>
      <c r="N59" s="9">
        <f t="shared" si="9"/>
        <v>9.5582014243997329E-3</v>
      </c>
      <c r="O59" s="9">
        <f t="shared" si="7"/>
        <v>-5.5928214977208068E-3</v>
      </c>
      <c r="P59" s="9">
        <f t="shared" si="4"/>
        <v>5.1780173741360527E-2</v>
      </c>
      <c r="Q59" s="18"/>
      <c r="R59" s="10">
        <f t="shared" si="5"/>
        <v>1.2566235711919027</v>
      </c>
      <c r="S59" s="10">
        <f t="shared" si="6"/>
        <v>3.5135382254780074</v>
      </c>
    </row>
    <row r="60" spans="1:19" x14ac:dyDescent="0.3">
      <c r="A60" s="8">
        <v>2005</v>
      </c>
      <c r="B60" s="10">
        <f>data!Z60</f>
        <v>5.4302999999999999</v>
      </c>
      <c r="C60" s="10">
        <f>data!AC60</f>
        <v>7.5717299999999996</v>
      </c>
      <c r="D60" s="10">
        <f>data!AF60</f>
        <v>1.4021999999999999</v>
      </c>
      <c r="E60" s="19"/>
      <c r="F60" s="10">
        <f t="shared" si="3"/>
        <v>0.5635024285714284</v>
      </c>
      <c r="G60" s="17"/>
      <c r="H60" s="21">
        <f>data!U60</f>
        <v>7261420</v>
      </c>
      <c r="I60" s="21">
        <f>data!V60</f>
        <v>1548997.4</v>
      </c>
      <c r="J60" s="21">
        <f>data!W60</f>
        <v>5712423</v>
      </c>
      <c r="K60" s="9">
        <f t="shared" si="0"/>
        <v>0.21331879990415098</v>
      </c>
      <c r="L60" s="17"/>
      <c r="M60" s="9">
        <f t="shared" si="8"/>
        <v>8.6872392331620602E-3</v>
      </c>
      <c r="N60" s="9">
        <f t="shared" si="9"/>
        <v>1.577542124644107E-2</v>
      </c>
      <c r="O60" s="9">
        <f t="shared" si="7"/>
        <v>-2.0474970991581944E-2</v>
      </c>
      <c r="P60" s="9">
        <f t="shared" si="4"/>
        <v>1.3339002049513816E-2</v>
      </c>
      <c r="Q60" s="18"/>
      <c r="R60" s="10">
        <f t="shared" si="5"/>
        <v>1.2699625732414166</v>
      </c>
      <c r="S60" s="10">
        <f t="shared" si="6"/>
        <v>3.5607192936802408</v>
      </c>
    </row>
    <row r="61" spans="1:19" x14ac:dyDescent="0.3">
      <c r="A61" s="8">
        <v>2006</v>
      </c>
      <c r="B61" s="10">
        <f>data!Z61</f>
        <v>5.6408199999999997</v>
      </c>
      <c r="C61" s="10">
        <f>data!AC61</f>
        <v>7.7608899999999998</v>
      </c>
      <c r="D61" s="10">
        <f>data!AF61</f>
        <v>1.4398299999999999</v>
      </c>
      <c r="E61" s="19"/>
      <c r="F61" s="10">
        <f t="shared" si="3"/>
        <v>0.5635024285714284</v>
      </c>
      <c r="G61" s="17"/>
      <c r="H61" s="21">
        <f>data!U61</f>
        <v>7746959.5</v>
      </c>
      <c r="I61" s="21">
        <f>data!V61</f>
        <v>1637687.8</v>
      </c>
      <c r="J61" s="21">
        <f>data!W61</f>
        <v>6109271.5</v>
      </c>
      <c r="K61" s="9">
        <f t="shared" si="0"/>
        <v>0.21139749084786102</v>
      </c>
      <c r="L61" s="17"/>
      <c r="M61" s="9">
        <f t="shared" si="8"/>
        <v>3.8035063974297574E-2</v>
      </c>
      <c r="N61" s="9">
        <f t="shared" si="9"/>
        <v>2.4675443315185324E-2</v>
      </c>
      <c r="O61" s="9">
        <f t="shared" si="7"/>
        <v>-9.0475557653903558E-3</v>
      </c>
      <c r="P61" s="9">
        <f t="shared" si="4"/>
        <v>3.2362612539728691E-2</v>
      </c>
      <c r="Q61" s="18"/>
      <c r="R61" s="10">
        <f t="shared" si="5"/>
        <v>1.3023251857811453</v>
      </c>
      <c r="S61" s="10">
        <f t="shared" si="6"/>
        <v>3.6778383907557943</v>
      </c>
    </row>
    <row r="62" spans="1:19" x14ac:dyDescent="0.3">
      <c r="A62" s="8">
        <v>2007</v>
      </c>
      <c r="B62" s="10">
        <f>data!Z62</f>
        <v>5.7021699999999997</v>
      </c>
      <c r="C62" s="10">
        <f>data!AC62</f>
        <v>7.9950999999999999</v>
      </c>
      <c r="D62" s="10">
        <f>data!AF62</f>
        <v>1.4242900000000001</v>
      </c>
      <c r="E62" s="19"/>
      <c r="F62" s="10">
        <f t="shared" si="3"/>
        <v>0.5635024285714284</v>
      </c>
      <c r="G62" s="17"/>
      <c r="H62" s="21">
        <f>data!U62</f>
        <v>8060485.5</v>
      </c>
      <c r="I62" s="21">
        <f>data!V62</f>
        <v>1713762.1</v>
      </c>
      <c r="J62" s="21">
        <f>data!W62</f>
        <v>6346723.5</v>
      </c>
      <c r="K62" s="9">
        <f t="shared" si="0"/>
        <v>0.2126127638341388</v>
      </c>
      <c r="L62" s="17"/>
      <c r="M62" s="9">
        <f t="shared" si="8"/>
        <v>1.0817359133586902E-2</v>
      </c>
      <c r="N62" s="9">
        <f t="shared" si="9"/>
        <v>2.9731835684782375E-2</v>
      </c>
      <c r="O62" s="9">
        <f t="shared" si="7"/>
        <v>5.7322968046212607E-3</v>
      </c>
      <c r="P62" s="9">
        <f t="shared" si="4"/>
        <v>-5.3906781076302653E-3</v>
      </c>
      <c r="Q62" s="18"/>
      <c r="R62" s="10">
        <f t="shared" si="5"/>
        <v>1.296934507673515</v>
      </c>
      <c r="S62" s="10">
        <f t="shared" si="6"/>
        <v>3.6580656898741264</v>
      </c>
    </row>
    <row r="63" spans="1:19" x14ac:dyDescent="0.3">
      <c r="A63" s="8">
        <v>2008</v>
      </c>
      <c r="B63" s="10">
        <f>data!Z63</f>
        <v>5.5270700000000001</v>
      </c>
      <c r="C63" s="10">
        <f>data!AC63</f>
        <v>8.2383100000000002</v>
      </c>
      <c r="D63" s="10">
        <f>data!AF63</f>
        <v>1.39537</v>
      </c>
      <c r="E63" s="19"/>
      <c r="F63" s="10">
        <f t="shared" si="3"/>
        <v>0.5635024285714284</v>
      </c>
      <c r="G63" s="17"/>
      <c r="H63" s="21">
        <f>data!U63</f>
        <v>8103027</v>
      </c>
      <c r="I63" s="21">
        <f>data!V63</f>
        <v>1707546.4</v>
      </c>
      <c r="J63" s="21">
        <f>data!W63</f>
        <v>6395480.5</v>
      </c>
      <c r="K63" s="9">
        <f t="shared" si="0"/>
        <v>0.21072944715598257</v>
      </c>
      <c r="L63" s="17"/>
      <c r="M63" s="9">
        <f t="shared" si="8"/>
        <v>-3.1188966276833367E-2</v>
      </c>
      <c r="N63" s="9">
        <f t="shared" si="9"/>
        <v>2.9966371773636452E-2</v>
      </c>
      <c r="O63" s="9">
        <f t="shared" si="7"/>
        <v>-8.8974312200973526E-3</v>
      </c>
      <c r="P63" s="9">
        <f t="shared" si="4"/>
        <v>-3.9255490679979271E-2</v>
      </c>
      <c r="Q63" s="18"/>
      <c r="R63" s="10">
        <f t="shared" si="5"/>
        <v>1.2576790169935357</v>
      </c>
      <c r="S63" s="10">
        <f t="shared" si="6"/>
        <v>3.5172485323164233</v>
      </c>
    </row>
    <row r="64" spans="1:19" x14ac:dyDescent="0.3">
      <c r="A64" s="8">
        <v>2009</v>
      </c>
      <c r="B64" s="10">
        <f>data!Z64</f>
        <v>5.2170699999999997</v>
      </c>
      <c r="C64" s="10">
        <f>data!AC64</f>
        <v>8.3436000000000003</v>
      </c>
      <c r="D64" s="10">
        <f>data!AF64</f>
        <v>1.2373700000000001</v>
      </c>
      <c r="E64" s="19"/>
      <c r="F64" s="10">
        <f t="shared" si="3"/>
        <v>0.5635024285714284</v>
      </c>
      <c r="G64" s="17"/>
      <c r="H64" s="21">
        <f>data!U64</f>
        <v>7824084.5</v>
      </c>
      <c r="I64" s="21">
        <f>data!V64</f>
        <v>1506983.4</v>
      </c>
      <c r="J64" s="21">
        <f>data!W64</f>
        <v>6317101.5</v>
      </c>
      <c r="K64" s="9">
        <f t="shared" si="0"/>
        <v>0.19260827257169832</v>
      </c>
      <c r="L64" s="17"/>
      <c r="M64" s="9">
        <f t="shared" si="8"/>
        <v>-5.7721896246299538E-2</v>
      </c>
      <c r="N64" s="9">
        <f t="shared" si="9"/>
        <v>1.2699552112117492E-2</v>
      </c>
      <c r="O64" s="9">
        <f t="shared" si="7"/>
        <v>-8.9916619207533563E-2</v>
      </c>
      <c r="P64" s="9">
        <f t="shared" si="4"/>
        <v>-1.2596986609091899E-2</v>
      </c>
      <c r="Q64" s="18"/>
      <c r="R64" s="10">
        <f t="shared" si="5"/>
        <v>1.2450820303844439</v>
      </c>
      <c r="S64" s="10">
        <f t="shared" si="6"/>
        <v>3.4732196971985445</v>
      </c>
    </row>
    <row r="65" spans="1:19" x14ac:dyDescent="0.3">
      <c r="A65" s="8">
        <v>2010</v>
      </c>
      <c r="B65" s="10">
        <f>data!Z65</f>
        <v>5.3481199999999998</v>
      </c>
      <c r="C65" s="10">
        <f>data!AC65</f>
        <v>8.3235899999999994</v>
      </c>
      <c r="D65" s="10">
        <f>data!AF65</f>
        <v>1.22373</v>
      </c>
      <c r="E65" s="19"/>
      <c r="F65" s="10">
        <f t="shared" si="3"/>
        <v>0.5635024285714284</v>
      </c>
      <c r="G65" s="17"/>
      <c r="H65" s="21">
        <f>data!U65</f>
        <v>7872716</v>
      </c>
      <c r="I65" s="21">
        <f>data!V65</f>
        <v>1529352.5</v>
      </c>
      <c r="J65" s="21">
        <f>data!W65</f>
        <v>6343363.5</v>
      </c>
      <c r="K65" s="9">
        <f t="shared" si="0"/>
        <v>0.19425983358220975</v>
      </c>
      <c r="L65" s="17"/>
      <c r="M65" s="9">
        <f t="shared" si="8"/>
        <v>2.4809155659419959E-2</v>
      </c>
      <c r="N65" s="9">
        <f t="shared" si="9"/>
        <v>-2.4011257583087453E-3</v>
      </c>
      <c r="O65" s="9">
        <f t="shared" si="7"/>
        <v>8.5381607710064179E-3</v>
      </c>
      <c r="P65" s="9">
        <f t="shared" si="4"/>
        <v>2.1045966891620898E-2</v>
      </c>
      <c r="Q65" s="18"/>
      <c r="R65" s="10">
        <f t="shared" si="5"/>
        <v>1.2661279972760648</v>
      </c>
      <c r="S65" s="10">
        <f t="shared" si="6"/>
        <v>3.5470915899882951</v>
      </c>
    </row>
    <row r="66" spans="1:19" x14ac:dyDescent="0.3">
      <c r="A66" s="8">
        <v>2011</v>
      </c>
      <c r="B66" s="10">
        <f>data!Z66</f>
        <v>5.3872299999999997</v>
      </c>
      <c r="C66" s="10">
        <f>data!AC66</f>
        <v>8.4123099999999997</v>
      </c>
      <c r="D66" s="10">
        <f>data!AF66</f>
        <v>1.2480500000000001</v>
      </c>
      <c r="E66" s="19"/>
      <c r="F66" s="10">
        <f t="shared" si="3"/>
        <v>0.5635024285714284</v>
      </c>
      <c r="G66" s="17"/>
      <c r="H66" s="21">
        <f>data!U66</f>
        <v>8269258</v>
      </c>
      <c r="I66" s="21">
        <f>data!V66</f>
        <v>1583466.9</v>
      </c>
      <c r="J66" s="21">
        <f>data!W66</f>
        <v>6685791</v>
      </c>
      <c r="K66" s="9">
        <f t="shared" ref="K66:K72" si="10">I66/H66</f>
        <v>0.19148838988939515</v>
      </c>
      <c r="L66" s="17"/>
      <c r="M66" s="9">
        <f t="shared" si="8"/>
        <v>7.2862408820847657E-3</v>
      </c>
      <c r="N66" s="9">
        <f t="shared" si="9"/>
        <v>1.0602457124928844E-2</v>
      </c>
      <c r="O66" s="9">
        <f t="shared" si="7"/>
        <v>-1.4369431724905977E-2</v>
      </c>
      <c r="P66" s="9">
        <f t="shared" si="4"/>
        <v>1.0755503770053618E-2</v>
      </c>
      <c r="Q66" s="18"/>
      <c r="R66" s="10">
        <f t="shared" si="5"/>
        <v>1.2768835010461184</v>
      </c>
      <c r="S66" s="10">
        <f t="shared" si="6"/>
        <v>3.5854482497964852</v>
      </c>
    </row>
    <row r="67" spans="1:19" x14ac:dyDescent="0.3">
      <c r="A67" s="8">
        <v>2012</v>
      </c>
      <c r="B67" s="10">
        <f>data!Z67</f>
        <v>5.4642299999999997</v>
      </c>
      <c r="C67" s="10">
        <f>data!AC67</f>
        <v>8.5398499999999995</v>
      </c>
      <c r="D67" s="10">
        <f>data!AF67</f>
        <v>1.28234</v>
      </c>
      <c r="E67" s="19"/>
      <c r="F67" s="10">
        <f t="shared" si="3"/>
        <v>0.5635024285714284</v>
      </c>
      <c r="G67" s="17"/>
      <c r="H67" s="21">
        <f>data!U67</f>
        <v>8658893</v>
      </c>
      <c r="I67" s="21">
        <f>data!V67</f>
        <v>1640924.1</v>
      </c>
      <c r="J67" s="21">
        <f>data!W67</f>
        <v>7017969</v>
      </c>
      <c r="K67" s="9">
        <f t="shared" si="10"/>
        <v>0.18950737698225398</v>
      </c>
      <c r="L67" s="17"/>
      <c r="M67" s="9">
        <f t="shared" ref="M67:M72" si="11">LN(B67/B66)</f>
        <v>1.4191876922083544E-2</v>
      </c>
      <c r="N67" s="9">
        <f t="shared" ref="N67:N72" si="12">LN(C67/C66)</f>
        <v>1.5047333965956715E-2</v>
      </c>
      <c r="O67" s="9">
        <f t="shared" si="7"/>
        <v>-1.0399227142344231E-2</v>
      </c>
      <c r="P67" s="9">
        <f t="shared" si="4"/>
        <v>1.3483741939445671E-2</v>
      </c>
      <c r="Q67" s="18"/>
      <c r="R67" s="10">
        <f t="shared" si="5"/>
        <v>1.2903672429855639</v>
      </c>
      <c r="S67" s="10">
        <f t="shared" ref="S67:S71" si="13">EXP(R67)</f>
        <v>3.6341209161357089</v>
      </c>
    </row>
    <row r="68" spans="1:19" x14ac:dyDescent="0.3">
      <c r="A68" s="8">
        <v>2013</v>
      </c>
      <c r="B68" s="10">
        <f>data!Z68</f>
        <v>5.6457699999999997</v>
      </c>
      <c r="C68" s="10">
        <f>data!AC68</f>
        <v>8.7107700000000001</v>
      </c>
      <c r="D68" s="10">
        <f>data!AF68</f>
        <v>1.3157300000000001</v>
      </c>
      <c r="E68" s="19"/>
      <c r="F68" s="10">
        <f t="shared" ref="F68:F72" si="14">F67</f>
        <v>0.5635024285714284</v>
      </c>
      <c r="G68" s="17"/>
      <c r="H68" s="21">
        <f>data!U68</f>
        <v>8849509</v>
      </c>
      <c r="I68" s="21">
        <f>data!V68</f>
        <v>1676683.9</v>
      </c>
      <c r="J68" s="21">
        <f>data!W68</f>
        <v>7172825</v>
      </c>
      <c r="K68" s="9">
        <f t="shared" si="10"/>
        <v>0.18946631954383006</v>
      </c>
      <c r="L68" s="17"/>
      <c r="M68" s="9">
        <f t="shared" si="11"/>
        <v>3.2683377109894073E-2</v>
      </c>
      <c r="N68" s="9">
        <f t="shared" si="12"/>
        <v>1.9816747846764501E-2</v>
      </c>
      <c r="O68" s="9">
        <f t="shared" ref="O68:O72" si="15">LN(K68/K67)</f>
        <v>-2.1667698291941354E-4</v>
      </c>
      <c r="P68" s="9">
        <f t="shared" ref="P68:P72" si="16">M68-(1-F68)*N68-F68*O68</f>
        <v>2.415551280725961E-2</v>
      </c>
      <c r="Q68" s="18"/>
      <c r="R68" s="10">
        <f t="shared" ref="R68:R71" si="17">R67+P68</f>
        <v>1.3145227557928236</v>
      </c>
      <c r="S68" s="10">
        <f t="shared" si="13"/>
        <v>3.7229737935312888</v>
      </c>
    </row>
    <row r="69" spans="1:19" x14ac:dyDescent="0.3">
      <c r="A69" s="8">
        <v>2014</v>
      </c>
      <c r="B69" s="10">
        <f>data!Z69</f>
        <v>5.7472399999999997</v>
      </c>
      <c r="C69" s="10">
        <f>data!AC69</f>
        <v>8.9021600000000003</v>
      </c>
      <c r="D69" s="10">
        <f>data!AF69</f>
        <v>1.34518</v>
      </c>
      <c r="E69" s="19"/>
      <c r="F69" s="10">
        <f t="shared" si="14"/>
        <v>0.5635024285714284</v>
      </c>
      <c r="G69" s="17"/>
      <c r="H69" s="21">
        <f>data!U69</f>
        <v>9245439</v>
      </c>
      <c r="I69" s="21">
        <f>data!V69</f>
        <v>1778240.8</v>
      </c>
      <c r="J69" s="21">
        <f>data!W69</f>
        <v>7467198.5</v>
      </c>
      <c r="K69" s="9">
        <f t="shared" si="10"/>
        <v>0.19233708642715613</v>
      </c>
      <c r="L69" s="17"/>
      <c r="M69" s="9">
        <f t="shared" si="11"/>
        <v>1.7813147375668022E-2</v>
      </c>
      <c r="N69" s="9">
        <f t="shared" si="12"/>
        <v>2.173375283106847E-2</v>
      </c>
      <c r="O69" s="9">
        <f t="shared" si="15"/>
        <v>1.5038215687575995E-2</v>
      </c>
      <c r="P69" s="9">
        <f t="shared" si="16"/>
        <v>-1.4765401445223335E-4</v>
      </c>
      <c r="Q69" s="18"/>
      <c r="R69" s="10">
        <f t="shared" si="17"/>
        <v>1.3143751017783714</v>
      </c>
      <c r="S69" s="10">
        <f t="shared" si="13"/>
        <v>3.7224241220865695</v>
      </c>
    </row>
    <row r="70" spans="1:19" x14ac:dyDescent="0.3">
      <c r="A70" s="8">
        <v>2015</v>
      </c>
      <c r="B70" s="10">
        <f>data!Z70</f>
        <v>5.8926299999999996</v>
      </c>
      <c r="C70" s="10">
        <f>data!AC70</f>
        <v>8.9749400000000001</v>
      </c>
      <c r="D70" s="10">
        <f>data!AF70</f>
        <v>1.3633299999999999</v>
      </c>
      <c r="E70" s="19"/>
      <c r="F70" s="10">
        <f t="shared" si="14"/>
        <v>0.5635024285714284</v>
      </c>
      <c r="G70" s="17"/>
      <c r="H70" s="21">
        <f>data!U70</f>
        <v>9481602</v>
      </c>
      <c r="I70" s="21">
        <f>data!V70</f>
        <v>1913431.6</v>
      </c>
      <c r="J70" s="21">
        <f>data!W70</f>
        <v>7568170.5</v>
      </c>
      <c r="K70" s="9">
        <f t="shared" si="10"/>
        <v>0.2018046739359024</v>
      </c>
      <c r="L70" s="17"/>
      <c r="M70" s="9">
        <f t="shared" si="11"/>
        <v>2.4982677955554315E-2</v>
      </c>
      <c r="N70" s="9">
        <f t="shared" si="12"/>
        <v>8.1423051939826224E-3</v>
      </c>
      <c r="O70" s="9">
        <f t="shared" si="15"/>
        <v>4.8050777744062773E-2</v>
      </c>
      <c r="P70" s="9">
        <f t="shared" si="16"/>
        <v>-5.6481484409746582E-3</v>
      </c>
      <c r="Q70" s="18"/>
      <c r="R70" s="10">
        <f t="shared" si="17"/>
        <v>1.3087269533373966</v>
      </c>
      <c r="S70" s="10">
        <f t="shared" si="13"/>
        <v>3.7014585820619876</v>
      </c>
    </row>
    <row r="71" spans="1:19" x14ac:dyDescent="0.3">
      <c r="A71" s="8">
        <v>2016</v>
      </c>
      <c r="B71" s="10">
        <f>data!Z71</f>
        <v>5.9103199999999996</v>
      </c>
      <c r="C71" s="10">
        <f>data!AC71</f>
        <v>9.0388800000000007</v>
      </c>
      <c r="D71" s="10">
        <f>data!AF71</f>
        <v>1.3773299999999999</v>
      </c>
      <c r="E71" s="19"/>
      <c r="F71" s="10">
        <f t="shared" si="14"/>
        <v>0.5635024285714284</v>
      </c>
      <c r="G71" s="17"/>
      <c r="H71" s="21">
        <f>data!U71</f>
        <v>9777438</v>
      </c>
      <c r="I71" s="21">
        <f>data!V71</f>
        <v>1943353.5</v>
      </c>
      <c r="J71" s="21">
        <f>data!W71</f>
        <v>7834084.5</v>
      </c>
      <c r="K71" s="9">
        <f t="shared" si="10"/>
        <v>0.19875896937418575</v>
      </c>
      <c r="L71" s="17"/>
      <c r="M71" s="9">
        <f t="shared" si="11"/>
        <v>2.9975579403296979E-3</v>
      </c>
      <c r="N71" s="9">
        <f t="shared" si="12"/>
        <v>7.0990238080765392E-3</v>
      </c>
      <c r="O71" s="9">
        <f t="shared" si="15"/>
        <v>-1.5207387436864757E-2</v>
      </c>
      <c r="P71" s="9">
        <f t="shared" si="16"/>
        <v>8.4682510414905987E-3</v>
      </c>
      <c r="Q71" s="18"/>
      <c r="R71" s="10">
        <f t="shared" si="17"/>
        <v>1.3171952043788873</v>
      </c>
      <c r="S71" s="10">
        <f t="shared" si="13"/>
        <v>3.7329365561376955</v>
      </c>
    </row>
    <row r="72" spans="1:19" x14ac:dyDescent="0.3">
      <c r="A72" s="8">
        <v>2017</v>
      </c>
      <c r="B72" s="10">
        <f>data!Z72</f>
        <v>5.99038</v>
      </c>
      <c r="C72" s="10">
        <f>data!AC72</f>
        <v>9.0580599999999993</v>
      </c>
      <c r="D72" s="10">
        <f>data!AF72</f>
        <v>1.3913</v>
      </c>
      <c r="E72" s="19"/>
      <c r="F72" s="10">
        <f t="shared" si="14"/>
        <v>0.5635024285714284</v>
      </c>
      <c r="G72" s="17"/>
      <c r="H72" s="21">
        <f>data!U72</f>
        <v>10225408</v>
      </c>
      <c r="I72" s="21">
        <f>data!V72</f>
        <v>2023748.8</v>
      </c>
      <c r="J72" s="21">
        <f>data!W72</f>
        <v>8201659.5</v>
      </c>
      <c r="K72" s="9">
        <f t="shared" si="10"/>
        <v>0.1979137458378189</v>
      </c>
      <c r="L72" s="17"/>
      <c r="M72" s="9">
        <f t="shared" si="11"/>
        <v>1.345487371202842E-2</v>
      </c>
      <c r="N72" s="9">
        <f t="shared" si="12"/>
        <v>2.1196961675828256E-3</v>
      </c>
      <c r="O72" s="9">
        <f t="shared" si="15"/>
        <v>-4.2615727431127145E-3</v>
      </c>
      <c r="P72" s="9">
        <f t="shared" si="16"/>
        <v>1.4931038072989886E-2</v>
      </c>
      <c r="Q72" s="18"/>
      <c r="R72" s="10">
        <f>R71+P72</f>
        <v>1.3321262424518772</v>
      </c>
      <c r="S72" s="10">
        <f>EXP(R72)</f>
        <v>3.7890913554653061</v>
      </c>
    </row>
    <row r="74" spans="1:19" x14ac:dyDescent="0.3">
      <c r="B74" s="10"/>
      <c r="D74" s="10"/>
      <c r="E74" s="10"/>
      <c r="G74" s="10"/>
      <c r="L74" s="10"/>
      <c r="N74" s="6"/>
      <c r="O74" s="6"/>
      <c r="P74" s="10"/>
      <c r="Q74" s="6" t="s">
        <v>98</v>
      </c>
      <c r="S74" s="10">
        <f>LN(S72/S35)</f>
        <v>0.76760318935701588</v>
      </c>
    </row>
    <row r="75" spans="1:19" x14ac:dyDescent="0.3">
      <c r="B75" s="9"/>
      <c r="D75" s="9"/>
      <c r="E75" s="9"/>
      <c r="F75" s="9"/>
      <c r="G75" s="9"/>
      <c r="L75" s="9"/>
      <c r="N75" s="6"/>
      <c r="O75" s="6"/>
      <c r="P75" s="10"/>
      <c r="Q75" s="6" t="s">
        <v>99</v>
      </c>
      <c r="S75" s="10">
        <f>S74/($A$72-$A$35)</f>
        <v>2.0746032144784213E-2</v>
      </c>
    </row>
    <row r="76" spans="1:19" x14ac:dyDescent="0.3">
      <c r="F76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62BE-E023-47ED-A442-03C36F5C7AD4}">
  <sheetPr>
    <tabColor rgb="FFFFFF00"/>
  </sheetPr>
  <dimension ref="A1:S76"/>
  <sheetViews>
    <sheetView workbookViewId="0">
      <pane xSplit="10" ySplit="14" topLeftCell="M64" activePane="bottomRight" state="frozen"/>
      <selection pane="topRight" activeCell="K1" sqref="K1"/>
      <selection pane="bottomLeft" activeCell="A15" sqref="A15"/>
      <selection pane="bottomRight" activeCell="F1" sqref="F1:F2"/>
    </sheetView>
  </sheetViews>
  <sheetFormatPr defaultColWidth="8.77734375" defaultRowHeight="14.4" x14ac:dyDescent="0.3"/>
  <cols>
    <col min="1" max="1" width="8.77734375" style="8"/>
    <col min="2" max="3" width="13.33203125" style="8" customWidth="1"/>
    <col min="4" max="4" width="13.33203125" style="6" customWidth="1"/>
    <col min="5" max="5" width="2.77734375" style="6" customWidth="1"/>
    <col min="6" max="6" width="15.77734375" style="6" bestFit="1" customWidth="1"/>
    <col min="7" max="7" width="2.77734375" style="6" customWidth="1"/>
    <col min="8" max="8" width="17.77734375" style="8" bestFit="1" customWidth="1"/>
    <col min="9" max="10" width="16.6640625" style="8" bestFit="1" customWidth="1"/>
    <col min="11" max="11" width="17.77734375" style="8" bestFit="1" customWidth="1"/>
    <col min="12" max="12" width="2.77734375" style="6" customWidth="1"/>
    <col min="13" max="13" width="12" style="8" bestFit="1" customWidth="1"/>
    <col min="14" max="16" width="11.33203125" style="8" customWidth="1"/>
    <col min="17" max="17" width="8.77734375" style="6"/>
    <col min="18" max="18" width="12.77734375" style="6" bestFit="1" customWidth="1"/>
    <col min="19" max="19" width="10.77734375" style="6" bestFit="1" customWidth="1"/>
    <col min="20" max="16384" width="8.77734375" style="6"/>
  </cols>
  <sheetData>
    <row r="1" spans="1:19" x14ac:dyDescent="0.3">
      <c r="A1" s="8" t="s">
        <v>0</v>
      </c>
      <c r="B1" s="8" t="s">
        <v>26</v>
      </c>
      <c r="C1" s="8" t="s">
        <v>29</v>
      </c>
      <c r="D1" s="8" t="s">
        <v>32</v>
      </c>
      <c r="E1" s="7"/>
      <c r="F1" s="8" t="s">
        <v>100</v>
      </c>
      <c r="G1" s="7"/>
      <c r="H1" s="8" t="s">
        <v>20</v>
      </c>
      <c r="I1" s="8" t="s">
        <v>21</v>
      </c>
      <c r="J1" s="8" t="s">
        <v>22</v>
      </c>
      <c r="K1" s="8" t="s">
        <v>104</v>
      </c>
      <c r="L1" s="7"/>
      <c r="M1" s="8" t="s">
        <v>93</v>
      </c>
      <c r="N1" s="8" t="s">
        <v>94</v>
      </c>
      <c r="O1" s="8" t="s">
        <v>101</v>
      </c>
      <c r="P1" s="8" t="s">
        <v>95</v>
      </c>
      <c r="R1" s="8" t="s">
        <v>96</v>
      </c>
      <c r="S1" s="8" t="s">
        <v>97</v>
      </c>
    </row>
    <row r="2" spans="1:19" x14ac:dyDescent="0.3">
      <c r="A2" s="8">
        <v>1947</v>
      </c>
      <c r="B2" s="10">
        <f>data!AA2</f>
        <v>1</v>
      </c>
      <c r="C2" s="10">
        <f>data!AD2</f>
        <v>1</v>
      </c>
      <c r="D2" s="10">
        <f>data!AG2</f>
        <v>1</v>
      </c>
      <c r="E2" s="19"/>
      <c r="F2" s="10">
        <f>+data!X74</f>
        <v>0.5635024285714284</v>
      </c>
      <c r="G2" s="17"/>
      <c r="H2" s="21">
        <f>data!U2</f>
        <v>128228.3</v>
      </c>
      <c r="I2" s="21">
        <f>data!V2</f>
        <v>62056.7</v>
      </c>
      <c r="J2" s="21">
        <f>data!W2</f>
        <v>66171.600000000006</v>
      </c>
      <c r="K2" s="9">
        <f>J2/H2</f>
        <v>0.5160452099887467</v>
      </c>
      <c r="L2" s="17"/>
      <c r="M2" s="9"/>
      <c r="N2" s="9"/>
      <c r="O2" s="9"/>
      <c r="P2" s="9"/>
      <c r="Q2" s="18"/>
      <c r="R2" s="10">
        <v>0</v>
      </c>
      <c r="S2" s="10">
        <f>EXP(R2)</f>
        <v>1</v>
      </c>
    </row>
    <row r="3" spans="1:19" x14ac:dyDescent="0.3">
      <c r="A3" s="8">
        <v>1948</v>
      </c>
      <c r="B3" s="10">
        <f>data!AA3</f>
        <v>1.0060100000000001</v>
      </c>
      <c r="C3" s="10">
        <f>data!AD3</f>
        <v>1.0219</v>
      </c>
      <c r="D3" s="10">
        <f>data!AG3</f>
        <v>1.0287200000000001</v>
      </c>
      <c r="E3" s="19"/>
      <c r="F3" s="10">
        <f>F2</f>
        <v>0.5635024285714284</v>
      </c>
      <c r="G3" s="17"/>
      <c r="H3" s="21">
        <f>data!U3</f>
        <v>141262.29999999999</v>
      </c>
      <c r="I3" s="21">
        <f>data!V3</f>
        <v>70286.899999999994</v>
      </c>
      <c r="J3" s="21">
        <f>data!W3</f>
        <v>70975.399999999994</v>
      </c>
      <c r="K3" s="9">
        <f t="shared" ref="K3:K66" si="0">J3/H3</f>
        <v>0.50243695593233295</v>
      </c>
      <c r="L3" s="17"/>
      <c r="M3" s="9">
        <f t="shared" ref="M3:M34" si="1">LN(B3/B2)</f>
        <v>5.9920119859953871E-3</v>
      </c>
      <c r="N3" s="9">
        <f t="shared" ref="N3:N34" si="2">LN(C3/C2)</f>
        <v>2.1663639636026355E-2</v>
      </c>
      <c r="O3" s="9">
        <f t="shared" ref="O3:O34" si="3">LN(K3/K2)</f>
        <v>-2.6724206669559519E-2</v>
      </c>
      <c r="P3" s="9">
        <f t="shared" ref="P3:P34" si="4">M3-(1-F3)*N3-F3*O3</f>
        <v>1.159504125650769E-2</v>
      </c>
      <c r="Q3" s="18"/>
      <c r="R3" s="10">
        <f>R2+P3</f>
        <v>1.159504125650769E-2</v>
      </c>
      <c r="S3" s="10">
        <f t="shared" ref="S3:S66" si="5">EXP(R3)</f>
        <v>1.0116625243181232</v>
      </c>
    </row>
    <row r="4" spans="1:19" x14ac:dyDescent="0.3">
      <c r="A4" s="8">
        <v>1949</v>
      </c>
      <c r="B4" s="10">
        <f>data!AA4</f>
        <v>1.0156799999999999</v>
      </c>
      <c r="C4" s="10">
        <f>data!AD4</f>
        <v>1.0503100000000001</v>
      </c>
      <c r="D4" s="10">
        <f>data!AG4</f>
        <v>1.02515</v>
      </c>
      <c r="E4" s="19"/>
      <c r="F4" s="10">
        <f t="shared" ref="F4:F67" si="6">F3</f>
        <v>0.5635024285714284</v>
      </c>
      <c r="G4" s="17"/>
      <c r="H4" s="21">
        <f>data!U4</f>
        <v>144455.79999999999</v>
      </c>
      <c r="I4" s="21">
        <f>data!V4</f>
        <v>68189.2</v>
      </c>
      <c r="J4" s="21">
        <f>data!W4</f>
        <v>76266.5</v>
      </c>
      <c r="K4" s="9">
        <f t="shared" si="0"/>
        <v>0.52795734058445565</v>
      </c>
      <c r="L4" s="17"/>
      <c r="M4" s="9">
        <f t="shared" si="1"/>
        <v>9.5663269298570941E-3</v>
      </c>
      <c r="N4" s="9">
        <f t="shared" si="2"/>
        <v>2.7421719054453623E-2</v>
      </c>
      <c r="O4" s="9">
        <f t="shared" si="3"/>
        <v>4.9545314863416179E-2</v>
      </c>
      <c r="P4" s="9">
        <f t="shared" si="4"/>
        <v>-3.0322092091679603E-2</v>
      </c>
      <c r="Q4" s="18"/>
      <c r="R4" s="10">
        <f t="shared" ref="R4:R67" si="7">R3+P4</f>
        <v>-1.8727050835171913E-2</v>
      </c>
      <c r="S4" s="10">
        <f t="shared" si="5"/>
        <v>0.98144721088314513</v>
      </c>
    </row>
    <row r="5" spans="1:19" x14ac:dyDescent="0.3">
      <c r="A5" s="8">
        <v>1950</v>
      </c>
      <c r="B5" s="10">
        <f>data!AA5</f>
        <v>1.07752</v>
      </c>
      <c r="C5" s="10">
        <f>data!AD5</f>
        <v>1.0881099999999999</v>
      </c>
      <c r="D5" s="10">
        <f>data!AG5</f>
        <v>1.0472900000000001</v>
      </c>
      <c r="E5" s="19"/>
      <c r="F5" s="10">
        <f t="shared" si="6"/>
        <v>0.5635024285714284</v>
      </c>
      <c r="G5" s="17"/>
      <c r="H5" s="21">
        <f>data!U5</f>
        <v>153536.1</v>
      </c>
      <c r="I5" s="21">
        <f>data!V5</f>
        <v>73332.3</v>
      </c>
      <c r="J5" s="21">
        <f>data!W5</f>
        <v>80203.8</v>
      </c>
      <c r="K5" s="9">
        <f t="shared" si="0"/>
        <v>0.52237747344109953</v>
      </c>
      <c r="L5" s="17"/>
      <c r="M5" s="9">
        <f t="shared" si="1"/>
        <v>5.9103765392569924E-2</v>
      </c>
      <c r="N5" s="9">
        <f t="shared" si="2"/>
        <v>3.5356887573889426E-2</v>
      </c>
      <c r="O5" s="9">
        <f t="shared" si="3"/>
        <v>-1.0625030346394344E-2</v>
      </c>
      <c r="P5" s="9">
        <f t="shared" si="4"/>
        <v>4.9657800237132489E-2</v>
      </c>
      <c r="Q5" s="18"/>
      <c r="R5" s="10">
        <f t="shared" si="7"/>
        <v>3.0930749401960576E-2</v>
      </c>
      <c r="S5" s="10">
        <f t="shared" si="5"/>
        <v>1.0314140753717718</v>
      </c>
    </row>
    <row r="6" spans="1:19" x14ac:dyDescent="0.3">
      <c r="A6" s="8">
        <v>1951</v>
      </c>
      <c r="B6" s="10">
        <f>data!AA6</f>
        <v>1.1529199999999999</v>
      </c>
      <c r="C6" s="10">
        <f>data!AD6</f>
        <v>1.1305799999999999</v>
      </c>
      <c r="D6" s="10">
        <f>data!AG6</f>
        <v>1.1203399999999999</v>
      </c>
      <c r="E6" s="19"/>
      <c r="F6" s="10">
        <f t="shared" si="6"/>
        <v>0.5635024285714284</v>
      </c>
      <c r="G6" s="17"/>
      <c r="H6" s="21">
        <f>data!U6</f>
        <v>174406.8</v>
      </c>
      <c r="I6" s="21">
        <f>data!V6</f>
        <v>86367.1</v>
      </c>
      <c r="J6" s="21">
        <f>data!W6</f>
        <v>88039.7</v>
      </c>
      <c r="K6" s="9">
        <f t="shared" si="0"/>
        <v>0.5047951111997927</v>
      </c>
      <c r="L6" s="17"/>
      <c r="M6" s="9">
        <f t="shared" si="1"/>
        <v>6.7635750356212498E-2</v>
      </c>
      <c r="N6" s="9">
        <f t="shared" si="2"/>
        <v>3.8288529115947642E-2</v>
      </c>
      <c r="O6" s="9">
        <f t="shared" si="3"/>
        <v>-3.4237829196084965E-2</v>
      </c>
      <c r="P6" s="9">
        <f t="shared" si="4"/>
        <v>7.0216000284536839E-2</v>
      </c>
      <c r="Q6" s="18"/>
      <c r="R6" s="10">
        <f t="shared" si="7"/>
        <v>0.10114674968649742</v>
      </c>
      <c r="S6" s="10">
        <f t="shared" si="5"/>
        <v>1.1064389994264585</v>
      </c>
    </row>
    <row r="7" spans="1:19" x14ac:dyDescent="0.3">
      <c r="A7" s="8">
        <v>1952</v>
      </c>
      <c r="B7" s="10">
        <f>data!AA7</f>
        <v>1.19085</v>
      </c>
      <c r="C7" s="10">
        <f>data!AD7</f>
        <v>1.177</v>
      </c>
      <c r="D7" s="10">
        <f>data!AG7</f>
        <v>1.1484700000000001</v>
      </c>
      <c r="E7" s="19"/>
      <c r="F7" s="10">
        <f t="shared" si="6"/>
        <v>0.5635024285714284</v>
      </c>
      <c r="G7" s="17"/>
      <c r="H7" s="21">
        <f>data!U7</f>
        <v>184289.9</v>
      </c>
      <c r="I7" s="21">
        <f>data!V7</f>
        <v>90294.399999999994</v>
      </c>
      <c r="J7" s="21">
        <f>data!W7</f>
        <v>93995.5</v>
      </c>
      <c r="K7" s="9">
        <f t="shared" si="0"/>
        <v>0.51004151611130077</v>
      </c>
      <c r="L7" s="17"/>
      <c r="M7" s="9">
        <f t="shared" si="1"/>
        <v>3.2369483192460163E-2</v>
      </c>
      <c r="N7" s="9">
        <f t="shared" si="2"/>
        <v>4.023805289782284E-2</v>
      </c>
      <c r="O7" s="9">
        <f t="shared" si="3"/>
        <v>1.0339499992918477E-2</v>
      </c>
      <c r="P7" s="9">
        <f t="shared" si="4"/>
        <v>8.9793374673222681E-3</v>
      </c>
      <c r="Q7" s="18"/>
      <c r="R7" s="10">
        <f>R6+P7</f>
        <v>0.11012608715381969</v>
      </c>
      <c r="S7" s="10">
        <f t="shared" si="5"/>
        <v>1.1164188276572975</v>
      </c>
    </row>
    <row r="8" spans="1:19" x14ac:dyDescent="0.3">
      <c r="A8" s="8">
        <v>1953</v>
      </c>
      <c r="B8" s="10">
        <f>data!AA8</f>
        <v>1.2333499999999999</v>
      </c>
      <c r="C8" s="10">
        <f>data!AD8</f>
        <v>1.2272700000000001</v>
      </c>
      <c r="D8" s="10">
        <f>data!AG8</f>
        <v>1.1696500000000001</v>
      </c>
      <c r="E8" s="19"/>
      <c r="F8" s="10">
        <f t="shared" si="6"/>
        <v>0.5635024285714284</v>
      </c>
      <c r="G8" s="17"/>
      <c r="H8" s="21">
        <f>data!U8</f>
        <v>202171.1</v>
      </c>
      <c r="I8" s="21">
        <f>data!V8</f>
        <v>100464.4</v>
      </c>
      <c r="J8" s="21">
        <f>data!W8</f>
        <v>101706.7</v>
      </c>
      <c r="K8" s="9">
        <f t="shared" si="0"/>
        <v>0.50307239758798361</v>
      </c>
      <c r="L8" s="17"/>
      <c r="M8" s="9">
        <f t="shared" si="1"/>
        <v>3.5066706547180748E-2</v>
      </c>
      <c r="N8" s="9">
        <f t="shared" si="2"/>
        <v>4.182336214318215E-2</v>
      </c>
      <c r="O8" s="9">
        <f t="shared" si="3"/>
        <v>-1.3758035216008943E-2</v>
      </c>
      <c r="P8" s="9">
        <f t="shared" si="4"/>
        <v>2.4563596799296358E-2</v>
      </c>
      <c r="Q8" s="18"/>
      <c r="R8" s="10">
        <f t="shared" si="7"/>
        <v>0.13468968395311604</v>
      </c>
      <c r="S8" s="10">
        <f t="shared" si="5"/>
        <v>1.1441816713223667</v>
      </c>
    </row>
    <row r="9" spans="1:19" x14ac:dyDescent="0.3">
      <c r="A9" s="8">
        <v>1954</v>
      </c>
      <c r="B9" s="10">
        <f>data!AA9</f>
        <v>1.2526999999999999</v>
      </c>
      <c r="C9" s="10">
        <f>data!AD9</f>
        <v>1.28423</v>
      </c>
      <c r="D9" s="10">
        <f>data!AG9</f>
        <v>1.1657500000000001</v>
      </c>
      <c r="E9" s="19"/>
      <c r="F9" s="10">
        <f t="shared" si="6"/>
        <v>0.5635024285714284</v>
      </c>
      <c r="G9" s="17"/>
      <c r="H9" s="21">
        <f>data!U9</f>
        <v>197065.8</v>
      </c>
      <c r="I9" s="21">
        <f>data!V9</f>
        <v>94278.399999999994</v>
      </c>
      <c r="J9" s="21">
        <f>data!W9</f>
        <v>102787.3</v>
      </c>
      <c r="K9" s="9">
        <f t="shared" si="0"/>
        <v>0.52158872823189006</v>
      </c>
      <c r="L9" s="17"/>
      <c r="M9" s="9">
        <f t="shared" si="1"/>
        <v>1.5567177463733251E-2</v>
      </c>
      <c r="N9" s="9">
        <f t="shared" si="2"/>
        <v>4.5367126530848637E-2</v>
      </c>
      <c r="O9" s="9">
        <f t="shared" si="3"/>
        <v>3.6145309065040113E-2</v>
      </c>
      <c r="P9" s="9">
        <f t="shared" si="4"/>
        <v>-2.4603432529289867E-2</v>
      </c>
      <c r="Q9" s="18"/>
      <c r="R9" s="10">
        <f t="shared" si="7"/>
        <v>0.11008625142382616</v>
      </c>
      <c r="S9" s="10">
        <f t="shared" si="5"/>
        <v>1.1163743551841219</v>
      </c>
    </row>
    <row r="10" spans="1:19" x14ac:dyDescent="0.3">
      <c r="A10" s="8">
        <v>1955</v>
      </c>
      <c r="B10" s="10">
        <f>data!AA10</f>
        <v>1.3262100000000001</v>
      </c>
      <c r="C10" s="10">
        <f>data!AD10</f>
        <v>1.3420799999999999</v>
      </c>
      <c r="D10" s="10">
        <f>data!AG10</f>
        <v>1.1927099999999999</v>
      </c>
      <c r="E10" s="19"/>
      <c r="F10" s="10">
        <f t="shared" si="6"/>
        <v>0.5635024285714284</v>
      </c>
      <c r="G10" s="17"/>
      <c r="H10" s="21">
        <f>data!U10</f>
        <v>222725.8</v>
      </c>
      <c r="I10" s="21">
        <f>data!V10</f>
        <v>105471.1</v>
      </c>
      <c r="J10" s="21">
        <f>data!W10</f>
        <v>117254.6</v>
      </c>
      <c r="K10" s="9">
        <f t="shared" si="0"/>
        <v>0.52645270552401213</v>
      </c>
      <c r="L10" s="17"/>
      <c r="M10" s="9">
        <f t="shared" si="1"/>
        <v>5.7024028397016251E-2</v>
      </c>
      <c r="N10" s="9">
        <f t="shared" si="2"/>
        <v>4.4061332339192669E-2</v>
      </c>
      <c r="O10" s="9">
        <f t="shared" si="3"/>
        <v>9.2820990806229513E-3</v>
      </c>
      <c r="P10" s="9">
        <f t="shared" si="4"/>
        <v>3.2560878462879805E-2</v>
      </c>
      <c r="Q10" s="18"/>
      <c r="R10" s="10">
        <f t="shared" si="7"/>
        <v>0.14264712988670597</v>
      </c>
      <c r="S10" s="10">
        <f t="shared" si="5"/>
        <v>1.1533227567214073</v>
      </c>
    </row>
    <row r="11" spans="1:19" x14ac:dyDescent="0.3">
      <c r="A11" s="8">
        <v>1956</v>
      </c>
      <c r="B11" s="10">
        <f>data!AA11</f>
        <v>1.363</v>
      </c>
      <c r="C11" s="10">
        <f>data!AD11</f>
        <v>1.4044000000000001</v>
      </c>
      <c r="D11" s="10">
        <f>data!AG11</f>
        <v>1.22733</v>
      </c>
      <c r="E11" s="19"/>
      <c r="F11" s="10">
        <f t="shared" si="6"/>
        <v>0.5635024285714284</v>
      </c>
      <c r="G11" s="17"/>
      <c r="H11" s="21">
        <f>data!U11</f>
        <v>236725</v>
      </c>
      <c r="I11" s="21">
        <f>data!V11</f>
        <v>110789.3</v>
      </c>
      <c r="J11" s="21">
        <f>data!W11</f>
        <v>125935.7</v>
      </c>
      <c r="K11" s="9">
        <f t="shared" si="0"/>
        <v>0.53199155137818144</v>
      </c>
      <c r="L11" s="17"/>
      <c r="M11" s="9">
        <f t="shared" si="1"/>
        <v>2.7362902449370018E-2</v>
      </c>
      <c r="N11" s="9">
        <f t="shared" si="2"/>
        <v>4.5389516020776878E-2</v>
      </c>
      <c r="O11" s="9">
        <f t="shared" si="3"/>
        <v>1.0466108872768517E-2</v>
      </c>
      <c r="P11" s="9">
        <f t="shared" si="4"/>
        <v>1.6528111704846339E-3</v>
      </c>
      <c r="Q11" s="18"/>
      <c r="R11" s="10">
        <f t="shared" si="7"/>
        <v>0.1442999410571906</v>
      </c>
      <c r="S11" s="10">
        <f t="shared" si="5"/>
        <v>1.1552305576399169</v>
      </c>
    </row>
    <row r="12" spans="1:19" x14ac:dyDescent="0.3">
      <c r="A12" s="8">
        <v>1957</v>
      </c>
      <c r="B12" s="10">
        <f>data!AA12</f>
        <v>1.4055500000000001</v>
      </c>
      <c r="C12" s="10">
        <f>data!AD12</f>
        <v>1.46516</v>
      </c>
      <c r="D12" s="10">
        <f>data!AG12</f>
        <v>1.24481</v>
      </c>
      <c r="E12" s="19"/>
      <c r="F12" s="10">
        <f t="shared" si="6"/>
        <v>0.5635024285714284</v>
      </c>
      <c r="G12" s="17"/>
      <c r="H12" s="21">
        <f>data!U12</f>
        <v>253734.3</v>
      </c>
      <c r="I12" s="21">
        <f>data!V12</f>
        <v>117129.3</v>
      </c>
      <c r="J12" s="21">
        <f>data!W12</f>
        <v>136605</v>
      </c>
      <c r="K12" s="9">
        <f t="shared" si="0"/>
        <v>0.53837813807593216</v>
      </c>
      <c r="L12" s="17"/>
      <c r="M12" s="9">
        <f t="shared" si="1"/>
        <v>3.0740532545933071E-2</v>
      </c>
      <c r="N12" s="9">
        <f t="shared" si="2"/>
        <v>4.2354286210429602E-2</v>
      </c>
      <c r="O12" s="9">
        <f t="shared" si="3"/>
        <v>1.1933563801897955E-2</v>
      </c>
      <c r="P12" s="9">
        <f t="shared" si="4"/>
        <v>5.5283972916083243E-3</v>
      </c>
      <c r="Q12" s="18"/>
      <c r="R12" s="10">
        <f t="shared" si="7"/>
        <v>0.14982833834879891</v>
      </c>
      <c r="S12" s="10">
        <f t="shared" si="5"/>
        <v>1.1616348174610795</v>
      </c>
    </row>
    <row r="13" spans="1:19" x14ac:dyDescent="0.3">
      <c r="A13" s="8">
        <v>1958</v>
      </c>
      <c r="B13" s="10">
        <f>data!AA13</f>
        <v>1.4282699999999999</v>
      </c>
      <c r="C13" s="10">
        <f>data!AD13</f>
        <v>1.5260400000000001</v>
      </c>
      <c r="D13" s="10">
        <f>data!AG13</f>
        <v>1.23952</v>
      </c>
      <c r="E13" s="19"/>
      <c r="F13" s="10">
        <f t="shared" si="6"/>
        <v>0.5635024285714284</v>
      </c>
      <c r="G13" s="17"/>
      <c r="H13" s="21">
        <f>data!U13</f>
        <v>259092.8</v>
      </c>
      <c r="I13" s="21">
        <f>data!V13</f>
        <v>114589.2</v>
      </c>
      <c r="J13" s="21">
        <f>data!W13</f>
        <v>144503.6</v>
      </c>
      <c r="K13" s="9">
        <f t="shared" si="0"/>
        <v>0.55772912253833384</v>
      </c>
      <c r="L13" s="17"/>
      <c r="M13" s="9">
        <f t="shared" si="1"/>
        <v>1.6035236414772041E-2</v>
      </c>
      <c r="N13" s="9">
        <f t="shared" si="2"/>
        <v>4.0711693315948996E-2</v>
      </c>
      <c r="O13" s="9">
        <f t="shared" si="3"/>
        <v>3.5312228886430021E-2</v>
      </c>
      <c r="P13" s="9">
        <f t="shared" si="4"/>
        <v>-2.163384558215797E-2</v>
      </c>
      <c r="Q13" s="18"/>
      <c r="R13" s="10">
        <f t="shared" si="7"/>
        <v>0.12819449276664094</v>
      </c>
      <c r="S13" s="10">
        <f t="shared" si="5"/>
        <v>1.1367740755328257</v>
      </c>
    </row>
    <row r="14" spans="1:19" x14ac:dyDescent="0.3">
      <c r="A14" s="8">
        <v>1959</v>
      </c>
      <c r="B14" s="10">
        <f>data!AA14</f>
        <v>1.5122800000000001</v>
      </c>
      <c r="C14" s="10">
        <f>data!AD14</f>
        <v>1.59466</v>
      </c>
      <c r="D14" s="10">
        <f>data!AG14</f>
        <v>1.26179</v>
      </c>
      <c r="E14" s="19"/>
      <c r="F14" s="10">
        <f t="shared" si="6"/>
        <v>0.5635024285714284</v>
      </c>
      <c r="G14" s="17"/>
      <c r="H14" s="21">
        <f>data!U14</f>
        <v>275964.79999999999</v>
      </c>
      <c r="I14" s="21">
        <f>data!V14</f>
        <v>124572.5</v>
      </c>
      <c r="J14" s="21">
        <f>data!W14</f>
        <v>151392.29999999999</v>
      </c>
      <c r="K14" s="9">
        <f t="shared" si="0"/>
        <v>0.54859279154442886</v>
      </c>
      <c r="L14" s="17"/>
      <c r="M14" s="9">
        <f t="shared" si="1"/>
        <v>5.7154524122766247E-2</v>
      </c>
      <c r="N14" s="9">
        <f t="shared" si="2"/>
        <v>4.3984402530956743E-2</v>
      </c>
      <c r="O14" s="9">
        <f t="shared" si="3"/>
        <v>-1.6516962348054907E-2</v>
      </c>
      <c r="P14" s="9">
        <f t="shared" si="4"/>
        <v>4.7262787633018694E-2</v>
      </c>
      <c r="Q14" s="18"/>
      <c r="R14" s="10">
        <f t="shared" si="7"/>
        <v>0.17545728039965963</v>
      </c>
      <c r="S14" s="10">
        <f t="shared" si="5"/>
        <v>1.1917910747253571</v>
      </c>
    </row>
    <row r="15" spans="1:19" x14ac:dyDescent="0.3">
      <c r="A15" s="8">
        <v>1960</v>
      </c>
      <c r="B15" s="10">
        <f>data!AA15</f>
        <v>1.5580000000000001</v>
      </c>
      <c r="C15" s="10">
        <f>data!AD15</f>
        <v>1.67204</v>
      </c>
      <c r="D15" s="10">
        <f>data!AG15</f>
        <v>1.2936799999999999</v>
      </c>
      <c r="E15" s="19"/>
      <c r="F15" s="10">
        <f t="shared" si="6"/>
        <v>0.5635024285714284</v>
      </c>
      <c r="G15" s="17"/>
      <c r="H15" s="21">
        <f>data!U15</f>
        <v>297053.8</v>
      </c>
      <c r="I15" s="21">
        <f>data!V15</f>
        <v>130059.3</v>
      </c>
      <c r="J15" s="21">
        <f>data!W15</f>
        <v>166994.5</v>
      </c>
      <c r="K15" s="9">
        <f t="shared" si="0"/>
        <v>0.56216920975257678</v>
      </c>
      <c r="L15" s="17"/>
      <c r="M15" s="9">
        <f t="shared" si="1"/>
        <v>2.9784501650689882E-2</v>
      </c>
      <c r="N15" s="9">
        <f t="shared" si="2"/>
        <v>4.738389045184941E-2</v>
      </c>
      <c r="O15" s="9">
        <f t="shared" si="3"/>
        <v>2.4446450857970394E-2</v>
      </c>
      <c r="P15" s="9">
        <f t="shared" si="4"/>
        <v>-4.6740858847982639E-3</v>
      </c>
      <c r="Q15" s="18"/>
      <c r="R15" s="10">
        <f t="shared" si="7"/>
        <v>0.17078319451486138</v>
      </c>
      <c r="S15" s="10">
        <f t="shared" si="5"/>
        <v>1.186233539202515</v>
      </c>
    </row>
    <row r="16" spans="1:19" x14ac:dyDescent="0.3">
      <c r="A16" s="8">
        <v>1961</v>
      </c>
      <c r="B16" s="10">
        <f>data!AA16</f>
        <v>1.6108800000000001</v>
      </c>
      <c r="C16" s="10">
        <f>data!AD16</f>
        <v>1.7488999999999999</v>
      </c>
      <c r="D16" s="10">
        <f>data!AG16</f>
        <v>1.30955</v>
      </c>
      <c r="E16" s="19"/>
      <c r="F16" s="10">
        <f t="shared" si="6"/>
        <v>0.5635024285714284</v>
      </c>
      <c r="G16" s="17"/>
      <c r="H16" s="21">
        <f>data!U16</f>
        <v>301880.8</v>
      </c>
      <c r="I16" s="21">
        <f>data!V16</f>
        <v>129954.7</v>
      </c>
      <c r="J16" s="21">
        <f>data!W16</f>
        <v>171926.1</v>
      </c>
      <c r="K16" s="9">
        <f t="shared" si="0"/>
        <v>0.56951651115274637</v>
      </c>
      <c r="L16" s="17"/>
      <c r="M16" s="9">
        <f t="shared" si="1"/>
        <v>3.3377666076202836E-2</v>
      </c>
      <c r="N16" s="9">
        <f t="shared" si="2"/>
        <v>4.4942581051683611E-2</v>
      </c>
      <c r="O16" s="9">
        <f t="shared" si="3"/>
        <v>1.2984885287804048E-2</v>
      </c>
      <c r="P16" s="9">
        <f t="shared" si="4"/>
        <v>6.4433241990122072E-3</v>
      </c>
      <c r="Q16" s="18"/>
      <c r="R16" s="10">
        <f t="shared" si="7"/>
        <v>0.17722651871387357</v>
      </c>
      <c r="S16" s="10">
        <f t="shared" si="5"/>
        <v>1.193901503532546</v>
      </c>
    </row>
    <row r="17" spans="1:19" x14ac:dyDescent="0.3">
      <c r="A17" s="8">
        <v>1962</v>
      </c>
      <c r="B17" s="10">
        <f>data!AA17</f>
        <v>1.6984399999999999</v>
      </c>
      <c r="C17" s="10">
        <f>data!AD17</f>
        <v>1.83612</v>
      </c>
      <c r="D17" s="10">
        <f>data!AG17</f>
        <v>1.3367800000000001</v>
      </c>
      <c r="E17" s="19"/>
      <c r="F17" s="10">
        <f t="shared" si="6"/>
        <v>0.5635024285714284</v>
      </c>
      <c r="G17" s="17"/>
      <c r="H17" s="21">
        <f>data!U17</f>
        <v>314614.2</v>
      </c>
      <c r="I17" s="21">
        <f>data!V17</f>
        <v>138979.1</v>
      </c>
      <c r="J17" s="21">
        <f>data!W17</f>
        <v>175635.1</v>
      </c>
      <c r="K17" s="9">
        <f t="shared" si="0"/>
        <v>0.55825547607196369</v>
      </c>
      <c r="L17" s="17"/>
      <c r="M17" s="9">
        <f t="shared" si="1"/>
        <v>5.2929569182771564E-2</v>
      </c>
      <c r="N17" s="9">
        <f t="shared" si="2"/>
        <v>4.8667630666576936E-2</v>
      </c>
      <c r="O17" s="9">
        <f t="shared" si="3"/>
        <v>-1.9971074807186791E-2</v>
      </c>
      <c r="P17" s="9">
        <f t="shared" si="4"/>
        <v>4.2940015744659485E-2</v>
      </c>
      <c r="Q17" s="18"/>
      <c r="R17" s="10">
        <f t="shared" si="7"/>
        <v>0.22016653445853307</v>
      </c>
      <c r="S17" s="10">
        <f t="shared" si="5"/>
        <v>1.2462842625811343</v>
      </c>
    </row>
    <row r="18" spans="1:19" x14ac:dyDescent="0.3">
      <c r="A18" s="8">
        <v>1963</v>
      </c>
      <c r="B18" s="10">
        <f>data!AA18</f>
        <v>1.7706</v>
      </c>
      <c r="C18" s="10">
        <f>data!AD18</f>
        <v>1.92832</v>
      </c>
      <c r="D18" s="10">
        <f>data!AG18</f>
        <v>1.3520399999999999</v>
      </c>
      <c r="E18" s="19"/>
      <c r="F18" s="10">
        <f t="shared" si="6"/>
        <v>0.5635024285714284</v>
      </c>
      <c r="G18" s="17"/>
      <c r="H18" s="21">
        <f>data!U18</f>
        <v>337196.3</v>
      </c>
      <c r="I18" s="21">
        <f>data!V18</f>
        <v>147642.20000000001</v>
      </c>
      <c r="J18" s="21">
        <f>data!W18</f>
        <v>189554.1</v>
      </c>
      <c r="K18" s="9">
        <f t="shared" si="0"/>
        <v>0.56214762736127299</v>
      </c>
      <c r="L18" s="17"/>
      <c r="M18" s="9">
        <f t="shared" si="1"/>
        <v>4.160828948728075E-2</v>
      </c>
      <c r="N18" s="9">
        <f t="shared" si="2"/>
        <v>4.899450798015928E-2</v>
      </c>
      <c r="O18" s="9">
        <f t="shared" si="3"/>
        <v>6.9477975099527705E-3</v>
      </c>
      <c r="P18" s="9">
        <f t="shared" si="4"/>
        <v>1.6307204970522543E-2</v>
      </c>
      <c r="Q18" s="18"/>
      <c r="R18" s="10">
        <f t="shared" si="7"/>
        <v>0.23647373942905561</v>
      </c>
      <c r="S18" s="10">
        <f t="shared" si="5"/>
        <v>1.2667742889672493</v>
      </c>
    </row>
    <row r="19" spans="1:19" x14ac:dyDescent="0.3">
      <c r="A19" s="8">
        <v>1964</v>
      </c>
      <c r="B19" s="10">
        <f>data!AA19</f>
        <v>1.8694599999999999</v>
      </c>
      <c r="C19" s="10">
        <f>data!AD19</f>
        <v>2.0263100000000001</v>
      </c>
      <c r="D19" s="10">
        <f>data!AG19</f>
        <v>1.38527</v>
      </c>
      <c r="E19" s="19"/>
      <c r="F19" s="10">
        <f t="shared" si="6"/>
        <v>0.5635024285714284</v>
      </c>
      <c r="G19" s="17"/>
      <c r="H19" s="21">
        <f>data!U19</f>
        <v>365229.3</v>
      </c>
      <c r="I19" s="21">
        <f>data!V19</f>
        <v>157930.6</v>
      </c>
      <c r="J19" s="21">
        <f>data!W19</f>
        <v>207298.7</v>
      </c>
      <c r="K19" s="9">
        <f t="shared" si="0"/>
        <v>0.56758507600567654</v>
      </c>
      <c r="L19" s="17"/>
      <c r="M19" s="9">
        <f t="shared" si="1"/>
        <v>5.4331146916107395E-2</v>
      </c>
      <c r="N19" s="9">
        <f t="shared" si="2"/>
        <v>4.9567247460614687E-2</v>
      </c>
      <c r="O19" s="9">
        <f t="shared" si="3"/>
        <v>9.6261542497419143E-3</v>
      </c>
      <c r="P19" s="9">
        <f t="shared" si="4"/>
        <v>2.7270802479617308E-2</v>
      </c>
      <c r="Q19" s="18"/>
      <c r="R19" s="10">
        <f t="shared" si="7"/>
        <v>0.26374454190867291</v>
      </c>
      <c r="S19" s="10">
        <f t="shared" si="5"/>
        <v>1.3017955996012718</v>
      </c>
    </row>
    <row r="20" spans="1:19" x14ac:dyDescent="0.3">
      <c r="A20" s="8">
        <v>1965</v>
      </c>
      <c r="B20" s="10">
        <f>data!AA20</f>
        <v>1.96804</v>
      </c>
      <c r="C20" s="10">
        <f>data!AD20</f>
        <v>2.1412200000000001</v>
      </c>
      <c r="D20" s="10">
        <f>data!AG20</f>
        <v>1.42388</v>
      </c>
      <c r="E20" s="19"/>
      <c r="F20" s="10">
        <f t="shared" si="6"/>
        <v>0.5635024285714284</v>
      </c>
      <c r="G20" s="17"/>
      <c r="H20" s="21">
        <f>data!U20</f>
        <v>390363.7</v>
      </c>
      <c r="I20" s="21">
        <f>data!V20</f>
        <v>170224.2</v>
      </c>
      <c r="J20" s="21">
        <f>data!W20</f>
        <v>220139.5</v>
      </c>
      <c r="K20" s="9">
        <f t="shared" si="0"/>
        <v>0.56393435147786541</v>
      </c>
      <c r="L20" s="17"/>
      <c r="M20" s="9">
        <f t="shared" si="1"/>
        <v>5.1388504515840684E-2</v>
      </c>
      <c r="N20" s="9">
        <f t="shared" si="2"/>
        <v>5.5159355069804253E-2</v>
      </c>
      <c r="O20" s="9">
        <f t="shared" si="3"/>
        <v>-6.4528051516328112E-3</v>
      </c>
      <c r="P20" s="9">
        <f t="shared" si="4"/>
        <v>3.0947751360348174E-2</v>
      </c>
      <c r="Q20" s="18"/>
      <c r="R20" s="10">
        <f t="shared" si="7"/>
        <v>0.29469229326902108</v>
      </c>
      <c r="S20" s="10">
        <f t="shared" si="5"/>
        <v>1.3427131332445392</v>
      </c>
    </row>
    <row r="21" spans="1:19" x14ac:dyDescent="0.3">
      <c r="A21" s="8">
        <v>1966</v>
      </c>
      <c r="B21" s="10">
        <f>data!AA21</f>
        <v>2.0876800000000002</v>
      </c>
      <c r="C21" s="10">
        <f>data!AD21</f>
        <v>2.2600099999999999</v>
      </c>
      <c r="D21" s="10">
        <f>data!AG21</f>
        <v>1.4795400000000001</v>
      </c>
      <c r="E21" s="19"/>
      <c r="F21" s="10">
        <f t="shared" si="6"/>
        <v>0.5635024285714284</v>
      </c>
      <c r="G21" s="17"/>
      <c r="H21" s="21">
        <f>data!U21</f>
        <v>436812.79999999999</v>
      </c>
      <c r="I21" s="21">
        <f>data!V21</f>
        <v>189492.3</v>
      </c>
      <c r="J21" s="21">
        <f>data!W21</f>
        <v>247320.5</v>
      </c>
      <c r="K21" s="9">
        <f t="shared" si="0"/>
        <v>0.56619334415108713</v>
      </c>
      <c r="L21" s="17"/>
      <c r="M21" s="9">
        <f t="shared" si="1"/>
        <v>5.9015277943643141E-2</v>
      </c>
      <c r="N21" s="9">
        <f t="shared" si="2"/>
        <v>5.3993478003002443E-2</v>
      </c>
      <c r="O21" s="9">
        <f t="shared" si="3"/>
        <v>3.9977706777595016E-3</v>
      </c>
      <c r="P21" s="9">
        <f t="shared" si="4"/>
        <v>3.3194502436561441E-2</v>
      </c>
      <c r="Q21" s="18"/>
      <c r="R21" s="10">
        <f t="shared" si="7"/>
        <v>0.32788679570558255</v>
      </c>
      <c r="S21" s="10">
        <f t="shared" si="5"/>
        <v>1.3880318322309189</v>
      </c>
    </row>
    <row r="22" spans="1:19" x14ac:dyDescent="0.3">
      <c r="A22" s="8">
        <v>1967</v>
      </c>
      <c r="B22" s="10">
        <f>data!AA22</f>
        <v>2.1673100000000001</v>
      </c>
      <c r="C22" s="10">
        <f>data!AD22</f>
        <v>2.3938999999999999</v>
      </c>
      <c r="D22" s="10">
        <f>data!AG22</f>
        <v>1.5121</v>
      </c>
      <c r="E22" s="19"/>
      <c r="F22" s="10">
        <f t="shared" si="6"/>
        <v>0.5635024285714284</v>
      </c>
      <c r="G22" s="17"/>
      <c r="H22" s="21">
        <f>data!U22</f>
        <v>470879.1</v>
      </c>
      <c r="I22" s="21">
        <f>data!V22</f>
        <v>198423.5</v>
      </c>
      <c r="J22" s="21">
        <f>data!W22</f>
        <v>272455.59999999998</v>
      </c>
      <c r="K22" s="9">
        <f t="shared" si="0"/>
        <v>0.57861051807141151</v>
      </c>
      <c r="L22" s="17"/>
      <c r="M22" s="9">
        <f t="shared" si="1"/>
        <v>3.7433365667069382E-2</v>
      </c>
      <c r="N22" s="9">
        <f t="shared" si="2"/>
        <v>5.755459711577595E-2</v>
      </c>
      <c r="O22" s="9">
        <f t="shared" si="3"/>
        <v>2.1693953549647444E-2</v>
      </c>
      <c r="P22" s="9">
        <f t="shared" si="4"/>
        <v>8.6328290941213928E-5</v>
      </c>
      <c r="Q22" s="18"/>
      <c r="R22" s="10">
        <f t="shared" si="7"/>
        <v>0.32797312399652379</v>
      </c>
      <c r="S22" s="10">
        <f t="shared" si="5"/>
        <v>1.3881516638191211</v>
      </c>
    </row>
    <row r="23" spans="1:19" x14ac:dyDescent="0.3">
      <c r="A23" s="8">
        <v>1968</v>
      </c>
      <c r="B23" s="10">
        <f>data!AA23</f>
        <v>2.2726999999999999</v>
      </c>
      <c r="C23" s="10">
        <f>data!AD23</f>
        <v>2.5279699999999998</v>
      </c>
      <c r="D23" s="10">
        <f>data!AG23</f>
        <v>1.5562</v>
      </c>
      <c r="E23" s="19"/>
      <c r="F23" s="10">
        <f t="shared" si="6"/>
        <v>0.5635024285714284</v>
      </c>
      <c r="G23" s="17"/>
      <c r="H23" s="21">
        <f>data!U23</f>
        <v>511077.4</v>
      </c>
      <c r="I23" s="21">
        <f>data!V23</f>
        <v>212542.5</v>
      </c>
      <c r="J23" s="21">
        <f>data!W23</f>
        <v>298534.90000000002</v>
      </c>
      <c r="K23" s="9">
        <f t="shared" si="0"/>
        <v>0.58412854882645959</v>
      </c>
      <c r="L23" s="17"/>
      <c r="M23" s="9">
        <f t="shared" si="1"/>
        <v>4.748178476035763E-2</v>
      </c>
      <c r="N23" s="9">
        <f t="shared" si="2"/>
        <v>5.449277395664659E-2</v>
      </c>
      <c r="O23" s="9">
        <f t="shared" si="3"/>
        <v>9.4915055975818754E-3</v>
      </c>
      <c r="P23" s="9">
        <f t="shared" si="4"/>
        <v>1.8347334812838588E-2</v>
      </c>
      <c r="Q23" s="18"/>
      <c r="R23" s="10">
        <f t="shared" si="7"/>
        <v>0.34632045880936235</v>
      </c>
      <c r="S23" s="10">
        <f t="shared" si="5"/>
        <v>1.4138556257187216</v>
      </c>
    </row>
    <row r="24" spans="1:19" x14ac:dyDescent="0.3">
      <c r="A24" s="8">
        <v>1969</v>
      </c>
      <c r="B24" s="10">
        <f>data!AA24</f>
        <v>2.34979</v>
      </c>
      <c r="C24" s="10">
        <f>data!AD24</f>
        <v>2.66805</v>
      </c>
      <c r="D24" s="10">
        <f>data!AG24</f>
        <v>1.59785</v>
      </c>
      <c r="E24" s="19"/>
      <c r="F24" s="10">
        <f t="shared" si="6"/>
        <v>0.5635024285714284</v>
      </c>
      <c r="G24" s="17"/>
      <c r="H24" s="21">
        <f>data!U24</f>
        <v>563248.69999999995</v>
      </c>
      <c r="I24" s="21">
        <f>data!V24</f>
        <v>234578.6</v>
      </c>
      <c r="J24" s="21">
        <f>data!W24</f>
        <v>328670.09999999998</v>
      </c>
      <c r="K24" s="9">
        <f t="shared" si="0"/>
        <v>0.58352571430701927</v>
      </c>
      <c r="L24" s="17"/>
      <c r="M24" s="9">
        <f t="shared" si="1"/>
        <v>3.3357410463115501E-2</v>
      </c>
      <c r="N24" s="9">
        <f t="shared" si="2"/>
        <v>5.393125938187026E-2</v>
      </c>
      <c r="O24" s="9">
        <f t="shared" si="3"/>
        <v>-1.0325566257653855E-3</v>
      </c>
      <c r="P24" s="9">
        <f t="shared" si="4"/>
        <v>1.0398394885101078E-2</v>
      </c>
      <c r="Q24" s="18"/>
      <c r="R24" s="10">
        <f t="shared" si="7"/>
        <v>0.35671885369446343</v>
      </c>
      <c r="S24" s="10">
        <f t="shared" si="5"/>
        <v>1.4286341581711122</v>
      </c>
    </row>
    <row r="25" spans="1:19" x14ac:dyDescent="0.3">
      <c r="A25" s="8">
        <v>1970</v>
      </c>
      <c r="B25" s="10">
        <f>data!AA25</f>
        <v>2.3940700000000001</v>
      </c>
      <c r="C25" s="10">
        <f>data!AD25</f>
        <v>2.7946200000000001</v>
      </c>
      <c r="D25" s="10">
        <f>data!AG25</f>
        <v>1.5930500000000001</v>
      </c>
      <c r="E25" s="19"/>
      <c r="F25" s="10">
        <f t="shared" si="6"/>
        <v>0.5635024285714284</v>
      </c>
      <c r="G25" s="17"/>
      <c r="H25" s="21">
        <f>data!U25</f>
        <v>610929.80000000005</v>
      </c>
      <c r="I25" s="21">
        <f>data!V25</f>
        <v>237534.9</v>
      </c>
      <c r="J25" s="21">
        <f>data!W25</f>
        <v>373394.9</v>
      </c>
      <c r="K25" s="9">
        <f t="shared" si="0"/>
        <v>0.61119117122785627</v>
      </c>
      <c r="L25" s="17"/>
      <c r="M25" s="9">
        <f t="shared" si="1"/>
        <v>1.8668884013444641E-2</v>
      </c>
      <c r="N25" s="9">
        <f t="shared" si="2"/>
        <v>4.6348271790414175E-2</v>
      </c>
      <c r="O25" s="9">
        <f t="shared" si="3"/>
        <v>4.6321272933771175E-2</v>
      </c>
      <c r="P25" s="9">
        <f t="shared" si="4"/>
        <v>-2.7664173855682553E-2</v>
      </c>
      <c r="Q25" s="18"/>
      <c r="R25" s="10">
        <f t="shared" si="7"/>
        <v>0.32905467983878089</v>
      </c>
      <c r="S25" s="10">
        <f t="shared" si="5"/>
        <v>1.3896538395581044</v>
      </c>
    </row>
    <row r="26" spans="1:19" x14ac:dyDescent="0.3">
      <c r="A26" s="8">
        <v>1971</v>
      </c>
      <c r="B26" s="10">
        <f>data!AA26</f>
        <v>2.4738099999999998</v>
      </c>
      <c r="C26" s="10">
        <f>data!AD26</f>
        <v>2.9310200000000002</v>
      </c>
      <c r="D26" s="10">
        <f>data!AG26</f>
        <v>1.6077600000000001</v>
      </c>
      <c r="E26" s="19"/>
      <c r="F26" s="10">
        <f t="shared" si="6"/>
        <v>0.5635024285714284</v>
      </c>
      <c r="G26" s="17"/>
      <c r="H26" s="21">
        <f>data!U26</f>
        <v>642072.1</v>
      </c>
      <c r="I26" s="21">
        <f>data!V26</f>
        <v>247686</v>
      </c>
      <c r="J26" s="21">
        <f>data!W26</f>
        <v>394386.2</v>
      </c>
      <c r="K26" s="9">
        <f t="shared" si="0"/>
        <v>0.61423974036560691</v>
      </c>
      <c r="L26" s="17"/>
      <c r="M26" s="9">
        <f t="shared" si="1"/>
        <v>3.276462584018669E-2</v>
      </c>
      <c r="N26" s="9">
        <f t="shared" si="2"/>
        <v>4.7654345017291128E-2</v>
      </c>
      <c r="O26" s="9">
        <f t="shared" si="3"/>
        <v>4.9755157929229051E-3</v>
      </c>
      <c r="P26" s="9">
        <f t="shared" si="4"/>
        <v>9.1599047394123091E-3</v>
      </c>
      <c r="Q26" s="18"/>
      <c r="R26" s="10">
        <f t="shared" si="7"/>
        <v>0.3382145845781932</v>
      </c>
      <c r="S26" s="10">
        <f t="shared" si="5"/>
        <v>1.4024414134179808</v>
      </c>
    </row>
    <row r="27" spans="1:19" x14ac:dyDescent="0.3">
      <c r="A27" s="8">
        <v>1972</v>
      </c>
      <c r="B27" s="10">
        <f>data!AA27</f>
        <v>2.5881500000000002</v>
      </c>
      <c r="C27" s="10">
        <f>data!AD27</f>
        <v>3.0582799999999999</v>
      </c>
      <c r="D27" s="10">
        <f>data!AG27</f>
        <v>1.6358900000000001</v>
      </c>
      <c r="E27" s="19"/>
      <c r="F27" s="10">
        <f t="shared" si="6"/>
        <v>0.5635024285714284</v>
      </c>
      <c r="G27" s="17"/>
      <c r="H27" s="21">
        <f>data!U27</f>
        <v>709898.8</v>
      </c>
      <c r="I27" s="21">
        <f>data!V27</f>
        <v>274307.3</v>
      </c>
      <c r="J27" s="21">
        <f>data!W27</f>
        <v>435591.4</v>
      </c>
      <c r="K27" s="9">
        <f t="shared" si="0"/>
        <v>0.61359647318744581</v>
      </c>
      <c r="L27" s="17"/>
      <c r="M27" s="9">
        <f t="shared" si="1"/>
        <v>4.5183862459001405E-2</v>
      </c>
      <c r="N27" s="9">
        <f t="shared" si="2"/>
        <v>4.2502181113206181E-2</v>
      </c>
      <c r="O27" s="9">
        <f t="shared" si="3"/>
        <v>-1.0478062626172338E-3</v>
      </c>
      <c r="P27" s="9">
        <f t="shared" si="4"/>
        <v>2.7222204996326767E-2</v>
      </c>
      <c r="Q27" s="18"/>
      <c r="R27" s="10">
        <f t="shared" si="7"/>
        <v>0.36543678957451997</v>
      </c>
      <c r="S27" s="10">
        <f t="shared" si="5"/>
        <v>1.4411433470842638</v>
      </c>
    </row>
    <row r="28" spans="1:19" x14ac:dyDescent="0.3">
      <c r="A28" s="8">
        <v>1973</v>
      </c>
      <c r="B28" s="10">
        <f>data!AA28</f>
        <v>2.7119499999999999</v>
      </c>
      <c r="C28" s="10">
        <f>data!AD28</f>
        <v>3.1947000000000001</v>
      </c>
      <c r="D28" s="10">
        <f>data!AG28</f>
        <v>1.6910000000000001</v>
      </c>
      <c r="E28" s="19"/>
      <c r="F28" s="10">
        <f t="shared" si="6"/>
        <v>0.5635024285714284</v>
      </c>
      <c r="G28" s="17"/>
      <c r="H28" s="21">
        <f>data!U28</f>
        <v>795746.8</v>
      </c>
      <c r="I28" s="21">
        <f>data!V28</f>
        <v>314278.90000000002</v>
      </c>
      <c r="J28" s="21">
        <f>data!W28</f>
        <v>481467.9</v>
      </c>
      <c r="K28" s="9">
        <f t="shared" si="0"/>
        <v>0.60505163200153611</v>
      </c>
      <c r="L28" s="17"/>
      <c r="M28" s="9">
        <f t="shared" si="1"/>
        <v>4.6724598556444563E-2</v>
      </c>
      <c r="N28" s="9">
        <f t="shared" si="2"/>
        <v>4.3640520278940366E-2</v>
      </c>
      <c r="O28" s="9">
        <f t="shared" si="3"/>
        <v>-1.4023705756978287E-2</v>
      </c>
      <c r="P28" s="9">
        <f t="shared" si="4"/>
        <v>3.5578009690436146E-2</v>
      </c>
      <c r="Q28" s="18"/>
      <c r="R28" s="10">
        <f t="shared" si="7"/>
        <v>0.40101479926495609</v>
      </c>
      <c r="S28" s="10">
        <f t="shared" si="5"/>
        <v>1.4933393686614127</v>
      </c>
    </row>
    <row r="29" spans="1:19" x14ac:dyDescent="0.3">
      <c r="A29" s="8">
        <v>1974</v>
      </c>
      <c r="B29" s="10">
        <f>data!AA29</f>
        <v>2.7677299999999998</v>
      </c>
      <c r="C29" s="10">
        <f>data!AD29</f>
        <v>3.33338</v>
      </c>
      <c r="D29" s="10">
        <f>data!AG29</f>
        <v>1.7033199999999999</v>
      </c>
      <c r="E29" s="19"/>
      <c r="F29" s="10">
        <f t="shared" si="6"/>
        <v>0.5635024285714284</v>
      </c>
      <c r="G29" s="17"/>
      <c r="H29" s="21">
        <f>data!U29</f>
        <v>839624.3</v>
      </c>
      <c r="I29" s="21">
        <f>data!V29</f>
        <v>328322.8</v>
      </c>
      <c r="J29" s="21">
        <f>data!W29</f>
        <v>511301.5</v>
      </c>
      <c r="K29" s="9">
        <f t="shared" si="0"/>
        <v>0.6089646285844752</v>
      </c>
      <c r="L29" s="17"/>
      <c r="M29" s="9">
        <f t="shared" si="1"/>
        <v>2.0359556315137584E-2</v>
      </c>
      <c r="N29" s="9">
        <f t="shared" si="2"/>
        <v>4.2493617520626206E-2</v>
      </c>
      <c r="O29" s="9">
        <f t="shared" si="3"/>
        <v>6.4463883403387528E-3</v>
      </c>
      <c r="P29" s="9">
        <f t="shared" si="4"/>
        <v>-1.821360019125781E-3</v>
      </c>
      <c r="Q29" s="18"/>
      <c r="R29" s="10">
        <f t="shared" si="7"/>
        <v>0.39919343924583028</v>
      </c>
      <c r="S29" s="10">
        <f t="shared" si="5"/>
        <v>1.4906219355036239</v>
      </c>
    </row>
    <row r="30" spans="1:19" x14ac:dyDescent="0.3">
      <c r="A30" s="8">
        <v>1975</v>
      </c>
      <c r="B30" s="10">
        <f>data!AA30</f>
        <v>2.8210099999999998</v>
      </c>
      <c r="C30" s="10">
        <f>data!AD30</f>
        <v>3.4348800000000002</v>
      </c>
      <c r="D30" s="10">
        <f>data!AG30</f>
        <v>1.7119200000000001</v>
      </c>
      <c r="E30" s="19"/>
      <c r="F30" s="10">
        <f t="shared" si="6"/>
        <v>0.5635024285714284</v>
      </c>
      <c r="G30" s="17"/>
      <c r="H30" s="21">
        <f>data!U30</f>
        <v>911870.1</v>
      </c>
      <c r="I30" s="21">
        <f>data!V30</f>
        <v>342504.9</v>
      </c>
      <c r="J30" s="21">
        <f>data!W30</f>
        <v>569365.19999999995</v>
      </c>
      <c r="K30" s="9">
        <f t="shared" si="0"/>
        <v>0.62439288227566625</v>
      </c>
      <c r="L30" s="17"/>
      <c r="M30" s="9">
        <f t="shared" si="1"/>
        <v>1.9067487210671089E-2</v>
      </c>
      <c r="N30" s="9">
        <f t="shared" si="2"/>
        <v>2.9995186338335495E-2</v>
      </c>
      <c r="O30" s="9">
        <f t="shared" si="3"/>
        <v>2.5019604392995057E-2</v>
      </c>
      <c r="P30" s="9">
        <f t="shared" si="4"/>
        <v>-8.1239466179089167E-3</v>
      </c>
      <c r="Q30" s="18"/>
      <c r="R30" s="10">
        <f t="shared" si="7"/>
        <v>0.39106949262792134</v>
      </c>
      <c r="S30" s="10">
        <f t="shared" si="5"/>
        <v>1.4785612589505044</v>
      </c>
    </row>
    <row r="31" spans="1:19" x14ac:dyDescent="0.3">
      <c r="A31" s="8">
        <v>1976</v>
      </c>
      <c r="B31" s="10">
        <f>data!AA31</f>
        <v>2.9364699999999999</v>
      </c>
      <c r="C31" s="10">
        <f>data!AD31</f>
        <v>3.5218799999999999</v>
      </c>
      <c r="D31" s="10">
        <f>data!AG31</f>
        <v>1.75197</v>
      </c>
      <c r="E31" s="19"/>
      <c r="F31" s="10">
        <f t="shared" si="6"/>
        <v>0.5635024285714284</v>
      </c>
      <c r="G31" s="17"/>
      <c r="H31" s="21">
        <f>data!U31</f>
        <v>1030431.8</v>
      </c>
      <c r="I31" s="21">
        <f>data!V31</f>
        <v>388488.6</v>
      </c>
      <c r="J31" s="21">
        <f>data!W31</f>
        <v>641943.19999999995</v>
      </c>
      <c r="K31" s="9">
        <f t="shared" si="0"/>
        <v>0.62298465555896076</v>
      </c>
      <c r="L31" s="17"/>
      <c r="M31" s="9">
        <f t="shared" si="1"/>
        <v>4.0113202828592452E-2</v>
      </c>
      <c r="N31" s="9">
        <f t="shared" si="2"/>
        <v>2.5012947377038131E-2</v>
      </c>
      <c r="O31" s="9">
        <f t="shared" si="3"/>
        <v>-2.2579007113199402E-3</v>
      </c>
      <c r="P31" s="9">
        <f t="shared" si="4"/>
        <v>3.0467444578546589E-2</v>
      </c>
      <c r="Q31" s="18"/>
      <c r="R31" s="10">
        <f t="shared" si="7"/>
        <v>0.42153693720646795</v>
      </c>
      <c r="S31" s="10">
        <f t="shared" si="5"/>
        <v>1.5243025134520616</v>
      </c>
    </row>
    <row r="32" spans="1:19" x14ac:dyDescent="0.3">
      <c r="A32" s="8">
        <v>1977</v>
      </c>
      <c r="B32" s="10">
        <f>data!AA32</f>
        <v>3.05335</v>
      </c>
      <c r="C32" s="10">
        <f>data!AD32</f>
        <v>3.6268899999999999</v>
      </c>
      <c r="D32" s="10">
        <f>data!AG32</f>
        <v>1.8134600000000001</v>
      </c>
      <c r="E32" s="19"/>
      <c r="F32" s="10">
        <f t="shared" si="6"/>
        <v>0.5635024285714284</v>
      </c>
      <c r="G32" s="17"/>
      <c r="H32" s="21">
        <f>data!U32</f>
        <v>1149704</v>
      </c>
      <c r="I32" s="21">
        <f>data!V32</f>
        <v>437670.40000000002</v>
      </c>
      <c r="J32" s="21">
        <f>data!W32</f>
        <v>712033.6</v>
      </c>
      <c r="K32" s="9">
        <f t="shared" si="0"/>
        <v>0.61931905951444888</v>
      </c>
      <c r="L32" s="17"/>
      <c r="M32" s="9">
        <f t="shared" si="1"/>
        <v>3.903116883389228E-2</v>
      </c>
      <c r="N32" s="9">
        <f t="shared" si="2"/>
        <v>2.9380593802704726E-2</v>
      </c>
      <c r="O32" s="9">
        <f t="shared" si="3"/>
        <v>-5.9013051929533746E-3</v>
      </c>
      <c r="P32" s="9">
        <f t="shared" si="4"/>
        <v>2.9532010799852734E-2</v>
      </c>
      <c r="Q32" s="18"/>
      <c r="R32" s="10">
        <f t="shared" si="7"/>
        <v>0.45106894800632069</v>
      </c>
      <c r="S32" s="10">
        <f t="shared" si="5"/>
        <v>1.5699895260093211</v>
      </c>
    </row>
    <row r="33" spans="1:19" x14ac:dyDescent="0.3">
      <c r="A33" s="8">
        <v>1978</v>
      </c>
      <c r="B33" s="10">
        <f>data!AA33</f>
        <v>3.2233800000000001</v>
      </c>
      <c r="C33" s="10">
        <f>data!AD33</f>
        <v>3.80511</v>
      </c>
      <c r="D33" s="10">
        <f>data!AG33</f>
        <v>1.89218</v>
      </c>
      <c r="E33" s="19"/>
      <c r="F33" s="10">
        <f t="shared" si="6"/>
        <v>0.5635024285714284</v>
      </c>
      <c r="G33" s="17"/>
      <c r="H33" s="21">
        <f>data!U33</f>
        <v>1298036.3</v>
      </c>
      <c r="I33" s="21">
        <f>data!V33</f>
        <v>495253.8</v>
      </c>
      <c r="J33" s="21">
        <f>data!W33</f>
        <v>802782.6</v>
      </c>
      <c r="K33" s="9">
        <f t="shared" si="0"/>
        <v>0.61845928345763512</v>
      </c>
      <c r="L33" s="17"/>
      <c r="M33" s="9">
        <f t="shared" si="1"/>
        <v>5.4191149940263479E-2</v>
      </c>
      <c r="N33" s="9">
        <f t="shared" si="2"/>
        <v>4.7969368479596694E-2</v>
      </c>
      <c r="O33" s="9">
        <f t="shared" si="3"/>
        <v>-1.3892248155288711E-3</v>
      </c>
      <c r="P33" s="9">
        <f t="shared" si="4"/>
        <v>3.4035468653339465E-2</v>
      </c>
      <c r="Q33" s="18"/>
      <c r="R33" s="10">
        <f t="shared" si="7"/>
        <v>0.48510441665966014</v>
      </c>
      <c r="S33" s="10">
        <f t="shared" si="5"/>
        <v>1.6243446086277238</v>
      </c>
    </row>
    <row r="34" spans="1:19" x14ac:dyDescent="0.3">
      <c r="A34" s="8">
        <v>1979</v>
      </c>
      <c r="B34" s="10">
        <f>data!AA34</f>
        <v>3.36117</v>
      </c>
      <c r="C34" s="10">
        <f>data!AD34</f>
        <v>3.99681</v>
      </c>
      <c r="D34" s="10">
        <f>data!AG34</f>
        <v>1.95574</v>
      </c>
      <c r="E34" s="19"/>
      <c r="F34" s="10">
        <f t="shared" si="6"/>
        <v>0.5635024285714284</v>
      </c>
      <c r="G34" s="17"/>
      <c r="H34" s="21">
        <f>data!U34</f>
        <v>1481996.5</v>
      </c>
      <c r="I34" s="21">
        <f>data!V34</f>
        <v>559856.9</v>
      </c>
      <c r="J34" s="21">
        <f>data!W34</f>
        <v>922139.5</v>
      </c>
      <c r="K34" s="9">
        <f t="shared" si="0"/>
        <v>0.6222278527648345</v>
      </c>
      <c r="L34" s="17"/>
      <c r="M34" s="9">
        <f t="shared" si="1"/>
        <v>4.1858629189724259E-2</v>
      </c>
      <c r="N34" s="9">
        <f t="shared" si="2"/>
        <v>4.9151642721981116E-2</v>
      </c>
      <c r="O34" s="9">
        <f t="shared" si="3"/>
        <v>6.0749898781814297E-3</v>
      </c>
      <c r="P34" s="9">
        <f t="shared" si="4"/>
        <v>1.6980784959952595E-2</v>
      </c>
      <c r="Q34" s="18"/>
      <c r="R34" s="10">
        <f t="shared" si="7"/>
        <v>0.50208520161961279</v>
      </c>
      <c r="S34" s="10">
        <f t="shared" si="5"/>
        <v>1.6521627738310434</v>
      </c>
    </row>
    <row r="35" spans="1:19" x14ac:dyDescent="0.3">
      <c r="A35" s="8">
        <v>1980</v>
      </c>
      <c r="B35" s="10">
        <f>data!AA35</f>
        <v>3.4101599999999999</v>
      </c>
      <c r="C35" s="10">
        <f>data!AD35</f>
        <v>4.1866899999999996</v>
      </c>
      <c r="D35" s="10">
        <f>data!AG35</f>
        <v>1.9764999999999999</v>
      </c>
      <c r="E35" s="19"/>
      <c r="F35" s="10">
        <f t="shared" si="6"/>
        <v>0.5635024285714284</v>
      </c>
      <c r="G35" s="17"/>
      <c r="H35" s="21">
        <f>data!U35</f>
        <v>1646776.1</v>
      </c>
      <c r="I35" s="21">
        <f>data!V35</f>
        <v>590986.6</v>
      </c>
      <c r="J35" s="21">
        <f>data!W35</f>
        <v>1055789.5</v>
      </c>
      <c r="K35" s="9">
        <f t="shared" si="0"/>
        <v>0.64112510498543185</v>
      </c>
      <c r="L35" s="17"/>
      <c r="M35" s="9">
        <f t="shared" ref="M35:M66" si="8">LN(B35/B34)</f>
        <v>1.4470083367489372E-2</v>
      </c>
      <c r="N35" s="9">
        <f t="shared" ref="N35:N66" si="9">LN(C35/C34)</f>
        <v>4.6413902657227127E-2</v>
      </c>
      <c r="O35" s="9">
        <f t="shared" ref="O35:O66" si="10">LN(K35/K34)</f>
        <v>2.9918261028891648E-2</v>
      </c>
      <c r="P35" s="9">
        <f t="shared" ref="P35:P66" si="11">M35-(1-F35)*N35-F35*O35</f>
        <v>-2.2648485171326761E-2</v>
      </c>
      <c r="Q35" s="18"/>
      <c r="R35" s="10">
        <f t="shared" si="7"/>
        <v>0.479436716448286</v>
      </c>
      <c r="S35" s="10">
        <f t="shared" si="5"/>
        <v>1.6151643503964586</v>
      </c>
    </row>
    <row r="36" spans="1:19" x14ac:dyDescent="0.3">
      <c r="A36" s="8">
        <v>1981</v>
      </c>
      <c r="B36" s="10">
        <f>data!AA36</f>
        <v>3.5070000000000001</v>
      </c>
      <c r="C36" s="10">
        <f>data!AD36</f>
        <v>4.3535399999999997</v>
      </c>
      <c r="D36" s="10">
        <f>data!AG36</f>
        <v>2.0159500000000001</v>
      </c>
      <c r="E36" s="19"/>
      <c r="F36" s="10">
        <f t="shared" si="6"/>
        <v>0.5635024285714284</v>
      </c>
      <c r="G36" s="17"/>
      <c r="H36" s="21">
        <f>data!U36</f>
        <v>1814615.1</v>
      </c>
      <c r="I36" s="21">
        <f>data!V36</f>
        <v>648645.4</v>
      </c>
      <c r="J36" s="21">
        <f>data!W36</f>
        <v>1165969.8</v>
      </c>
      <c r="K36" s="9">
        <f t="shared" si="0"/>
        <v>0.64254386508742267</v>
      </c>
      <c r="L36" s="17"/>
      <c r="M36" s="9">
        <f t="shared" si="8"/>
        <v>2.8001760142248696E-2</v>
      </c>
      <c r="N36" s="9">
        <f t="shared" si="9"/>
        <v>3.9078861649151149E-2</v>
      </c>
      <c r="O36" s="9">
        <f t="shared" si="10"/>
        <v>2.2104774872090871E-3</v>
      </c>
      <c r="P36" s="9">
        <f t="shared" si="11"/>
        <v>9.698322505856288E-3</v>
      </c>
      <c r="Q36" s="18"/>
      <c r="R36" s="10">
        <f t="shared" si="7"/>
        <v>0.48913503895414229</v>
      </c>
      <c r="S36" s="10">
        <f t="shared" si="5"/>
        <v>1.6309049404494829</v>
      </c>
    </row>
    <row r="37" spans="1:19" x14ac:dyDescent="0.3">
      <c r="A37" s="8">
        <v>1982</v>
      </c>
      <c r="B37" s="10">
        <f>data!AA37</f>
        <v>3.49451</v>
      </c>
      <c r="C37" s="10">
        <f>data!AD37</f>
        <v>4.5141</v>
      </c>
      <c r="D37" s="10">
        <f>data!AG37</f>
        <v>2.0306299999999999</v>
      </c>
      <c r="E37" s="19"/>
      <c r="F37" s="10">
        <f t="shared" si="6"/>
        <v>0.5635024285714284</v>
      </c>
      <c r="G37" s="17"/>
      <c r="H37" s="21">
        <f>data!U37</f>
        <v>1911405.8</v>
      </c>
      <c r="I37" s="21">
        <f>data!V37</f>
        <v>653979.5</v>
      </c>
      <c r="J37" s="21">
        <f>data!W37</f>
        <v>1257426.3</v>
      </c>
      <c r="K37" s="9">
        <f t="shared" si="0"/>
        <v>0.65785418250797401</v>
      </c>
      <c r="L37" s="17"/>
      <c r="M37" s="9">
        <f t="shared" si="8"/>
        <v>-3.567805587369318E-3</v>
      </c>
      <c r="N37" s="9">
        <f t="shared" si="9"/>
        <v>3.6216524196833848E-2</v>
      </c>
      <c r="O37" s="9">
        <f t="shared" si="10"/>
        <v>2.3548212687569722E-2</v>
      </c>
      <c r="P37" s="9">
        <f t="shared" si="11"/>
        <v>-3.2645705482833451E-2</v>
      </c>
      <c r="Q37" s="18"/>
      <c r="R37" s="10">
        <f t="shared" si="7"/>
        <v>0.45648933347130882</v>
      </c>
      <c r="S37" s="10">
        <f t="shared" si="5"/>
        <v>1.5785225797443432</v>
      </c>
    </row>
    <row r="38" spans="1:19" x14ac:dyDescent="0.3">
      <c r="A38" s="8">
        <v>1983</v>
      </c>
      <c r="B38" s="10">
        <f>data!AA38</f>
        <v>3.6693500000000001</v>
      </c>
      <c r="C38" s="10">
        <f>data!AD38</f>
        <v>4.6771200000000004</v>
      </c>
      <c r="D38" s="10">
        <f>data!AG38</f>
        <v>2.0667399999999998</v>
      </c>
      <c r="E38" s="19"/>
      <c r="F38" s="10">
        <f t="shared" si="6"/>
        <v>0.5635024285714284</v>
      </c>
      <c r="G38" s="17"/>
      <c r="H38" s="21">
        <f>data!U38</f>
        <v>2042380.5</v>
      </c>
      <c r="I38" s="21">
        <f>data!V38</f>
        <v>670899.4</v>
      </c>
      <c r="J38" s="21">
        <f>data!W38</f>
        <v>1371481.1</v>
      </c>
      <c r="K38" s="9">
        <f t="shared" si="0"/>
        <v>0.67151106270354621</v>
      </c>
      <c r="L38" s="17"/>
      <c r="M38" s="9">
        <f t="shared" si="8"/>
        <v>4.8821369093053624E-2</v>
      </c>
      <c r="N38" s="9">
        <f t="shared" si="9"/>
        <v>3.5476704436535916E-2</v>
      </c>
      <c r="O38" s="9">
        <f t="shared" si="10"/>
        <v>2.0547190805862241E-2</v>
      </c>
      <c r="P38" s="9">
        <f t="shared" si="11"/>
        <v>2.1757481844792564E-2</v>
      </c>
      <c r="Q38" s="18"/>
      <c r="R38" s="10">
        <f t="shared" si="7"/>
        <v>0.47824681531610136</v>
      </c>
      <c r="S38" s="10">
        <f t="shared" si="5"/>
        <v>1.6132436074809684</v>
      </c>
    </row>
    <row r="39" spans="1:19" x14ac:dyDescent="0.3">
      <c r="A39" s="8">
        <v>1984</v>
      </c>
      <c r="B39" s="10">
        <f>data!AA39</f>
        <v>3.8820999999999999</v>
      </c>
      <c r="C39" s="10">
        <f>data!AD39</f>
        <v>4.9088900000000004</v>
      </c>
      <c r="D39" s="10">
        <f>data!AG39</f>
        <v>2.1653199999999999</v>
      </c>
      <c r="E39" s="19"/>
      <c r="F39" s="10">
        <f t="shared" si="6"/>
        <v>0.5635024285714284</v>
      </c>
      <c r="G39" s="17"/>
      <c r="H39" s="21">
        <f>data!U39</f>
        <v>2272605.2999999998</v>
      </c>
      <c r="I39" s="21">
        <f>data!V39</f>
        <v>760622.4</v>
      </c>
      <c r="J39" s="21">
        <f>data!W39</f>
        <v>1511982.9</v>
      </c>
      <c r="K39" s="9">
        <f t="shared" si="0"/>
        <v>0.66530818175949868</v>
      </c>
      <c r="L39" s="17"/>
      <c r="M39" s="9">
        <f t="shared" si="8"/>
        <v>5.6361709668880253E-2</v>
      </c>
      <c r="N39" s="9">
        <f t="shared" si="9"/>
        <v>4.8365311115148628E-2</v>
      </c>
      <c r="O39" s="9">
        <f t="shared" si="10"/>
        <v>-9.2801259198883948E-3</v>
      </c>
      <c r="P39" s="9">
        <f t="shared" si="11"/>
        <v>4.0479742319036352E-2</v>
      </c>
      <c r="Q39" s="18"/>
      <c r="R39" s="10">
        <f t="shared" si="7"/>
        <v>0.51872655763513775</v>
      </c>
      <c r="S39" s="10">
        <f t="shared" si="5"/>
        <v>1.6798870476868109</v>
      </c>
    </row>
    <row r="40" spans="1:19" x14ac:dyDescent="0.3">
      <c r="A40" s="8">
        <v>1985</v>
      </c>
      <c r="B40" s="10">
        <f>data!AA40</f>
        <v>4.0423200000000001</v>
      </c>
      <c r="C40" s="10">
        <f>data!AD40</f>
        <v>5.1692400000000003</v>
      </c>
      <c r="D40" s="10">
        <f>data!AG40</f>
        <v>2.2215199999999999</v>
      </c>
      <c r="E40" s="19"/>
      <c r="F40" s="10">
        <f t="shared" si="6"/>
        <v>0.5635024285714284</v>
      </c>
      <c r="G40" s="17"/>
      <c r="H40" s="21">
        <f>data!U40</f>
        <v>2468433.2999999998</v>
      </c>
      <c r="I40" s="21">
        <f>data!V40</f>
        <v>806297.59999999998</v>
      </c>
      <c r="J40" s="21">
        <f>data!W40</f>
        <v>1662135.6</v>
      </c>
      <c r="K40" s="9">
        <f t="shared" si="0"/>
        <v>0.67335649701371325</v>
      </c>
      <c r="L40" s="17"/>
      <c r="M40" s="9">
        <f t="shared" si="8"/>
        <v>4.0442540243497541E-2</v>
      </c>
      <c r="N40" s="9">
        <f t="shared" si="9"/>
        <v>5.1677828777769073E-2</v>
      </c>
      <c r="O40" s="9">
        <f t="shared" si="10"/>
        <v>1.2024538118873229E-2</v>
      </c>
      <c r="P40" s="9">
        <f t="shared" si="11"/>
        <v>1.1109437052865014E-2</v>
      </c>
      <c r="Q40" s="18"/>
      <c r="R40" s="10">
        <f t="shared" si="7"/>
        <v>0.5298359946880028</v>
      </c>
      <c r="S40" s="10">
        <f t="shared" si="5"/>
        <v>1.6986536975426862</v>
      </c>
    </row>
    <row r="41" spans="1:19" x14ac:dyDescent="0.3">
      <c r="A41" s="8">
        <v>1986</v>
      </c>
      <c r="B41" s="10">
        <f>data!AA41</f>
        <v>4.2105399999999999</v>
      </c>
      <c r="C41" s="10">
        <f>data!AD41</f>
        <v>5.4448600000000003</v>
      </c>
      <c r="D41" s="10">
        <f>data!AG41</f>
        <v>2.2674500000000002</v>
      </c>
      <c r="E41" s="19"/>
      <c r="F41" s="10">
        <f t="shared" si="6"/>
        <v>0.5635024285714284</v>
      </c>
      <c r="G41" s="17"/>
      <c r="H41" s="21">
        <f>data!U41</f>
        <v>2613823</v>
      </c>
      <c r="I41" s="21">
        <f>data!V41</f>
        <v>832855.6</v>
      </c>
      <c r="J41" s="21">
        <f>data!W41</f>
        <v>1780967.3</v>
      </c>
      <c r="K41" s="9">
        <f t="shared" si="0"/>
        <v>0.68136492027195417</v>
      </c>
      <c r="L41" s="17"/>
      <c r="M41" s="9">
        <f t="shared" si="8"/>
        <v>4.0772120926056601E-2</v>
      </c>
      <c r="N41" s="9">
        <f t="shared" si="9"/>
        <v>5.1946368612039537E-2</v>
      </c>
      <c r="O41" s="9">
        <f t="shared" si="10"/>
        <v>1.1823119417362277E-2</v>
      </c>
      <c r="P41" s="9">
        <f t="shared" si="11"/>
        <v>1.143530067739431E-2</v>
      </c>
      <c r="Q41" s="18"/>
      <c r="R41" s="10">
        <f t="shared" si="7"/>
        <v>0.54127129536539709</v>
      </c>
      <c r="S41" s="10">
        <f t="shared" si="5"/>
        <v>1.7181898010417656</v>
      </c>
    </row>
    <row r="42" spans="1:19" x14ac:dyDescent="0.3">
      <c r="A42" s="8">
        <v>1987</v>
      </c>
      <c r="B42" s="10">
        <f>data!AA42</f>
        <v>4.3061100000000003</v>
      </c>
      <c r="C42" s="10">
        <f>data!AD42</f>
        <v>5.7438900000000004</v>
      </c>
      <c r="D42" s="10">
        <f>data!AG42</f>
        <v>2.36591</v>
      </c>
      <c r="E42" s="19"/>
      <c r="F42" s="10">
        <f t="shared" si="6"/>
        <v>0.5635024285714284</v>
      </c>
      <c r="G42" s="17"/>
      <c r="H42" s="21">
        <f>data!U42</f>
        <v>2806064.5</v>
      </c>
      <c r="I42" s="21">
        <f>data!V42</f>
        <v>864301.3</v>
      </c>
      <c r="J42" s="21">
        <f>data!W42</f>
        <v>1941763</v>
      </c>
      <c r="K42" s="9">
        <f t="shared" si="0"/>
        <v>0.69198801381792896</v>
      </c>
      <c r="L42" s="17"/>
      <c r="M42" s="9">
        <f t="shared" si="8"/>
        <v>2.2444038863840526E-2</v>
      </c>
      <c r="N42" s="9">
        <f t="shared" si="9"/>
        <v>5.3464636752426124E-2</v>
      </c>
      <c r="O42" s="9">
        <f t="shared" si="10"/>
        <v>1.5470612337001539E-2</v>
      </c>
      <c r="P42" s="9">
        <f t="shared" si="11"/>
        <v>-9.6108728592917015E-3</v>
      </c>
      <c r="Q42" s="18"/>
      <c r="R42" s="10">
        <f t="shared" si="7"/>
        <v>0.53166042250610535</v>
      </c>
      <c r="S42" s="10">
        <f t="shared" si="5"/>
        <v>1.7017555973375442</v>
      </c>
    </row>
    <row r="43" spans="1:19" x14ac:dyDescent="0.3">
      <c r="A43" s="8">
        <v>1988</v>
      </c>
      <c r="B43" s="10">
        <f>data!AA43</f>
        <v>4.48325</v>
      </c>
      <c r="C43" s="10">
        <f>data!AD43</f>
        <v>6.0273099999999999</v>
      </c>
      <c r="D43" s="10">
        <f>data!AG43</f>
        <v>2.4168099999999999</v>
      </c>
      <c r="E43" s="19"/>
      <c r="F43" s="10">
        <f t="shared" si="6"/>
        <v>0.5635024285714284</v>
      </c>
      <c r="G43" s="17"/>
      <c r="H43" s="21">
        <f>data!U43</f>
        <v>3071243.3</v>
      </c>
      <c r="I43" s="21">
        <f>data!V43</f>
        <v>933561.6</v>
      </c>
      <c r="J43" s="21">
        <f>data!W43</f>
        <v>2137681.5</v>
      </c>
      <c r="K43" s="9">
        <f t="shared" si="0"/>
        <v>0.69603131083753611</v>
      </c>
      <c r="L43" s="17"/>
      <c r="M43" s="9">
        <f t="shared" si="8"/>
        <v>4.031328548039622E-2</v>
      </c>
      <c r="N43" s="9">
        <f t="shared" si="9"/>
        <v>4.8164127241667458E-2</v>
      </c>
      <c r="O43" s="9">
        <f t="shared" si="10"/>
        <v>5.8260117627816589E-3</v>
      </c>
      <c r="P43" s="9">
        <f t="shared" si="11"/>
        <v>1.6006789132218494E-2</v>
      </c>
      <c r="Q43" s="18"/>
      <c r="R43" s="10">
        <f t="shared" si="7"/>
        <v>0.54766721163832388</v>
      </c>
      <c r="S43" s="10">
        <f t="shared" si="5"/>
        <v>1.7292144178305278</v>
      </c>
    </row>
    <row r="44" spans="1:19" x14ac:dyDescent="0.3">
      <c r="A44" s="8">
        <v>1989</v>
      </c>
      <c r="B44" s="10">
        <f>data!AA44</f>
        <v>4.6776999999999997</v>
      </c>
      <c r="C44" s="10">
        <f>data!AD44</f>
        <v>6.2785500000000001</v>
      </c>
      <c r="D44" s="10">
        <f>data!AG44</f>
        <v>2.5043700000000002</v>
      </c>
      <c r="E44" s="19"/>
      <c r="F44" s="10">
        <f t="shared" si="6"/>
        <v>0.5635024285714284</v>
      </c>
      <c r="G44" s="17"/>
      <c r="H44" s="21">
        <f>data!U44</f>
        <v>3220815.3</v>
      </c>
      <c r="I44" s="21">
        <f>data!V44</f>
        <v>975114.6</v>
      </c>
      <c r="J44" s="21">
        <f>data!W44</f>
        <v>2245700.5</v>
      </c>
      <c r="K44" s="9">
        <f t="shared" si="0"/>
        <v>0.69724597371355013</v>
      </c>
      <c r="L44" s="17"/>
      <c r="M44" s="9">
        <f t="shared" si="8"/>
        <v>4.2458306289103596E-2</v>
      </c>
      <c r="N44" s="9">
        <f t="shared" si="9"/>
        <v>4.0838253714373635E-2</v>
      </c>
      <c r="O44" s="9">
        <f t="shared" si="10"/>
        <v>1.7436058094297793E-3</v>
      </c>
      <c r="P44" s="9">
        <f t="shared" si="11"/>
        <v>2.3649981613310729E-2</v>
      </c>
      <c r="Q44" s="18"/>
      <c r="R44" s="10">
        <f t="shared" si="7"/>
        <v>0.57131719325163466</v>
      </c>
      <c r="S44" s="10">
        <f t="shared" si="5"/>
        <v>1.7705977355046589</v>
      </c>
    </row>
    <row r="45" spans="1:19" x14ac:dyDescent="0.3">
      <c r="A45" s="8">
        <v>1990</v>
      </c>
      <c r="B45" s="10">
        <f>data!AA45</f>
        <v>4.7953599999999996</v>
      </c>
      <c r="C45" s="10">
        <f>data!AD45</f>
        <v>6.5381299999999998</v>
      </c>
      <c r="D45" s="10">
        <f>data!AG45</f>
        <v>2.5562299999999998</v>
      </c>
      <c r="E45" s="19"/>
      <c r="F45" s="10">
        <f t="shared" si="6"/>
        <v>0.5635024285714284</v>
      </c>
      <c r="G45" s="17"/>
      <c r="H45" s="21">
        <f>data!U45</f>
        <v>3418432.3</v>
      </c>
      <c r="I45" s="21">
        <f>data!V45</f>
        <v>990332.9</v>
      </c>
      <c r="J45" s="21">
        <f>data!W45</f>
        <v>2428099.5</v>
      </c>
      <c r="K45" s="9">
        <f t="shared" si="0"/>
        <v>0.71029620800154503</v>
      </c>
      <c r="L45" s="17"/>
      <c r="M45" s="9">
        <f t="shared" si="8"/>
        <v>2.4842247588139011E-2</v>
      </c>
      <c r="N45" s="9">
        <f t="shared" si="9"/>
        <v>4.0512129760074775E-2</v>
      </c>
      <c r="O45" s="9">
        <f t="shared" si="10"/>
        <v>1.8543825434848182E-2</v>
      </c>
      <c r="P45" s="9">
        <f t="shared" si="11"/>
        <v>-3.2906893330743644E-3</v>
      </c>
      <c r="Q45" s="18"/>
      <c r="R45" s="10">
        <f t="shared" si="7"/>
        <v>0.56802650391856024</v>
      </c>
      <c r="S45" s="10">
        <f t="shared" si="5"/>
        <v>1.7647808244958723</v>
      </c>
    </row>
    <row r="46" spans="1:19" x14ac:dyDescent="0.3">
      <c r="A46" s="8">
        <v>1991</v>
      </c>
      <c r="B46" s="10">
        <f>data!AA46</f>
        <v>4.8310399999999998</v>
      </c>
      <c r="C46" s="10">
        <f>data!AD46</f>
        <v>6.7529599999999999</v>
      </c>
      <c r="D46" s="10">
        <f>data!AG46</f>
        <v>2.5460600000000002</v>
      </c>
      <c r="E46" s="19"/>
      <c r="F46" s="10">
        <f t="shared" si="6"/>
        <v>0.5635024285714284</v>
      </c>
      <c r="G46" s="17"/>
      <c r="H46" s="21">
        <f>data!U46</f>
        <v>3577624.5</v>
      </c>
      <c r="I46" s="21">
        <f>data!V46</f>
        <v>998328.8</v>
      </c>
      <c r="J46" s="21">
        <f>data!W46</f>
        <v>2579295.7999999998</v>
      </c>
      <c r="K46" s="9">
        <f t="shared" si="0"/>
        <v>0.72095207308648512</v>
      </c>
      <c r="L46" s="17"/>
      <c r="M46" s="9">
        <f t="shared" si="8"/>
        <v>7.412981673595118E-3</v>
      </c>
      <c r="N46" s="9">
        <f t="shared" si="9"/>
        <v>3.232973542097102E-2</v>
      </c>
      <c r="O46" s="9">
        <f t="shared" si="10"/>
        <v>1.4890584838893108E-2</v>
      </c>
      <c r="P46" s="9">
        <f t="shared" si="11"/>
        <v>-1.5089750042152161E-2</v>
      </c>
      <c r="Q46" s="18"/>
      <c r="R46" s="10">
        <f t="shared" si="7"/>
        <v>0.55293675387640806</v>
      </c>
      <c r="S46" s="10">
        <f t="shared" si="5"/>
        <v>1.7383506369490018</v>
      </c>
    </row>
    <row r="47" spans="1:19" x14ac:dyDescent="0.3">
      <c r="A47" s="8">
        <v>1992</v>
      </c>
      <c r="B47" s="10">
        <f>data!AA47</f>
        <v>4.9996499999999999</v>
      </c>
      <c r="C47" s="10">
        <f>data!AD47</f>
        <v>6.9660799999999998</v>
      </c>
      <c r="D47" s="10">
        <f>data!AG47</f>
        <v>2.55823</v>
      </c>
      <c r="E47" s="19"/>
      <c r="F47" s="10">
        <f t="shared" si="6"/>
        <v>0.5635024285714284</v>
      </c>
      <c r="G47" s="17"/>
      <c r="H47" s="21">
        <f>data!U47</f>
        <v>3740753.8</v>
      </c>
      <c r="I47" s="21">
        <f>data!V47</f>
        <v>1033005.1</v>
      </c>
      <c r="J47" s="21">
        <f>data!W47</f>
        <v>2707748.8</v>
      </c>
      <c r="K47" s="9">
        <f t="shared" si="0"/>
        <v>0.72385111257522483</v>
      </c>
      <c r="L47" s="17"/>
      <c r="M47" s="9">
        <f t="shared" si="8"/>
        <v>3.4306144586751922E-2</v>
      </c>
      <c r="N47" s="9">
        <f t="shared" si="9"/>
        <v>3.1071728948623385E-2</v>
      </c>
      <c r="O47" s="9">
        <f t="shared" si="10"/>
        <v>4.013063382173508E-3</v>
      </c>
      <c r="P47" s="9">
        <f t="shared" si="11"/>
        <v>1.8482039398725128E-2</v>
      </c>
      <c r="Q47" s="18"/>
      <c r="R47" s="10">
        <f t="shared" si="7"/>
        <v>0.57141879327513323</v>
      </c>
      <c r="S47" s="10">
        <f t="shared" si="5"/>
        <v>1.770777637415057</v>
      </c>
    </row>
    <row r="48" spans="1:19" x14ac:dyDescent="0.3">
      <c r="A48" s="8">
        <v>1993</v>
      </c>
      <c r="B48" s="10">
        <f>data!AA48</f>
        <v>5.1351699999999996</v>
      </c>
      <c r="C48" s="10">
        <f>data!AD48</f>
        <v>7.2307899999999998</v>
      </c>
      <c r="D48" s="10">
        <f>data!AG48</f>
        <v>2.6217600000000001</v>
      </c>
      <c r="E48" s="19"/>
      <c r="F48" s="10">
        <f t="shared" si="6"/>
        <v>0.5635024285714284</v>
      </c>
      <c r="G48" s="17"/>
      <c r="H48" s="21">
        <f>data!U48</f>
        <v>3962040.5</v>
      </c>
      <c r="I48" s="21">
        <f>data!V48</f>
        <v>1065297.3999999999</v>
      </c>
      <c r="J48" s="21">
        <f>data!W48</f>
        <v>2896743</v>
      </c>
      <c r="K48" s="9">
        <f t="shared" si="0"/>
        <v>0.73112402561255996</v>
      </c>
      <c r="L48" s="17"/>
      <c r="M48" s="9">
        <f t="shared" si="8"/>
        <v>2.6745038982911487E-2</v>
      </c>
      <c r="N48" s="9">
        <f t="shared" si="9"/>
        <v>3.7295640914333107E-2</v>
      </c>
      <c r="O48" s="9">
        <f t="shared" si="10"/>
        <v>9.9973854154139646E-3</v>
      </c>
      <c r="P48" s="9">
        <f t="shared" si="11"/>
        <v>4.8320313379826675E-3</v>
      </c>
      <c r="Q48" s="18"/>
      <c r="R48" s="10">
        <f t="shared" si="7"/>
        <v>0.57625082461311594</v>
      </c>
      <c r="S48" s="10">
        <f t="shared" si="5"/>
        <v>1.779354796313277</v>
      </c>
    </row>
    <row r="49" spans="1:19" x14ac:dyDescent="0.3">
      <c r="A49" s="8">
        <v>1994</v>
      </c>
      <c r="B49" s="10">
        <f>data!AA49</f>
        <v>5.2988400000000002</v>
      </c>
      <c r="C49" s="10">
        <f>data!AD49</f>
        <v>7.5210299999999997</v>
      </c>
      <c r="D49" s="10">
        <f>data!AG49</f>
        <v>2.6848299999999998</v>
      </c>
      <c r="E49" s="19"/>
      <c r="F49" s="10">
        <f t="shared" si="6"/>
        <v>0.5635024285714284</v>
      </c>
      <c r="G49" s="17"/>
      <c r="H49" s="21">
        <f>data!U49</f>
        <v>4108492.7999999998</v>
      </c>
      <c r="I49" s="21">
        <f>data!V49</f>
        <v>1109825.1000000001</v>
      </c>
      <c r="J49" s="21">
        <f>data!W49</f>
        <v>2998667.5</v>
      </c>
      <c r="K49" s="9">
        <f t="shared" si="0"/>
        <v>0.72987045273634166</v>
      </c>
      <c r="L49" s="17"/>
      <c r="M49" s="9">
        <f t="shared" si="8"/>
        <v>3.1374979711570813E-2</v>
      </c>
      <c r="N49" s="9">
        <f t="shared" si="9"/>
        <v>3.9354799522815648E-2</v>
      </c>
      <c r="O49" s="9">
        <f t="shared" si="10"/>
        <v>-1.7160546496606799E-3</v>
      </c>
      <c r="P49" s="9">
        <f t="shared" si="11"/>
        <v>1.516370625844856E-2</v>
      </c>
      <c r="Q49" s="18"/>
      <c r="R49" s="10">
        <f t="shared" si="7"/>
        <v>0.59141453087156448</v>
      </c>
      <c r="S49" s="10">
        <f t="shared" si="5"/>
        <v>1.806542018352697</v>
      </c>
    </row>
    <row r="50" spans="1:19" x14ac:dyDescent="0.3">
      <c r="A50" s="8">
        <v>1995</v>
      </c>
      <c r="B50" s="10">
        <f>data!AA50</f>
        <v>5.42272</v>
      </c>
      <c r="C50" s="10">
        <f>data!AD50</f>
        <v>7.8340300000000003</v>
      </c>
      <c r="D50" s="10">
        <f>data!AG50</f>
        <v>2.7652100000000002</v>
      </c>
      <c r="E50" s="19"/>
      <c r="F50" s="10">
        <f t="shared" si="6"/>
        <v>0.5635024285714284</v>
      </c>
      <c r="G50" s="17"/>
      <c r="H50" s="21">
        <f>data!U50</f>
        <v>4331886.5</v>
      </c>
      <c r="I50" s="21">
        <f>data!V50</f>
        <v>1137367.5</v>
      </c>
      <c r="J50" s="21">
        <f>data!W50</f>
        <v>3194519</v>
      </c>
      <c r="K50" s="9">
        <f t="shared" si="0"/>
        <v>0.73744291315111787</v>
      </c>
      <c r="L50" s="17"/>
      <c r="M50" s="9">
        <f t="shared" si="8"/>
        <v>2.3109605909439276E-2</v>
      </c>
      <c r="N50" s="9">
        <f t="shared" si="9"/>
        <v>4.0773968030046535E-2</v>
      </c>
      <c r="O50" s="9">
        <f t="shared" si="10"/>
        <v>1.0321622932014031E-2</v>
      </c>
      <c r="P50" s="9">
        <f t="shared" si="11"/>
        <v>-5.0439170217071207E-4</v>
      </c>
      <c r="Q50" s="18"/>
      <c r="R50" s="10">
        <f t="shared" si="7"/>
        <v>0.59091013916939372</v>
      </c>
      <c r="S50" s="10">
        <f t="shared" si="5"/>
        <v>1.8056310433124563</v>
      </c>
    </row>
    <row r="51" spans="1:19" x14ac:dyDescent="0.3">
      <c r="A51" s="8">
        <v>1996</v>
      </c>
      <c r="B51" s="10">
        <f>data!AA51</f>
        <v>5.6475600000000004</v>
      </c>
      <c r="C51" s="10">
        <f>data!AD51</f>
        <v>8.1678300000000004</v>
      </c>
      <c r="D51" s="10">
        <f>data!AG51</f>
        <v>2.8087300000000002</v>
      </c>
      <c r="E51" s="19"/>
      <c r="F51" s="10">
        <f t="shared" si="6"/>
        <v>0.5635024285714284</v>
      </c>
      <c r="G51" s="17"/>
      <c r="H51" s="21">
        <f>data!U51</f>
        <v>4551839.5</v>
      </c>
      <c r="I51" s="21">
        <f>data!V51</f>
        <v>1193016.5</v>
      </c>
      <c r="J51" s="21">
        <f>data!W51</f>
        <v>3358822.8</v>
      </c>
      <c r="K51" s="9">
        <f t="shared" si="0"/>
        <v>0.73790448894342597</v>
      </c>
      <c r="L51" s="17"/>
      <c r="M51" s="9">
        <f t="shared" si="8"/>
        <v>4.0626058885664479E-2</v>
      </c>
      <c r="N51" s="9">
        <f t="shared" si="9"/>
        <v>4.1726203019641403E-2</v>
      </c>
      <c r="O51" s="9">
        <f t="shared" si="10"/>
        <v>6.2571812810008364E-4</v>
      </c>
      <c r="P51" s="9">
        <f t="shared" si="11"/>
        <v>2.2060078917869909E-2</v>
      </c>
      <c r="Q51" s="18"/>
      <c r="R51" s="10">
        <f t="shared" si="7"/>
        <v>0.6129702180872636</v>
      </c>
      <c r="S51" s="10">
        <f t="shared" si="5"/>
        <v>1.8459060077771574</v>
      </c>
    </row>
    <row r="52" spans="1:19" x14ac:dyDescent="0.3">
      <c r="A52" s="8">
        <v>1997</v>
      </c>
      <c r="B52" s="10">
        <f>data!AA52</f>
        <v>5.9142799999999998</v>
      </c>
      <c r="C52" s="10">
        <f>data!AD52</f>
        <v>8.5780399999999997</v>
      </c>
      <c r="D52" s="10">
        <f>data!AG52</f>
        <v>2.8978799999999998</v>
      </c>
      <c r="E52" s="19"/>
      <c r="F52" s="10">
        <f t="shared" si="6"/>
        <v>0.5635024285714284</v>
      </c>
      <c r="G52" s="17"/>
      <c r="H52" s="21">
        <f>data!U52</f>
        <v>4892870.5</v>
      </c>
      <c r="I52" s="21">
        <f>data!V52</f>
        <v>1244620.3999999999</v>
      </c>
      <c r="J52" s="21">
        <f>data!W52</f>
        <v>3648250.3</v>
      </c>
      <c r="K52" s="9">
        <f t="shared" si="0"/>
        <v>0.74562576303623807</v>
      </c>
      <c r="L52" s="17"/>
      <c r="M52" s="9">
        <f t="shared" si="8"/>
        <v>4.6146172118341697E-2</v>
      </c>
      <c r="N52" s="9">
        <f t="shared" si="9"/>
        <v>4.9002181458175316E-2</v>
      </c>
      <c r="O52" s="9">
        <f t="shared" si="10"/>
        <v>1.0409418753561755E-2</v>
      </c>
      <c r="P52" s="9">
        <f t="shared" si="11"/>
        <v>1.889110616949697E-2</v>
      </c>
      <c r="Q52" s="18"/>
      <c r="R52" s="10">
        <f t="shared" si="7"/>
        <v>0.63186132425676056</v>
      </c>
      <c r="S52" s="10">
        <f t="shared" si="5"/>
        <v>1.881108675916416</v>
      </c>
    </row>
    <row r="53" spans="1:19" x14ac:dyDescent="0.3">
      <c r="A53" s="8">
        <v>1998</v>
      </c>
      <c r="B53" s="10">
        <f>data!AA53</f>
        <v>6.1789100000000001</v>
      </c>
      <c r="C53" s="10">
        <f>data!AD53</f>
        <v>9.0732599999999994</v>
      </c>
      <c r="D53" s="10">
        <f>data!AG53</f>
        <v>3.0030800000000002</v>
      </c>
      <c r="E53" s="19"/>
      <c r="F53" s="10">
        <f t="shared" si="6"/>
        <v>0.5635024285714284</v>
      </c>
      <c r="G53" s="17"/>
      <c r="H53" s="21">
        <f>data!U53</f>
        <v>5330721.5</v>
      </c>
      <c r="I53" s="21">
        <f>data!V53</f>
        <v>1311015.3999999999</v>
      </c>
      <c r="J53" s="21">
        <f>data!W53</f>
        <v>4019706</v>
      </c>
      <c r="K53" s="9">
        <f t="shared" si="0"/>
        <v>0.75406415435509055</v>
      </c>
      <c r="L53" s="17"/>
      <c r="M53" s="9">
        <f t="shared" si="8"/>
        <v>4.3772114917184184E-2</v>
      </c>
      <c r="N53" s="9">
        <f t="shared" si="9"/>
        <v>5.6126177054669969E-2</v>
      </c>
      <c r="O53" s="9">
        <f t="shared" si="10"/>
        <v>1.1253633537125451E-2</v>
      </c>
      <c r="P53" s="9">
        <f t="shared" si="11"/>
        <v>1.2931725110827658E-2</v>
      </c>
      <c r="Q53" s="18"/>
      <c r="R53" s="10">
        <f t="shared" si="7"/>
        <v>0.64479304936758819</v>
      </c>
      <c r="S53" s="10">
        <f t="shared" si="5"/>
        <v>1.9055926248633748</v>
      </c>
    </row>
    <row r="54" spans="1:19" x14ac:dyDescent="0.3">
      <c r="A54" s="8">
        <v>1999</v>
      </c>
      <c r="B54" s="10">
        <f>data!AA54</f>
        <v>6.4527900000000002</v>
      </c>
      <c r="C54" s="10">
        <f>data!AD54</f>
        <v>9.6734100000000005</v>
      </c>
      <c r="D54" s="10">
        <f>data!AG54</f>
        <v>3.0707300000000002</v>
      </c>
      <c r="E54" s="19"/>
      <c r="F54" s="10">
        <f t="shared" si="6"/>
        <v>0.5635024285714284</v>
      </c>
      <c r="G54" s="17"/>
      <c r="H54" s="21">
        <f>data!U54</f>
        <v>5614821.5</v>
      </c>
      <c r="I54" s="21">
        <f>data!V54</f>
        <v>1375409.3</v>
      </c>
      <c r="J54" s="21">
        <f>data!W54</f>
        <v>4239412</v>
      </c>
      <c r="K54" s="9">
        <f t="shared" si="0"/>
        <v>0.75503949680323768</v>
      </c>
      <c r="L54" s="17"/>
      <c r="M54" s="9">
        <f t="shared" si="8"/>
        <v>4.3370714911815468E-2</v>
      </c>
      <c r="N54" s="9">
        <f t="shared" si="9"/>
        <v>6.4049258094982131E-2</v>
      </c>
      <c r="O54" s="9">
        <f t="shared" si="10"/>
        <v>1.292611787404224E-3</v>
      </c>
      <c r="P54" s="9">
        <f t="shared" si="11"/>
        <v>1.468497942015165E-2</v>
      </c>
      <c r="Q54" s="18"/>
      <c r="R54" s="10">
        <f t="shared" si="7"/>
        <v>0.65947802878773987</v>
      </c>
      <c r="S54" s="10">
        <f t="shared" si="5"/>
        <v>1.9337826920268228</v>
      </c>
    </row>
    <row r="55" spans="1:19" x14ac:dyDescent="0.3">
      <c r="A55" s="8">
        <v>2000</v>
      </c>
      <c r="B55" s="10">
        <f>data!AA55</f>
        <v>6.6897500000000001</v>
      </c>
      <c r="C55" s="10">
        <f>data!AD55</f>
        <v>10.30064</v>
      </c>
      <c r="D55" s="10">
        <f>data!AG55</f>
        <v>3.14656</v>
      </c>
      <c r="E55" s="19"/>
      <c r="F55" s="10">
        <f t="shared" si="6"/>
        <v>0.5635024285714284</v>
      </c>
      <c r="G55" s="17"/>
      <c r="H55" s="21">
        <f>data!U55</f>
        <v>6093353.5</v>
      </c>
      <c r="I55" s="21">
        <f>data!V55</f>
        <v>1480172.5</v>
      </c>
      <c r="J55" s="21">
        <f>data!W55</f>
        <v>4613181.5</v>
      </c>
      <c r="K55" s="9">
        <f t="shared" si="0"/>
        <v>0.75708417376408577</v>
      </c>
      <c r="L55" s="17"/>
      <c r="M55" s="9">
        <f t="shared" si="8"/>
        <v>3.6063908813204586E-2</v>
      </c>
      <c r="N55" s="9">
        <f t="shared" si="9"/>
        <v>6.2825144902465338E-2</v>
      </c>
      <c r="O55" s="9">
        <f t="shared" si="10"/>
        <v>2.7043796044209545E-3</v>
      </c>
      <c r="P55" s="9">
        <f t="shared" si="11"/>
        <v>7.1169611637601146E-3</v>
      </c>
      <c r="Q55" s="18"/>
      <c r="R55" s="10">
        <f t="shared" si="7"/>
        <v>0.66659498995150002</v>
      </c>
      <c r="S55" s="10">
        <f t="shared" si="5"/>
        <v>1.9475944388797672</v>
      </c>
    </row>
    <row r="56" spans="1:19" x14ac:dyDescent="0.3">
      <c r="A56" s="8">
        <v>2001</v>
      </c>
      <c r="B56" s="10">
        <f>data!AA56</f>
        <v>6.8407600000000004</v>
      </c>
      <c r="C56" s="10">
        <f>data!AD56</f>
        <v>10.807650000000001</v>
      </c>
      <c r="D56" s="10">
        <f>data!AG56</f>
        <v>3.1608299999999998</v>
      </c>
      <c r="E56" s="19"/>
      <c r="F56" s="10">
        <f t="shared" si="6"/>
        <v>0.5635024285714284</v>
      </c>
      <c r="G56" s="17"/>
      <c r="H56" s="21">
        <f>data!U56</f>
        <v>6282005.5</v>
      </c>
      <c r="I56" s="21">
        <f>data!V56</f>
        <v>1428762.5</v>
      </c>
      <c r="J56" s="21">
        <f>data!W56</f>
        <v>4853243</v>
      </c>
      <c r="K56" s="9">
        <f t="shared" si="0"/>
        <v>0.77256267922719901</v>
      </c>
      <c r="L56" s="17"/>
      <c r="M56" s="9">
        <f t="shared" si="8"/>
        <v>2.2322332339069821E-2</v>
      </c>
      <c r="N56" s="9">
        <f t="shared" si="9"/>
        <v>4.8048187486290653E-2</v>
      </c>
      <c r="O56" s="9">
        <f t="shared" si="10"/>
        <v>2.0238702506757748E-2</v>
      </c>
      <c r="P56" s="9">
        <f t="shared" si="11"/>
        <v>-1.0055142823933379E-2</v>
      </c>
      <c r="Q56" s="18"/>
      <c r="R56" s="10">
        <f t="shared" si="7"/>
        <v>0.65653984712756663</v>
      </c>
      <c r="S56" s="10">
        <f t="shared" si="5"/>
        <v>1.9281092261046537</v>
      </c>
    </row>
    <row r="57" spans="1:19" x14ac:dyDescent="0.3">
      <c r="A57" s="8">
        <v>2002</v>
      </c>
      <c r="B57" s="10">
        <f>data!AA57</f>
        <v>7.0051399999999999</v>
      </c>
      <c r="C57" s="10">
        <f>data!AD57</f>
        <v>11.15659</v>
      </c>
      <c r="D57" s="10">
        <f>data!AG57</f>
        <v>3.1783000000000001</v>
      </c>
      <c r="E57" s="19"/>
      <c r="F57" s="10">
        <f t="shared" si="6"/>
        <v>0.5635024285714284</v>
      </c>
      <c r="G57" s="17"/>
      <c r="H57" s="21">
        <f>data!U57</f>
        <v>6338332</v>
      </c>
      <c r="I57" s="21">
        <f>data!V57</f>
        <v>1394944.1</v>
      </c>
      <c r="J57" s="21">
        <f>data!W57</f>
        <v>4943388</v>
      </c>
      <c r="K57" s="9">
        <f t="shared" si="0"/>
        <v>0.77991938573113562</v>
      </c>
      <c r="L57" s="17"/>
      <c r="M57" s="9">
        <f t="shared" si="8"/>
        <v>2.3745328740552869E-2</v>
      </c>
      <c r="N57" s="9">
        <f t="shared" si="9"/>
        <v>3.1776137992144654E-2</v>
      </c>
      <c r="O57" s="9">
        <f t="shared" si="10"/>
        <v>9.4774190771761569E-3</v>
      </c>
      <c r="P57" s="9">
        <f t="shared" si="11"/>
        <v>4.5345730110246093E-3</v>
      </c>
      <c r="Q57" s="18"/>
      <c r="R57" s="10">
        <f t="shared" si="7"/>
        <v>0.66107442013859119</v>
      </c>
      <c r="S57" s="10">
        <f t="shared" si="5"/>
        <v>1.9368722313916285</v>
      </c>
    </row>
    <row r="58" spans="1:19" x14ac:dyDescent="0.3">
      <c r="A58" s="8">
        <v>2003</v>
      </c>
      <c r="B58" s="10">
        <f>data!AA58</f>
        <v>7.1905200000000002</v>
      </c>
      <c r="C58" s="10">
        <f>data!AD58</f>
        <v>11.53589</v>
      </c>
      <c r="D58" s="10">
        <f>data!AG58</f>
        <v>3.20133</v>
      </c>
      <c r="E58" s="19"/>
      <c r="F58" s="10">
        <f t="shared" si="6"/>
        <v>0.5635024285714284</v>
      </c>
      <c r="G58" s="17"/>
      <c r="H58" s="21">
        <f>data!U58</f>
        <v>6580236.5</v>
      </c>
      <c r="I58" s="21">
        <f>data!V58</f>
        <v>1440760.3</v>
      </c>
      <c r="J58" s="21">
        <f>data!W58</f>
        <v>5139476</v>
      </c>
      <c r="K58" s="9">
        <f t="shared" si="0"/>
        <v>0.78104730734222094</v>
      </c>
      <c r="L58" s="17"/>
      <c r="M58" s="9">
        <f t="shared" si="8"/>
        <v>2.6119326474431714E-2</v>
      </c>
      <c r="N58" s="9">
        <f t="shared" si="9"/>
        <v>3.3432690423587236E-2</v>
      </c>
      <c r="O58" s="9">
        <f t="shared" si="10"/>
        <v>1.4451580708211968E-3</v>
      </c>
      <c r="P58" s="9">
        <f t="shared" si="11"/>
        <v>1.0711688215635279E-2</v>
      </c>
      <c r="Q58" s="18"/>
      <c r="R58" s="10">
        <f t="shared" si="7"/>
        <v>0.67178610835422647</v>
      </c>
      <c r="S58" s="10">
        <f t="shared" si="5"/>
        <v>1.9577309192845667</v>
      </c>
    </row>
    <row r="59" spans="1:19" x14ac:dyDescent="0.3">
      <c r="A59" s="8">
        <v>2004</v>
      </c>
      <c r="B59" s="10">
        <f>data!AA59</f>
        <v>7.4134700000000002</v>
      </c>
      <c r="C59" s="10">
        <f>data!AD59</f>
        <v>11.96001</v>
      </c>
      <c r="D59" s="10">
        <f>data!AG59</f>
        <v>3.24031</v>
      </c>
      <c r="E59" s="19"/>
      <c r="F59" s="10">
        <f t="shared" si="6"/>
        <v>0.5635024285714284</v>
      </c>
      <c r="G59" s="17"/>
      <c r="H59" s="21">
        <f>data!U59</f>
        <v>6947251</v>
      </c>
      <c r="I59" s="21">
        <f>data!V59</f>
        <v>1512635.5</v>
      </c>
      <c r="J59" s="21">
        <f>data!W59</f>
        <v>5434615</v>
      </c>
      <c r="K59" s="9">
        <f t="shared" si="0"/>
        <v>0.78226841091533905</v>
      </c>
      <c r="L59" s="17"/>
      <c r="M59" s="9">
        <f t="shared" si="8"/>
        <v>3.0535124007970624E-2</v>
      </c>
      <c r="N59" s="9">
        <f t="shared" si="9"/>
        <v>3.6105539512951208E-2</v>
      </c>
      <c r="O59" s="9">
        <f t="shared" si="10"/>
        <v>1.5621973312172461E-3</v>
      </c>
      <c r="P59" s="9">
        <f t="shared" si="11"/>
        <v>1.389484170540037E-2</v>
      </c>
      <c r="Q59" s="18"/>
      <c r="R59" s="10">
        <f t="shared" si="7"/>
        <v>0.68568095005962681</v>
      </c>
      <c r="S59" s="10">
        <f t="shared" si="5"/>
        <v>1.9851231451218101</v>
      </c>
    </row>
    <row r="60" spans="1:19" x14ac:dyDescent="0.3">
      <c r="A60" s="8">
        <v>2005</v>
      </c>
      <c r="B60" s="10">
        <f>data!AA60</f>
        <v>7.7011799999999999</v>
      </c>
      <c r="C60" s="10">
        <f>data!AD60</f>
        <v>12.41126</v>
      </c>
      <c r="D60" s="10">
        <f>data!AG60</f>
        <v>3.2888099999999998</v>
      </c>
      <c r="E60" s="19"/>
      <c r="F60" s="10">
        <f t="shared" si="6"/>
        <v>0.5635024285714284</v>
      </c>
      <c r="G60" s="17"/>
      <c r="H60" s="21">
        <f>data!U60</f>
        <v>7261420</v>
      </c>
      <c r="I60" s="21">
        <f>data!V60</f>
        <v>1548997.4</v>
      </c>
      <c r="J60" s="21">
        <f>data!W60</f>
        <v>5712423</v>
      </c>
      <c r="K60" s="9">
        <f t="shared" si="0"/>
        <v>0.78668125518149346</v>
      </c>
      <c r="L60" s="17"/>
      <c r="M60" s="9">
        <f t="shared" si="8"/>
        <v>3.8074948075657457E-2</v>
      </c>
      <c r="N60" s="9">
        <f t="shared" si="9"/>
        <v>3.7035540443421104E-2</v>
      </c>
      <c r="O60" s="9">
        <f t="shared" si="10"/>
        <v>5.6252357840530049E-3</v>
      </c>
      <c r="P60" s="9">
        <f t="shared" si="11"/>
        <v>1.873919058995873E-2</v>
      </c>
      <c r="Q60" s="18"/>
      <c r="R60" s="10">
        <f t="shared" si="7"/>
        <v>0.70442014064958558</v>
      </c>
      <c r="S60" s="10">
        <f t="shared" si="5"/>
        <v>2.0226734786784686</v>
      </c>
    </row>
    <row r="61" spans="1:19" x14ac:dyDescent="0.3">
      <c r="A61" s="8">
        <v>2006</v>
      </c>
      <c r="B61" s="10">
        <f>data!AA61</f>
        <v>7.8938600000000001</v>
      </c>
      <c r="C61" s="10">
        <f>data!AD61</f>
        <v>12.85934</v>
      </c>
      <c r="D61" s="10">
        <f>data!AG61</f>
        <v>3.3863599999999998</v>
      </c>
      <c r="E61" s="19"/>
      <c r="F61" s="10">
        <f t="shared" si="6"/>
        <v>0.5635024285714284</v>
      </c>
      <c r="G61" s="17"/>
      <c r="H61" s="21">
        <f>data!U61</f>
        <v>7746959.5</v>
      </c>
      <c r="I61" s="21">
        <f>data!V61</f>
        <v>1637687.8</v>
      </c>
      <c r="J61" s="21">
        <f>data!W61</f>
        <v>6109271.5</v>
      </c>
      <c r="K61" s="9">
        <f t="shared" si="0"/>
        <v>0.78860248333555893</v>
      </c>
      <c r="L61" s="17"/>
      <c r="M61" s="9">
        <f t="shared" si="8"/>
        <v>2.4711678222989017E-2</v>
      </c>
      <c r="N61" s="9">
        <f t="shared" si="9"/>
        <v>3.5466270478039047E-2</v>
      </c>
      <c r="O61" s="9">
        <f t="shared" si="10"/>
        <v>2.4392165800522603E-3</v>
      </c>
      <c r="P61" s="9">
        <f t="shared" si="11"/>
        <v>7.8562328250249853E-3</v>
      </c>
      <c r="Q61" s="18"/>
      <c r="R61" s="10">
        <f t="shared" si="7"/>
        <v>0.71227637347461059</v>
      </c>
      <c r="S61" s="10">
        <f t="shared" si="5"/>
        <v>2.0386266563420317</v>
      </c>
    </row>
    <row r="62" spans="1:19" x14ac:dyDescent="0.3">
      <c r="A62" s="8">
        <v>2007</v>
      </c>
      <c r="B62" s="10">
        <f>data!AA62</f>
        <v>8.02529</v>
      </c>
      <c r="C62" s="10">
        <f>data!AD62</f>
        <v>13.150359999999999</v>
      </c>
      <c r="D62" s="10">
        <f>data!AG62</f>
        <v>3.4733100000000001</v>
      </c>
      <c r="E62" s="19"/>
      <c r="F62" s="10">
        <f t="shared" si="6"/>
        <v>0.5635024285714284</v>
      </c>
      <c r="G62" s="17"/>
      <c r="H62" s="21">
        <f>data!U62</f>
        <v>8060485.5</v>
      </c>
      <c r="I62" s="21">
        <f>data!V62</f>
        <v>1713762.1</v>
      </c>
      <c r="J62" s="21">
        <f>data!W62</f>
        <v>6346723.5</v>
      </c>
      <c r="K62" s="9">
        <f t="shared" si="0"/>
        <v>0.78738724857206177</v>
      </c>
      <c r="L62" s="17"/>
      <c r="M62" s="9">
        <f t="shared" si="8"/>
        <v>1.6512563340012769E-2</v>
      </c>
      <c r="N62" s="9">
        <f t="shared" si="9"/>
        <v>2.2378739110903875E-2</v>
      </c>
      <c r="O62" s="9">
        <f t="shared" si="10"/>
        <v>-1.5421864492474531E-3</v>
      </c>
      <c r="P62" s="9">
        <f t="shared" si="11"/>
        <v>7.6133238759305243E-3</v>
      </c>
      <c r="Q62" s="18"/>
      <c r="R62" s="10">
        <f t="shared" si="7"/>
        <v>0.71988969735054109</v>
      </c>
      <c r="S62" s="10">
        <f t="shared" si="5"/>
        <v>2.0542066137149679</v>
      </c>
    </row>
    <row r="63" spans="1:19" x14ac:dyDescent="0.3">
      <c r="A63" s="8">
        <v>2008</v>
      </c>
      <c r="B63" s="10">
        <f>data!AA63</f>
        <v>8.0460399999999996</v>
      </c>
      <c r="C63" s="10">
        <f>data!AD63</f>
        <v>13.501519999999999</v>
      </c>
      <c r="D63" s="10">
        <f>data!AG63</f>
        <v>3.4771200000000002</v>
      </c>
      <c r="E63" s="19"/>
      <c r="F63" s="10">
        <f t="shared" si="6"/>
        <v>0.5635024285714284</v>
      </c>
      <c r="G63" s="17"/>
      <c r="H63" s="21">
        <f>data!U63</f>
        <v>8103027</v>
      </c>
      <c r="I63" s="21">
        <f>data!V63</f>
        <v>1707546.4</v>
      </c>
      <c r="J63" s="21">
        <f>data!W63</f>
        <v>6395480.5</v>
      </c>
      <c r="K63" s="9">
        <f t="shared" si="0"/>
        <v>0.78927054050295031</v>
      </c>
      <c r="L63" s="17"/>
      <c r="M63" s="9">
        <f t="shared" si="8"/>
        <v>2.58223949480395E-3</v>
      </c>
      <c r="N63" s="9">
        <f t="shared" si="9"/>
        <v>2.6353137024004616E-2</v>
      </c>
      <c r="O63" s="9">
        <f t="shared" si="10"/>
        <v>2.3889684110619228E-3</v>
      </c>
      <c r="P63" s="9">
        <f t="shared" si="11"/>
        <v>-1.026703031711226E-2</v>
      </c>
      <c r="Q63" s="18"/>
      <c r="R63" s="10">
        <f t="shared" si="7"/>
        <v>0.7096226670334288</v>
      </c>
      <c r="S63" s="10">
        <f t="shared" si="5"/>
        <v>2.0332239114729429</v>
      </c>
    </row>
    <row r="64" spans="1:19" x14ac:dyDescent="0.3">
      <c r="A64" s="8">
        <v>2009</v>
      </c>
      <c r="B64" s="10">
        <f>data!AA64</f>
        <v>7.9010300000000004</v>
      </c>
      <c r="C64" s="10">
        <f>data!AD64</f>
        <v>13.637879999999999</v>
      </c>
      <c r="D64" s="10">
        <f>data!AG64</f>
        <v>3.3887</v>
      </c>
      <c r="E64" s="19"/>
      <c r="F64" s="10">
        <f t="shared" si="6"/>
        <v>0.5635024285714284</v>
      </c>
      <c r="G64" s="17"/>
      <c r="H64" s="21">
        <f>data!U64</f>
        <v>7824084.5</v>
      </c>
      <c r="I64" s="21">
        <f>data!V64</f>
        <v>1506983.4</v>
      </c>
      <c r="J64" s="21">
        <f>data!W64</f>
        <v>6317101.5</v>
      </c>
      <c r="K64" s="9">
        <f t="shared" si="0"/>
        <v>0.80739177855249389</v>
      </c>
      <c r="L64" s="17"/>
      <c r="M64" s="9">
        <f t="shared" si="8"/>
        <v>-1.8186914208495546E-2</v>
      </c>
      <c r="N64" s="9">
        <f t="shared" si="9"/>
        <v>1.0048943416717375E-2</v>
      </c>
      <c r="O64" s="9">
        <f t="shared" si="10"/>
        <v>2.2699873303151992E-2</v>
      </c>
      <c r="P64" s="9">
        <f t="shared" si="11"/>
        <v>-3.5364687339905693E-2</v>
      </c>
      <c r="Q64" s="18"/>
      <c r="R64" s="10">
        <f t="shared" si="7"/>
        <v>0.67425797969352308</v>
      </c>
      <c r="S64" s="10">
        <f t="shared" si="5"/>
        <v>1.962576164177896</v>
      </c>
    </row>
    <row r="65" spans="1:19" x14ac:dyDescent="0.3">
      <c r="A65" s="8">
        <v>2010</v>
      </c>
      <c r="B65" s="10">
        <f>data!AA65</f>
        <v>8.0758500000000009</v>
      </c>
      <c r="C65" s="10">
        <f>data!AD65</f>
        <v>13.696770000000001</v>
      </c>
      <c r="D65" s="10">
        <f>data!AG65</f>
        <v>3.3982299999999999</v>
      </c>
      <c r="E65" s="19"/>
      <c r="F65" s="10">
        <f t="shared" si="6"/>
        <v>0.5635024285714284</v>
      </c>
      <c r="G65" s="17"/>
      <c r="H65" s="21">
        <f>data!U65</f>
        <v>7872716</v>
      </c>
      <c r="I65" s="21">
        <f>data!V65</f>
        <v>1529352.5</v>
      </c>
      <c r="J65" s="21">
        <f>data!W65</f>
        <v>6343363.5</v>
      </c>
      <c r="K65" s="9">
        <f t="shared" si="0"/>
        <v>0.80574016641779023</v>
      </c>
      <c r="L65" s="17"/>
      <c r="M65" s="9">
        <f t="shared" si="8"/>
        <v>2.1884996005726815E-2</v>
      </c>
      <c r="N65" s="9">
        <f t="shared" si="9"/>
        <v>4.3088234978258984E-3</v>
      </c>
      <c r="O65" s="9">
        <f t="shared" si="10"/>
        <v>-2.0477093854223173E-3</v>
      </c>
      <c r="P65" s="9">
        <f t="shared" si="11"/>
        <v>2.115809422490543E-2</v>
      </c>
      <c r="Q65" s="18"/>
      <c r="R65" s="10">
        <f t="shared" si="7"/>
        <v>0.69541607391842852</v>
      </c>
      <c r="S65" s="10">
        <f t="shared" si="5"/>
        <v>2.0045429384895761</v>
      </c>
    </row>
    <row r="66" spans="1:19" x14ac:dyDescent="0.3">
      <c r="A66" s="8">
        <v>2011</v>
      </c>
      <c r="B66" s="10">
        <f>data!AA66</f>
        <v>8.2237799999999996</v>
      </c>
      <c r="C66" s="10">
        <f>data!AD66</f>
        <v>13.825939999999999</v>
      </c>
      <c r="D66" s="10">
        <f>data!AG66</f>
        <v>3.4754700000000001</v>
      </c>
      <c r="E66" s="19"/>
      <c r="F66" s="10">
        <f t="shared" si="6"/>
        <v>0.5635024285714284</v>
      </c>
      <c r="G66" s="17"/>
      <c r="H66" s="21">
        <f>data!U66</f>
        <v>8269258</v>
      </c>
      <c r="I66" s="21">
        <f>data!V66</f>
        <v>1583466.9</v>
      </c>
      <c r="J66" s="21">
        <f>data!W66</f>
        <v>6685791</v>
      </c>
      <c r="K66" s="9">
        <f t="shared" si="0"/>
        <v>0.8085115980176214</v>
      </c>
      <c r="L66" s="17"/>
      <c r="M66" s="9">
        <f t="shared" si="8"/>
        <v>1.8151830655395364E-2</v>
      </c>
      <c r="N66" s="9">
        <f t="shared" si="9"/>
        <v>9.3864992502727465E-3</v>
      </c>
      <c r="O66" s="9">
        <f t="shared" si="10"/>
        <v>3.433707658126066E-3</v>
      </c>
      <c r="P66" s="9">
        <f t="shared" si="11"/>
        <v>1.2119743924076852E-2</v>
      </c>
      <c r="Q66" s="18"/>
      <c r="R66" s="10">
        <f t="shared" si="7"/>
        <v>0.70753581784250541</v>
      </c>
      <c r="S66" s="10">
        <f t="shared" si="5"/>
        <v>2.028985304003843</v>
      </c>
    </row>
    <row r="67" spans="1:19" x14ac:dyDescent="0.3">
      <c r="A67" s="8">
        <v>2012</v>
      </c>
      <c r="B67" s="10">
        <f>data!AA67</f>
        <v>8.4050899999999995</v>
      </c>
      <c r="C67" s="10">
        <f>data!AD67</f>
        <v>13.971439999999999</v>
      </c>
      <c r="D67" s="10">
        <f>data!AG67</f>
        <v>3.54331</v>
      </c>
      <c r="E67" s="19"/>
      <c r="F67" s="10">
        <f t="shared" si="6"/>
        <v>0.5635024285714284</v>
      </c>
      <c r="G67" s="17"/>
      <c r="H67" s="21">
        <f>data!U67</f>
        <v>8658893</v>
      </c>
      <c r="I67" s="21">
        <f>data!V67</f>
        <v>1640924.1</v>
      </c>
      <c r="J67" s="21">
        <f>data!W67</f>
        <v>7017969</v>
      </c>
      <c r="K67" s="9">
        <f t="shared" ref="K67:K72" si="12">J67/H67</f>
        <v>0.81049263456656639</v>
      </c>
      <c r="L67" s="17"/>
      <c r="M67" s="9">
        <f t="shared" ref="M67:M72" si="13">LN(B67/B66)</f>
        <v>2.1807517332973796E-2</v>
      </c>
      <c r="N67" s="9">
        <f t="shared" ref="N67:N72" si="14">LN(C67/C66)</f>
        <v>1.0468708117311718E-2</v>
      </c>
      <c r="O67" s="9">
        <f t="shared" ref="O67:O72" si="15">LN(K67/K66)</f>
        <v>2.4472295967676583E-3</v>
      </c>
      <c r="P67" s="9">
        <f t="shared" ref="P67:P72" si="16">M67-(1-F67)*N67-F67*O67</f>
        <v>1.5858931842722204E-2</v>
      </c>
      <c r="Q67" s="18"/>
      <c r="R67" s="10">
        <f t="shared" si="7"/>
        <v>0.72339474968522766</v>
      </c>
      <c r="S67" s="10">
        <f t="shared" ref="S67:S71" si="17">EXP(R67)</f>
        <v>2.0614193485245189</v>
      </c>
    </row>
    <row r="68" spans="1:19" x14ac:dyDescent="0.3">
      <c r="A68" s="8">
        <v>2013</v>
      </c>
      <c r="B68" s="10">
        <f>data!AA68</f>
        <v>8.5184200000000008</v>
      </c>
      <c r="C68" s="10">
        <f>data!AD68</f>
        <v>14.16333</v>
      </c>
      <c r="D68" s="10">
        <f>data!AG68</f>
        <v>3.6127400000000001</v>
      </c>
      <c r="E68" s="19"/>
      <c r="F68" s="10">
        <f t="shared" ref="F68:F72" si="18">F67</f>
        <v>0.5635024285714284</v>
      </c>
      <c r="G68" s="17"/>
      <c r="H68" s="21">
        <f>data!U68</f>
        <v>8849509</v>
      </c>
      <c r="I68" s="21">
        <f>data!V68</f>
        <v>1676683.9</v>
      </c>
      <c r="J68" s="21">
        <f>data!W68</f>
        <v>7172825</v>
      </c>
      <c r="K68" s="9">
        <f t="shared" si="12"/>
        <v>0.81053366915610803</v>
      </c>
      <c r="L68" s="17"/>
      <c r="M68" s="9">
        <f t="shared" si="13"/>
        <v>1.3393402919390601E-2</v>
      </c>
      <c r="N68" s="9">
        <f t="shared" si="14"/>
        <v>1.3640984128055041E-2</v>
      </c>
      <c r="O68" s="9">
        <f t="shared" si="15"/>
        <v>5.0627913262321061E-5</v>
      </c>
      <c r="P68" s="9">
        <f t="shared" si="16"/>
        <v>7.4106175235220621E-3</v>
      </c>
      <c r="Q68" s="18"/>
      <c r="R68" s="10">
        <f t="shared" ref="R68:R71" si="19">R67+P68</f>
        <v>0.73080536720874967</v>
      </c>
      <c r="S68" s="10">
        <f t="shared" si="17"/>
        <v>2.0767524826973491</v>
      </c>
    </row>
    <row r="69" spans="1:19" x14ac:dyDescent="0.3">
      <c r="A69" s="8">
        <v>2014</v>
      </c>
      <c r="B69" s="10">
        <f>data!AA69</f>
        <v>8.7123699999999999</v>
      </c>
      <c r="C69" s="10">
        <f>data!AD69</f>
        <v>14.35984</v>
      </c>
      <c r="D69" s="10">
        <f>data!AG69</f>
        <v>3.6696900000000001</v>
      </c>
      <c r="E69" s="19"/>
      <c r="F69" s="10">
        <f t="shared" si="18"/>
        <v>0.5635024285714284</v>
      </c>
      <c r="G69" s="17"/>
      <c r="H69" s="21">
        <f>data!U69</f>
        <v>9245439</v>
      </c>
      <c r="I69" s="21">
        <f>data!V69</f>
        <v>1778240.8</v>
      </c>
      <c r="J69" s="21">
        <f>data!W69</f>
        <v>7467198.5</v>
      </c>
      <c r="K69" s="9">
        <f t="shared" si="12"/>
        <v>0.80766294602127597</v>
      </c>
      <c r="L69" s="17"/>
      <c r="M69" s="9">
        <f t="shared" si="13"/>
        <v>2.2512977250336925E-2</v>
      </c>
      <c r="N69" s="9">
        <f t="shared" si="14"/>
        <v>1.3779191387634827E-2</v>
      </c>
      <c r="O69" s="9">
        <f t="shared" si="15"/>
        <v>-3.5480560513633476E-3</v>
      </c>
      <c r="P69" s="9">
        <f t="shared" si="16"/>
        <v>1.8497731875035634E-2</v>
      </c>
      <c r="Q69" s="18"/>
      <c r="R69" s="10">
        <f t="shared" si="19"/>
        <v>0.74930309908378534</v>
      </c>
      <c r="S69" s="10">
        <f t="shared" si="17"/>
        <v>2.115525191324708</v>
      </c>
    </row>
    <row r="70" spans="1:19" x14ac:dyDescent="0.3">
      <c r="A70" s="8">
        <v>2015</v>
      </c>
      <c r="B70" s="10">
        <f>data!AA70</f>
        <v>8.9468800000000002</v>
      </c>
      <c r="C70" s="10">
        <f>data!AD70</f>
        <v>14.97885</v>
      </c>
      <c r="D70" s="10">
        <f>data!AG70</f>
        <v>3.76559</v>
      </c>
      <c r="E70" s="19"/>
      <c r="F70" s="10">
        <f t="shared" si="18"/>
        <v>0.5635024285714284</v>
      </c>
      <c r="G70" s="17"/>
      <c r="H70" s="21">
        <f>data!U70</f>
        <v>9481602</v>
      </c>
      <c r="I70" s="21">
        <f>data!V70</f>
        <v>1913431.6</v>
      </c>
      <c r="J70" s="21">
        <f>data!W70</f>
        <v>7568170.5</v>
      </c>
      <c r="K70" s="9">
        <f t="shared" si="12"/>
        <v>0.79819533661083852</v>
      </c>
      <c r="L70" s="17"/>
      <c r="M70" s="9">
        <f t="shared" si="13"/>
        <v>2.6561013273600848E-2</v>
      </c>
      <c r="N70" s="9">
        <f t="shared" si="14"/>
        <v>4.2203784620090126E-2</v>
      </c>
      <c r="O70" s="9">
        <f t="shared" si="15"/>
        <v>-1.1791475262465561E-2</v>
      </c>
      <c r="P70" s="9">
        <f t="shared" si="16"/>
        <v>1.4783688728676272E-2</v>
      </c>
      <c r="Q70" s="18"/>
      <c r="R70" s="10">
        <f t="shared" si="19"/>
        <v>0.76408678781246164</v>
      </c>
      <c r="S70" s="10">
        <f t="shared" si="17"/>
        <v>2.1470327826125373</v>
      </c>
    </row>
    <row r="71" spans="1:19" x14ac:dyDescent="0.3">
      <c r="A71" s="8">
        <v>2016</v>
      </c>
      <c r="B71" s="10">
        <f>data!AA71</f>
        <v>9.0952999999999999</v>
      </c>
      <c r="C71" s="10">
        <f>data!AD71</f>
        <v>15.74295</v>
      </c>
      <c r="D71" s="10">
        <f>data!AG71</f>
        <v>3.85019</v>
      </c>
      <c r="E71" s="19"/>
      <c r="F71" s="10">
        <f t="shared" si="18"/>
        <v>0.5635024285714284</v>
      </c>
      <c r="G71" s="17"/>
      <c r="H71" s="21">
        <f>data!U71</f>
        <v>9777438</v>
      </c>
      <c r="I71" s="21">
        <f>data!V71</f>
        <v>1943353.5</v>
      </c>
      <c r="J71" s="21">
        <f>data!W71</f>
        <v>7834084.5</v>
      </c>
      <c r="K71" s="9">
        <f t="shared" si="12"/>
        <v>0.8012410306258142</v>
      </c>
      <c r="L71" s="17"/>
      <c r="M71" s="9">
        <f t="shared" si="13"/>
        <v>1.645292842423143E-2</v>
      </c>
      <c r="N71" s="9">
        <f t="shared" si="14"/>
        <v>4.9753439895897825E-2</v>
      </c>
      <c r="O71" s="9">
        <f t="shared" si="15"/>
        <v>3.8084637297151466E-3</v>
      </c>
      <c r="P71" s="9">
        <f t="shared" si="16"/>
        <v>-7.4104058213660612E-3</v>
      </c>
      <c r="Q71" s="18"/>
      <c r="R71" s="10">
        <f t="shared" si="19"/>
        <v>0.75667638199109555</v>
      </c>
      <c r="S71" s="10">
        <f t="shared" si="17"/>
        <v>2.1311812042354923</v>
      </c>
    </row>
    <row r="72" spans="1:19" x14ac:dyDescent="0.3">
      <c r="A72" s="8">
        <v>2017</v>
      </c>
      <c r="B72" s="10">
        <f>data!AA72</f>
        <v>9.2801600000000004</v>
      </c>
      <c r="C72" s="10">
        <f>data!AD72</f>
        <v>16.78096</v>
      </c>
      <c r="D72" s="10">
        <f>data!AG72</f>
        <v>3.8878900000000001</v>
      </c>
      <c r="E72" s="19"/>
      <c r="F72" s="10">
        <f t="shared" si="18"/>
        <v>0.5635024285714284</v>
      </c>
      <c r="G72" s="17"/>
      <c r="H72" s="21">
        <f>data!U72</f>
        <v>10225408</v>
      </c>
      <c r="I72" s="21">
        <f>data!V72</f>
        <v>2023748.8</v>
      </c>
      <c r="J72" s="21">
        <f>data!W72</f>
        <v>8201659.5</v>
      </c>
      <c r="K72" s="9">
        <f t="shared" si="12"/>
        <v>0.80208628350086375</v>
      </c>
      <c r="L72" s="17"/>
      <c r="M72" s="9">
        <f t="shared" si="13"/>
        <v>2.0120991446021985E-2</v>
      </c>
      <c r="N72" s="9">
        <f t="shared" si="14"/>
        <v>6.385226435529863E-2</v>
      </c>
      <c r="O72" s="9">
        <f t="shared" si="15"/>
        <v>1.0543735466964496E-3</v>
      </c>
      <c r="P72" s="9">
        <f t="shared" si="16"/>
        <v>-8.3445089294659353E-3</v>
      </c>
      <c r="Q72" s="18"/>
      <c r="R72" s="10">
        <f>R71+P72</f>
        <v>0.74833187306162963</v>
      </c>
      <c r="S72" s="10">
        <f>EXP(R72)</f>
        <v>2.1134715356517138</v>
      </c>
    </row>
    <row r="74" spans="1:19" x14ac:dyDescent="0.3">
      <c r="B74" s="10"/>
      <c r="D74" s="10"/>
      <c r="E74" s="10"/>
      <c r="G74" s="10"/>
      <c r="L74" s="10"/>
      <c r="N74" s="6"/>
      <c r="O74" s="6"/>
      <c r="P74" s="10"/>
      <c r="Q74" s="6" t="s">
        <v>98</v>
      </c>
      <c r="S74" s="10">
        <f>LN(S72/S35)</f>
        <v>0.26889515661334373</v>
      </c>
    </row>
    <row r="75" spans="1:19" x14ac:dyDescent="0.3">
      <c r="B75" s="9"/>
      <c r="D75" s="9"/>
      <c r="E75" s="9"/>
      <c r="F75" s="9"/>
      <c r="G75" s="9"/>
      <c r="L75" s="9"/>
      <c r="N75" s="6"/>
      <c r="O75" s="6"/>
      <c r="P75" s="10"/>
      <c r="Q75" s="6" t="s">
        <v>99</v>
      </c>
      <c r="S75" s="10">
        <f>S74/($A$72-$A$35)</f>
        <v>7.2674366652255061E-3</v>
      </c>
    </row>
    <row r="76" spans="1:19" x14ac:dyDescent="0.3">
      <c r="F76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Variables</vt:lpstr>
      <vt:lpstr>data</vt:lpstr>
      <vt:lpstr>TFP_Tot</vt:lpstr>
      <vt:lpstr>calA_X_TD</vt:lpstr>
      <vt:lpstr>TFP_Goods</vt:lpstr>
      <vt:lpstr>TFP_Serv</vt:lpstr>
      <vt:lpstr>TFP_Tot_Lequals1</vt:lpstr>
      <vt:lpstr>calA_X_TD_Lequals1</vt:lpstr>
      <vt:lpstr>TFP_Goods_Lequals1</vt:lpstr>
      <vt:lpstr>TFP_Serv_Lequals1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Vizcaino (staff)</cp:lastModifiedBy>
  <dcterms:modified xsi:type="dcterms:W3CDTF">2025-04-05T20:05:54Z</dcterms:modified>
</cp:coreProperties>
</file>